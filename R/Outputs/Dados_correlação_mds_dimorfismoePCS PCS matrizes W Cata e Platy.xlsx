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icho\"/>
    </mc:Choice>
  </mc:AlternateContent>
  <xr:revisionPtr revIDLastSave="0" documentId="8_{89653ED9-069A-490B-B045-B94D5E99DB57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MDS" sheetId="1" r:id="rId1"/>
    <sheet name="W matrices" sheetId="8" r:id="rId2"/>
    <sheet name="Dimorfismo" sheetId="2" r:id="rId3"/>
    <sheet name="Sheet1" sheetId="7" r:id="rId4"/>
    <sheet name="PC1" sheetId="3" r:id="rId5"/>
    <sheet name="PC2" sheetId="4" r:id="rId6"/>
    <sheet name="PC3" sheetId="5" r:id="rId7"/>
    <sheet name="PC4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L65" i="6" l="1"/>
  <c r="CM65" i="6" s="1"/>
  <c r="CN65" i="6" s="1"/>
  <c r="CL64" i="6"/>
  <c r="CM64" i="6" s="1"/>
  <c r="CN64" i="6" s="1"/>
  <c r="CL63" i="6"/>
  <c r="CM63" i="6" s="1"/>
  <c r="CN63" i="6" s="1"/>
  <c r="CL62" i="6"/>
  <c r="CM62" i="6" s="1"/>
  <c r="CN62" i="6" s="1"/>
  <c r="CL61" i="6"/>
  <c r="CM61" i="6" s="1"/>
  <c r="CN61" i="6" s="1"/>
  <c r="CL60" i="6"/>
  <c r="CM60" i="6" s="1"/>
  <c r="CN60" i="6" s="1"/>
  <c r="CL59" i="6"/>
  <c r="CM59" i="6" s="1"/>
  <c r="CN59" i="6" s="1"/>
  <c r="CL58" i="6"/>
  <c r="CM58" i="6" s="1"/>
  <c r="CN58" i="6" s="1"/>
  <c r="CL57" i="6"/>
  <c r="CM57" i="6" s="1"/>
  <c r="CN57" i="6" s="1"/>
  <c r="CL56" i="6"/>
  <c r="CM56" i="6" s="1"/>
  <c r="CN56" i="6" s="1"/>
  <c r="CL55" i="6"/>
  <c r="CM55" i="6" s="1"/>
  <c r="CN55" i="6" s="1"/>
  <c r="CL54" i="6"/>
  <c r="CM54" i="6" s="1"/>
  <c r="CN54" i="6" s="1"/>
  <c r="CL53" i="6"/>
  <c r="CM53" i="6" s="1"/>
  <c r="CN53" i="6" s="1"/>
  <c r="CL52" i="6"/>
  <c r="CM52" i="6" s="1"/>
  <c r="CN52" i="6" s="1"/>
  <c r="CL51" i="6"/>
  <c r="CM51" i="6" s="1"/>
  <c r="CN51" i="6" s="1"/>
  <c r="CL50" i="6"/>
  <c r="CM50" i="6" s="1"/>
  <c r="CN50" i="6" s="1"/>
  <c r="CL49" i="6"/>
  <c r="CM49" i="6" s="1"/>
  <c r="CN49" i="6" s="1"/>
  <c r="CL48" i="6"/>
  <c r="CM48" i="6" s="1"/>
  <c r="CN48" i="6" s="1"/>
  <c r="CL47" i="6"/>
  <c r="CM47" i="6" s="1"/>
  <c r="CN47" i="6" s="1"/>
  <c r="CL46" i="6"/>
  <c r="CM46" i="6" s="1"/>
  <c r="CN46" i="6" s="1"/>
  <c r="CL45" i="6"/>
  <c r="CM45" i="6" s="1"/>
  <c r="CN45" i="6" s="1"/>
  <c r="CL44" i="6"/>
  <c r="CM44" i="6" s="1"/>
  <c r="CN44" i="6" s="1"/>
  <c r="CL43" i="6"/>
  <c r="CM43" i="6" s="1"/>
  <c r="CN43" i="6" s="1"/>
  <c r="CL42" i="6"/>
  <c r="CM42" i="6" s="1"/>
  <c r="CN42" i="6" s="1"/>
  <c r="CL41" i="6"/>
  <c r="CM41" i="6" s="1"/>
  <c r="CN41" i="6" s="1"/>
  <c r="CL40" i="6"/>
  <c r="CM40" i="6" s="1"/>
  <c r="CN40" i="6" s="1"/>
  <c r="CL39" i="6"/>
  <c r="CM39" i="6" s="1"/>
  <c r="CN39" i="6" s="1"/>
  <c r="CL38" i="6"/>
  <c r="CM38" i="6" s="1"/>
  <c r="CN38" i="6" s="1"/>
  <c r="CL37" i="6"/>
  <c r="CM37" i="6" s="1"/>
  <c r="CN37" i="6" s="1"/>
  <c r="CL36" i="6"/>
  <c r="CM36" i="6" s="1"/>
  <c r="CN36" i="6" s="1"/>
  <c r="CL35" i="6"/>
  <c r="CM35" i="6" s="1"/>
  <c r="CN35" i="6" s="1"/>
  <c r="CL34" i="6"/>
  <c r="CM34" i="6" s="1"/>
  <c r="CN34" i="6" s="1"/>
  <c r="CL33" i="6"/>
  <c r="CM33" i="6" s="1"/>
  <c r="CN33" i="6" s="1"/>
  <c r="CL32" i="6"/>
  <c r="CM32" i="6" s="1"/>
  <c r="CN32" i="6" s="1"/>
  <c r="CL31" i="6"/>
  <c r="CM31" i="6" s="1"/>
  <c r="CN31" i="6" s="1"/>
  <c r="CL30" i="6"/>
  <c r="CM30" i="6" s="1"/>
  <c r="CN30" i="6" s="1"/>
  <c r="CL29" i="6"/>
  <c r="CM29" i="6" s="1"/>
  <c r="CN29" i="6" s="1"/>
  <c r="CL28" i="6"/>
  <c r="CM28" i="6" s="1"/>
  <c r="CN28" i="6" s="1"/>
  <c r="CL27" i="6"/>
  <c r="CM27" i="6" s="1"/>
  <c r="CN27" i="6" s="1"/>
  <c r="CL26" i="6"/>
  <c r="CM26" i="6" s="1"/>
  <c r="CN26" i="6" s="1"/>
  <c r="CL25" i="6"/>
  <c r="CM25" i="6" s="1"/>
  <c r="CN25" i="6" s="1"/>
  <c r="CL24" i="6"/>
  <c r="CM24" i="6" s="1"/>
  <c r="CN24" i="6" s="1"/>
  <c r="CL23" i="6"/>
  <c r="CM23" i="6" s="1"/>
  <c r="CN23" i="6" s="1"/>
  <c r="CL22" i="6"/>
  <c r="CM22" i="6" s="1"/>
  <c r="CN22" i="6" s="1"/>
  <c r="CL21" i="6"/>
  <c r="CM21" i="6" s="1"/>
  <c r="CN21" i="6" s="1"/>
  <c r="CL20" i="6"/>
  <c r="CM20" i="6" s="1"/>
  <c r="CN20" i="6" s="1"/>
  <c r="CL19" i="6"/>
  <c r="CM19" i="6" s="1"/>
  <c r="CN19" i="6" s="1"/>
  <c r="CL18" i="6"/>
  <c r="CM18" i="6" s="1"/>
  <c r="CN18" i="6" s="1"/>
  <c r="CL17" i="6"/>
  <c r="CM17" i="6" s="1"/>
  <c r="CN17" i="6" s="1"/>
  <c r="CL16" i="6"/>
  <c r="CM16" i="6" s="1"/>
  <c r="CN16" i="6" s="1"/>
  <c r="CL15" i="6"/>
  <c r="CM15" i="6" s="1"/>
  <c r="CN15" i="6" s="1"/>
  <c r="CL14" i="6"/>
  <c r="CM14" i="6" s="1"/>
  <c r="CN14" i="6" s="1"/>
  <c r="CL13" i="6"/>
  <c r="CM13" i="6" s="1"/>
  <c r="CN13" i="6" s="1"/>
  <c r="CL12" i="6"/>
  <c r="CM12" i="6" s="1"/>
  <c r="CN12" i="6" s="1"/>
  <c r="CL11" i="6"/>
  <c r="CM11" i="6" s="1"/>
  <c r="CN11" i="6" s="1"/>
  <c r="CL10" i="6"/>
  <c r="CM10" i="6" s="1"/>
  <c r="CN10" i="6" s="1"/>
  <c r="CL9" i="6"/>
  <c r="CM9" i="6" s="1"/>
  <c r="CN9" i="6" s="1"/>
  <c r="CL8" i="6"/>
  <c r="CM8" i="6" s="1"/>
  <c r="CN8" i="6" s="1"/>
  <c r="CL7" i="6"/>
  <c r="CM7" i="6" s="1"/>
  <c r="CN7" i="6" s="1"/>
  <c r="CL6" i="6"/>
  <c r="CM6" i="6" s="1"/>
  <c r="CN6" i="6" s="1"/>
  <c r="CL5" i="6"/>
  <c r="CM5" i="6" s="1"/>
  <c r="CN5" i="6" s="1"/>
  <c r="CL4" i="6"/>
  <c r="CM4" i="6" s="1"/>
  <c r="CN4" i="6" s="1"/>
  <c r="CL3" i="6"/>
  <c r="CM3" i="6" s="1"/>
  <c r="CN3" i="6" s="1"/>
  <c r="CL2" i="6"/>
  <c r="CM2" i="6" s="1"/>
  <c r="CN2" i="6" s="1"/>
  <c r="CN65" i="5"/>
  <c r="CN64" i="5"/>
  <c r="CN63" i="5"/>
  <c r="CN62" i="5"/>
  <c r="CN61" i="5"/>
  <c r="CN60" i="5"/>
  <c r="CN59" i="5"/>
  <c r="CN58" i="5"/>
  <c r="CN57" i="5"/>
  <c r="CN56" i="5"/>
  <c r="CN55" i="5"/>
  <c r="CN54" i="5"/>
  <c r="CN53" i="5"/>
  <c r="CN52" i="5"/>
  <c r="CN51" i="5"/>
  <c r="CN50" i="5"/>
  <c r="CN49" i="5"/>
  <c r="CN48" i="5"/>
  <c r="CN47" i="5"/>
  <c r="CN46" i="5"/>
  <c r="CN45" i="5"/>
  <c r="CN44" i="5"/>
  <c r="CN43" i="5"/>
  <c r="CN42" i="5"/>
  <c r="CN41" i="5"/>
  <c r="CN40" i="5"/>
  <c r="CN39" i="5"/>
  <c r="CN38" i="5"/>
  <c r="CN37" i="5"/>
  <c r="CN36" i="5"/>
  <c r="CN35" i="5"/>
  <c r="CN34" i="5"/>
  <c r="CN33" i="5"/>
  <c r="CN32" i="5"/>
  <c r="CN31" i="5"/>
  <c r="CN30" i="5"/>
  <c r="CN29" i="5"/>
  <c r="CN28" i="5"/>
  <c r="CN27" i="5"/>
  <c r="CN26" i="5"/>
  <c r="CN25" i="5"/>
  <c r="CN24" i="5"/>
  <c r="CN23" i="5"/>
  <c r="CN22" i="5"/>
  <c r="CN21" i="5"/>
  <c r="CN20" i="5"/>
  <c r="CN19" i="5"/>
  <c r="CN18" i="5"/>
  <c r="CN17" i="5"/>
  <c r="CN16" i="5"/>
  <c r="CN15" i="5"/>
  <c r="CN14" i="5"/>
  <c r="CN13" i="5"/>
  <c r="CN12" i="5"/>
  <c r="CN11" i="5"/>
  <c r="CN10" i="5"/>
  <c r="CN9" i="5"/>
  <c r="CN8" i="5"/>
  <c r="CN7" i="5"/>
  <c r="CN6" i="5"/>
  <c r="CN5" i="5"/>
  <c r="CN4" i="5"/>
  <c r="CN3" i="5"/>
  <c r="CN2" i="5"/>
  <c r="CM65" i="5"/>
  <c r="CM64" i="5"/>
  <c r="CM63" i="5"/>
  <c r="CM62" i="5"/>
  <c r="CM61" i="5"/>
  <c r="CM60" i="5"/>
  <c r="CM59" i="5"/>
  <c r="CM58" i="5"/>
  <c r="CM57" i="5"/>
  <c r="CM56" i="5"/>
  <c r="CM55" i="5"/>
  <c r="CM54" i="5"/>
  <c r="CM53" i="5"/>
  <c r="CM52" i="5"/>
  <c r="CM51" i="5"/>
  <c r="CM50" i="5"/>
  <c r="CM49" i="5"/>
  <c r="CM48" i="5"/>
  <c r="CM47" i="5"/>
  <c r="CM46" i="5"/>
  <c r="CM45" i="5"/>
  <c r="CM44" i="5"/>
  <c r="CM43" i="5"/>
  <c r="CM42" i="5"/>
  <c r="CM41" i="5"/>
  <c r="CM40" i="5"/>
  <c r="CM39" i="5"/>
  <c r="CM38" i="5"/>
  <c r="CM37" i="5"/>
  <c r="CM36" i="5"/>
  <c r="CM35" i="5"/>
  <c r="CM34" i="5"/>
  <c r="CM33" i="5"/>
  <c r="CM32" i="5"/>
  <c r="CM31" i="5"/>
  <c r="CM30" i="5"/>
  <c r="CM29" i="5"/>
  <c r="CM28" i="5"/>
  <c r="CM27" i="5"/>
  <c r="CM26" i="5"/>
  <c r="CM25" i="5"/>
  <c r="CM24" i="5"/>
  <c r="CM23" i="5"/>
  <c r="CM22" i="5"/>
  <c r="CM21" i="5"/>
  <c r="CM20" i="5"/>
  <c r="CM19" i="5"/>
  <c r="CM18" i="5"/>
  <c r="CM17" i="5"/>
  <c r="CM16" i="5"/>
  <c r="CM15" i="5"/>
  <c r="CM14" i="5"/>
  <c r="CM13" i="5"/>
  <c r="CM12" i="5"/>
  <c r="CM11" i="5"/>
  <c r="CM10" i="5"/>
  <c r="CM9" i="5"/>
  <c r="CM8" i="5"/>
  <c r="CM7" i="5"/>
  <c r="CM6" i="5"/>
  <c r="CM5" i="5"/>
  <c r="CM4" i="5"/>
  <c r="CM3" i="5"/>
  <c r="CM2" i="5"/>
  <c r="CL65" i="5"/>
  <c r="CL64" i="5"/>
  <c r="CL63" i="5"/>
  <c r="CL62" i="5"/>
  <c r="CL61" i="5"/>
  <c r="CL60" i="5"/>
  <c r="CL59" i="5"/>
  <c r="CL58" i="5"/>
  <c r="CL57" i="5"/>
  <c r="CL56" i="5"/>
  <c r="CL55" i="5"/>
  <c r="CL54" i="5"/>
  <c r="CL53" i="5"/>
  <c r="CL52" i="5"/>
  <c r="CL51" i="5"/>
  <c r="CL50" i="5"/>
  <c r="CL49" i="5"/>
  <c r="CL48" i="5"/>
  <c r="CL47" i="5"/>
  <c r="CL46" i="5"/>
  <c r="CL45" i="5"/>
  <c r="CL44" i="5"/>
  <c r="CL43" i="5"/>
  <c r="CL42" i="5"/>
  <c r="CL41" i="5"/>
  <c r="CL40" i="5"/>
  <c r="CL39" i="5"/>
  <c r="CL38" i="5"/>
  <c r="CL37" i="5"/>
  <c r="CL36" i="5"/>
  <c r="CL35" i="5"/>
  <c r="CL34" i="5"/>
  <c r="CL33" i="5"/>
  <c r="CL32" i="5"/>
  <c r="CL31" i="5"/>
  <c r="CL30" i="5"/>
  <c r="CL29" i="5"/>
  <c r="CL28" i="5"/>
  <c r="CL27" i="5"/>
  <c r="CL26" i="5"/>
  <c r="CL25" i="5"/>
  <c r="CL24" i="5"/>
  <c r="CL23" i="5"/>
  <c r="CL22" i="5"/>
  <c r="CL21" i="5"/>
  <c r="CL20" i="5"/>
  <c r="CL19" i="5"/>
  <c r="CL18" i="5"/>
  <c r="CL17" i="5"/>
  <c r="CL16" i="5"/>
  <c r="CL15" i="5"/>
  <c r="CL14" i="5"/>
  <c r="CL13" i="5"/>
  <c r="CL12" i="5"/>
  <c r="CL11" i="5"/>
  <c r="CL10" i="5"/>
  <c r="CL9" i="5"/>
  <c r="CL8" i="5"/>
  <c r="CL7" i="5"/>
  <c r="CL6" i="5"/>
  <c r="CL5" i="5"/>
  <c r="CL4" i="5"/>
  <c r="CL3" i="5"/>
  <c r="CL2" i="5"/>
  <c r="CU53" i="2"/>
  <c r="CT53" i="2"/>
  <c r="CM53" i="2"/>
  <c r="CN53" i="2" s="1"/>
  <c r="CV65" i="2"/>
  <c r="CV64" i="2"/>
  <c r="CV63" i="2"/>
  <c r="CV62" i="2"/>
  <c r="CV61" i="2"/>
  <c r="CV60" i="2"/>
  <c r="CV59" i="2"/>
  <c r="CV58" i="2"/>
  <c r="CV57" i="2"/>
  <c r="CW57" i="2" s="1"/>
  <c r="CV56" i="2"/>
  <c r="CW56" i="2" s="1"/>
  <c r="CV55" i="2"/>
  <c r="CW55" i="2" s="1"/>
  <c r="CV54" i="2"/>
  <c r="CW54" i="2" s="1"/>
  <c r="CV52" i="2"/>
  <c r="CW52" i="2" s="1"/>
  <c r="CV51" i="2"/>
  <c r="CW51" i="2" s="1"/>
  <c r="CV50" i="2"/>
  <c r="CW50" i="2" s="1"/>
  <c r="CV49" i="2"/>
  <c r="CW49" i="2" s="1"/>
  <c r="CV48" i="2"/>
  <c r="CW48" i="2" s="1"/>
  <c r="CV47" i="2"/>
  <c r="CW47" i="2" s="1"/>
  <c r="CV46" i="2"/>
  <c r="CW46" i="2" s="1"/>
  <c r="CV45" i="2"/>
  <c r="CW45" i="2" s="1"/>
  <c r="CV44" i="2"/>
  <c r="CW44" i="2" s="1"/>
  <c r="CV43" i="2"/>
  <c r="CW43" i="2" s="1"/>
  <c r="CV42" i="2"/>
  <c r="CW42" i="2" s="1"/>
  <c r="CV41" i="2"/>
  <c r="CV40" i="2"/>
  <c r="CV39" i="2"/>
  <c r="CV38" i="2"/>
  <c r="CV37" i="2"/>
  <c r="CV36" i="2"/>
  <c r="CV35" i="2"/>
  <c r="CV34" i="2"/>
  <c r="CV33" i="2"/>
  <c r="CW33" i="2" s="1"/>
  <c r="CV32" i="2"/>
  <c r="CW32" i="2" s="1"/>
  <c r="CV31" i="2"/>
  <c r="CW31" i="2" s="1"/>
  <c r="CV30" i="2"/>
  <c r="CW30" i="2" s="1"/>
  <c r="CV29" i="2"/>
  <c r="CW29" i="2" s="1"/>
  <c r="CV28" i="2"/>
  <c r="CW28" i="2" s="1"/>
  <c r="CV27" i="2"/>
  <c r="CW27" i="2" s="1"/>
  <c r="CV26" i="2"/>
  <c r="CW26" i="2" s="1"/>
  <c r="CV25" i="2"/>
  <c r="CW25" i="2" s="1"/>
  <c r="CV24" i="2"/>
  <c r="CW24" i="2" s="1"/>
  <c r="CV23" i="2"/>
  <c r="CW23" i="2" s="1"/>
  <c r="CV22" i="2"/>
  <c r="CW22" i="2" s="1"/>
  <c r="CV21" i="2"/>
  <c r="CW21" i="2" s="1"/>
  <c r="CV20" i="2"/>
  <c r="CW20" i="2" s="1"/>
  <c r="CV19" i="2"/>
  <c r="CW19" i="2" s="1"/>
  <c r="CV18" i="2"/>
  <c r="CW18" i="2" s="1"/>
  <c r="CV17" i="2"/>
  <c r="CV16" i="2"/>
  <c r="CV15" i="2"/>
  <c r="CV14" i="2"/>
  <c r="CV13" i="2"/>
  <c r="CV12" i="2"/>
  <c r="CV11" i="2"/>
  <c r="CV10" i="2"/>
  <c r="CV9" i="2"/>
  <c r="CW9" i="2" s="1"/>
  <c r="CV8" i="2"/>
  <c r="CW8" i="2" s="1"/>
  <c r="CV7" i="2"/>
  <c r="CW7" i="2" s="1"/>
  <c r="CV6" i="2"/>
  <c r="CW6" i="2" s="1"/>
  <c r="CV5" i="2"/>
  <c r="CW5" i="2" s="1"/>
  <c r="CV4" i="2"/>
  <c r="CW4" i="2" s="1"/>
  <c r="CV3" i="2"/>
  <c r="CW3" i="2" s="1"/>
  <c r="CV2" i="2"/>
  <c r="CW65" i="2"/>
  <c r="CW64" i="2"/>
  <c r="CW63" i="2"/>
  <c r="CW62" i="2"/>
  <c r="CW61" i="2"/>
  <c r="CW60" i="2"/>
  <c r="CW59" i="2"/>
  <c r="CW58" i="2"/>
  <c r="CW41" i="2"/>
  <c r="CW40" i="2"/>
  <c r="CW39" i="2"/>
  <c r="CW38" i="2"/>
  <c r="CW37" i="2"/>
  <c r="CW36" i="2"/>
  <c r="CW35" i="2"/>
  <c r="CW34" i="2"/>
  <c r="CW17" i="2"/>
  <c r="CW16" i="2"/>
  <c r="CW15" i="2"/>
  <c r="CW14" i="2"/>
  <c r="CW13" i="2"/>
  <c r="CW12" i="2"/>
  <c r="CW11" i="2"/>
  <c r="CW10" i="2"/>
  <c r="CW2" i="2"/>
  <c r="CO53" i="2" l="1"/>
  <c r="CV53" i="2"/>
  <c r="CW53" i="2" s="1"/>
  <c r="AP69" i="6" l="1"/>
  <c r="AQ69" i="6" s="1"/>
  <c r="BT68" i="6"/>
  <c r="BP68" i="6"/>
  <c r="BN68" i="6"/>
  <c r="BM68" i="6"/>
  <c r="BL68" i="6"/>
  <c r="BK68" i="6"/>
  <c r="BJ68" i="6"/>
  <c r="BI68" i="6"/>
  <c r="BH68" i="6"/>
  <c r="AP68" i="6"/>
  <c r="AQ68" i="6" s="1"/>
  <c r="BV68" i="6" s="1"/>
  <c r="AP65" i="6"/>
  <c r="AQ65" i="6" s="1"/>
  <c r="AP64" i="6"/>
  <c r="AQ64" i="6" s="1"/>
  <c r="BI64" i="6" s="1"/>
  <c r="AP63" i="6"/>
  <c r="AQ63" i="6" s="1"/>
  <c r="BX63" i="6" s="1"/>
  <c r="AP62" i="6"/>
  <c r="AQ62" i="6" s="1"/>
  <c r="AP61" i="6"/>
  <c r="AQ61" i="6" s="1"/>
  <c r="AP60" i="6"/>
  <c r="AQ60" i="6" s="1"/>
  <c r="AP59" i="6"/>
  <c r="AQ59" i="6" s="1"/>
  <c r="BN59" i="6" s="1"/>
  <c r="AP58" i="6"/>
  <c r="AQ58" i="6" s="1"/>
  <c r="BK57" i="6"/>
  <c r="BJ57" i="6"/>
  <c r="BI57" i="6"/>
  <c r="BH57" i="6"/>
  <c r="BG57" i="6"/>
  <c r="BF57" i="6"/>
  <c r="AP57" i="6"/>
  <c r="AQ57" i="6" s="1"/>
  <c r="BE57" i="6" s="1"/>
  <c r="AP56" i="6"/>
  <c r="AQ56" i="6" s="1"/>
  <c r="AP55" i="6"/>
  <c r="AQ55" i="6" s="1"/>
  <c r="AP54" i="6"/>
  <c r="AQ54" i="6" s="1"/>
  <c r="AP53" i="6"/>
  <c r="AQ53" i="6" s="1"/>
  <c r="BH53" i="6" s="1"/>
  <c r="AQ52" i="6"/>
  <c r="AP52" i="6"/>
  <c r="AP51" i="6"/>
  <c r="AQ51" i="6" s="1"/>
  <c r="CE51" i="6" s="1"/>
  <c r="AP50" i="6"/>
  <c r="AQ50" i="6" s="1"/>
  <c r="AP49" i="6"/>
  <c r="AQ49" i="6" s="1"/>
  <c r="CD49" i="6" s="1"/>
  <c r="AP48" i="6"/>
  <c r="AQ48" i="6" s="1"/>
  <c r="CD47" i="6"/>
  <c r="CC47" i="6"/>
  <c r="CB47" i="6"/>
  <c r="BT47" i="6"/>
  <c r="BS47" i="6"/>
  <c r="BR47" i="6"/>
  <c r="BN47" i="6"/>
  <c r="BM47" i="6"/>
  <c r="BL47" i="6"/>
  <c r="BK47" i="6"/>
  <c r="BJ47" i="6"/>
  <c r="BI47" i="6"/>
  <c r="AY47" i="6"/>
  <c r="AQ47" i="6"/>
  <c r="BH47" i="6" s="1"/>
  <c r="AP47" i="6"/>
  <c r="AP46" i="6"/>
  <c r="AQ46" i="6" s="1"/>
  <c r="AP45" i="6"/>
  <c r="AQ45" i="6" s="1"/>
  <c r="CB45" i="6" s="1"/>
  <c r="AP44" i="6"/>
  <c r="AQ44" i="6" s="1"/>
  <c r="AP43" i="6"/>
  <c r="AQ43" i="6" s="1"/>
  <c r="CE43" i="6" s="1"/>
  <c r="AP42" i="6"/>
  <c r="AQ42" i="6" s="1"/>
  <c r="AP41" i="6"/>
  <c r="AQ41" i="6" s="1"/>
  <c r="AP40" i="6"/>
  <c r="AQ40" i="6" s="1"/>
  <c r="AP39" i="6"/>
  <c r="AQ39" i="6" s="1"/>
  <c r="AV39" i="6" s="1"/>
  <c r="AP38" i="6"/>
  <c r="AQ38" i="6" s="1"/>
  <c r="CE37" i="6"/>
  <c r="CD37" i="6"/>
  <c r="CC37" i="6"/>
  <c r="CB37" i="6"/>
  <c r="CA37" i="6"/>
  <c r="BZ37" i="6"/>
  <c r="BY37" i="6"/>
  <c r="BX37" i="6"/>
  <c r="BP37" i="6"/>
  <c r="BH37" i="6"/>
  <c r="BE37" i="6"/>
  <c r="BC37" i="6"/>
  <c r="AP37" i="6"/>
  <c r="AQ37" i="6" s="1"/>
  <c r="BB37" i="6" s="1"/>
  <c r="AP36" i="6"/>
  <c r="AQ36" i="6" s="1"/>
  <c r="BZ36" i="6" s="1"/>
  <c r="AP35" i="6"/>
  <c r="AQ35" i="6" s="1"/>
  <c r="AY35" i="6" s="1"/>
  <c r="AP34" i="6"/>
  <c r="AQ34" i="6" s="1"/>
  <c r="AP33" i="6"/>
  <c r="AQ33" i="6" s="1"/>
  <c r="AP32" i="6"/>
  <c r="AQ32" i="6" s="1"/>
  <c r="CA32" i="6" s="1"/>
  <c r="AP31" i="6"/>
  <c r="AQ31" i="6" s="1"/>
  <c r="AP30" i="6"/>
  <c r="AQ30" i="6" s="1"/>
  <c r="AQ29" i="6"/>
  <c r="AP29" i="6"/>
  <c r="AP28" i="6"/>
  <c r="AQ28" i="6" s="1"/>
  <c r="AP27" i="6"/>
  <c r="AQ27" i="6" s="1"/>
  <c r="AP26" i="6"/>
  <c r="AQ26" i="6" s="1"/>
  <c r="BX25" i="6"/>
  <c r="AQ25" i="6"/>
  <c r="BY25" i="6" s="1"/>
  <c r="AP25" i="6"/>
  <c r="AP24" i="6"/>
  <c r="AQ24" i="6" s="1"/>
  <c r="AP23" i="6"/>
  <c r="AQ23" i="6" s="1"/>
  <c r="AQ22" i="6"/>
  <c r="BY22" i="6" s="1"/>
  <c r="AP22" i="6"/>
  <c r="AP21" i="6"/>
  <c r="AQ21" i="6" s="1"/>
  <c r="AP20" i="6"/>
  <c r="AQ20" i="6" s="1"/>
  <c r="AP19" i="6"/>
  <c r="AQ19" i="6" s="1"/>
  <c r="AP18" i="6"/>
  <c r="AQ18" i="6" s="1"/>
  <c r="AP17" i="6"/>
  <c r="AQ17" i="6" s="1"/>
  <c r="AP16" i="6"/>
  <c r="AQ16" i="6" s="1"/>
  <c r="BV16" i="6" s="1"/>
  <c r="AP15" i="6"/>
  <c r="AQ15" i="6" s="1"/>
  <c r="AP14" i="6"/>
  <c r="AQ14" i="6" s="1"/>
  <c r="AP13" i="6"/>
  <c r="AQ13" i="6" s="1"/>
  <c r="AP12" i="6"/>
  <c r="AQ12" i="6" s="1"/>
  <c r="AP11" i="6"/>
  <c r="AQ11" i="6" s="1"/>
  <c r="AP10" i="6"/>
  <c r="AQ10" i="6" s="1"/>
  <c r="AP9" i="6"/>
  <c r="AQ9" i="6" s="1"/>
  <c r="AP8" i="6"/>
  <c r="AQ8" i="6" s="1"/>
  <c r="AP7" i="6"/>
  <c r="AQ7" i="6" s="1"/>
  <c r="AP6" i="6"/>
  <c r="AQ6" i="6" s="1"/>
  <c r="AP5" i="6"/>
  <c r="AQ5" i="6" s="1"/>
  <c r="AP4" i="6"/>
  <c r="AQ4" i="6" s="1"/>
  <c r="AP3" i="6"/>
  <c r="AQ3" i="6" s="1"/>
  <c r="AP2" i="6"/>
  <c r="AQ2" i="6" s="1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P69" i="5"/>
  <c r="AQ69" i="5" s="1"/>
  <c r="CE68" i="5"/>
  <c r="BZ68" i="5"/>
  <c r="BU68" i="5"/>
  <c r="BP68" i="5"/>
  <c r="BO68" i="5"/>
  <c r="BN68" i="5"/>
  <c r="BM68" i="5"/>
  <c r="BL68" i="5"/>
  <c r="BK68" i="5"/>
  <c r="AQ68" i="5"/>
  <c r="AP68" i="5"/>
  <c r="AP65" i="5"/>
  <c r="AQ65" i="5" s="1"/>
  <c r="CE65" i="5" s="1"/>
  <c r="AP64" i="5"/>
  <c r="AQ64" i="5" s="1"/>
  <c r="BV63" i="5"/>
  <c r="BJ63" i="5"/>
  <c r="BH63" i="5"/>
  <c r="BG63" i="5"/>
  <c r="BF63" i="5"/>
  <c r="BE63" i="5"/>
  <c r="BD63" i="5"/>
  <c r="AP63" i="5"/>
  <c r="AQ63" i="5" s="1"/>
  <c r="CC63" i="5" s="1"/>
  <c r="BX62" i="5"/>
  <c r="BV62" i="5"/>
  <c r="BU62" i="5"/>
  <c r="BT62" i="5"/>
  <c r="BS62" i="5"/>
  <c r="BR62" i="5"/>
  <c r="BQ62" i="5"/>
  <c r="BP62" i="5"/>
  <c r="BO62" i="5"/>
  <c r="BJ62" i="5"/>
  <c r="BI62" i="5"/>
  <c r="AP62" i="5"/>
  <c r="AQ62" i="5" s="1"/>
  <c r="CD62" i="5" s="1"/>
  <c r="AP61" i="5"/>
  <c r="AQ61" i="5" s="1"/>
  <c r="AP60" i="5"/>
  <c r="AQ60" i="5" s="1"/>
  <c r="AP59" i="5"/>
  <c r="AQ59" i="5" s="1"/>
  <c r="AP58" i="5"/>
  <c r="AQ58" i="5" s="1"/>
  <c r="CD57" i="5"/>
  <c r="CC57" i="5"/>
  <c r="CB57" i="5"/>
  <c r="BT57" i="5"/>
  <c r="BS57" i="5"/>
  <c r="BN57" i="5"/>
  <c r="BM57" i="5"/>
  <c r="BL57" i="5"/>
  <c r="AP57" i="5"/>
  <c r="AQ57" i="5" s="1"/>
  <c r="CE57" i="5" s="1"/>
  <c r="AP56" i="5"/>
  <c r="AQ56" i="5" s="1"/>
  <c r="AP55" i="5"/>
  <c r="AQ55" i="5" s="1"/>
  <c r="CE54" i="5"/>
  <c r="BZ54" i="5"/>
  <c r="AP54" i="5"/>
  <c r="AQ54" i="5" s="1"/>
  <c r="AU54" i="5" s="1"/>
  <c r="AP53" i="5"/>
  <c r="AQ53" i="5" s="1"/>
  <c r="AP52" i="5"/>
  <c r="AQ52" i="5" s="1"/>
  <c r="CE51" i="5"/>
  <c r="CA51" i="5"/>
  <c r="BV51" i="5"/>
  <c r="BU51" i="5"/>
  <c r="BT51" i="5"/>
  <c r="BS51" i="5"/>
  <c r="BN51" i="5"/>
  <c r="BM51" i="5"/>
  <c r="BL51" i="5"/>
  <c r="BK51" i="5"/>
  <c r="BE51" i="5"/>
  <c r="BD51" i="5"/>
  <c r="BC51" i="5"/>
  <c r="AY51" i="5"/>
  <c r="AX51" i="5"/>
  <c r="AW51" i="5"/>
  <c r="AV51" i="5"/>
  <c r="AP51" i="5"/>
  <c r="AQ51" i="5" s="1"/>
  <c r="BX51" i="5" s="1"/>
  <c r="AP50" i="5"/>
  <c r="AQ50" i="5" s="1"/>
  <c r="AP49" i="5"/>
  <c r="AQ49" i="5" s="1"/>
  <c r="AP48" i="5"/>
  <c r="AQ48" i="5" s="1"/>
  <c r="AP47" i="5"/>
  <c r="AQ47" i="5" s="1"/>
  <c r="AP46" i="5"/>
  <c r="AQ46" i="5" s="1"/>
  <c r="AT46" i="5" s="1"/>
  <c r="CA45" i="5"/>
  <c r="BZ45" i="5"/>
  <c r="BY45" i="5"/>
  <c r="BX45" i="5"/>
  <c r="BW45" i="5"/>
  <c r="BV45" i="5"/>
  <c r="BI45" i="5"/>
  <c r="BH45" i="5"/>
  <c r="AP45" i="5"/>
  <c r="AQ45" i="5" s="1"/>
  <c r="BU45" i="5" s="1"/>
  <c r="AP44" i="5"/>
  <c r="AQ44" i="5" s="1"/>
  <c r="CB43" i="5"/>
  <c r="BS43" i="5"/>
  <c r="BR43" i="5"/>
  <c r="BQ43" i="5"/>
  <c r="BP43" i="5"/>
  <c r="BO43" i="5"/>
  <c r="AP43" i="5"/>
  <c r="AQ43" i="5" s="1"/>
  <c r="BZ43" i="5" s="1"/>
  <c r="AP42" i="5"/>
  <c r="AQ42" i="5" s="1"/>
  <c r="AP41" i="5"/>
  <c r="AQ41" i="5" s="1"/>
  <c r="AP40" i="5"/>
  <c r="AQ40" i="5" s="1"/>
  <c r="AP39" i="5"/>
  <c r="AQ39" i="5" s="1"/>
  <c r="CB39" i="5" s="1"/>
  <c r="AP38" i="5"/>
  <c r="AQ38" i="5" s="1"/>
  <c r="BB37" i="5"/>
  <c r="AP37" i="5"/>
  <c r="AQ37" i="5" s="1"/>
  <c r="CB37" i="5" s="1"/>
  <c r="AP36" i="5"/>
  <c r="AQ36" i="5" s="1"/>
  <c r="AP35" i="5"/>
  <c r="AQ35" i="5" s="1"/>
  <c r="AP34" i="5"/>
  <c r="AQ34" i="5" s="1"/>
  <c r="CE33" i="5"/>
  <c r="CD33" i="5"/>
  <c r="CC33" i="5"/>
  <c r="CB33" i="5"/>
  <c r="CA33" i="5"/>
  <c r="BT33" i="5"/>
  <c r="BS33" i="5"/>
  <c r="BO33" i="5"/>
  <c r="BN33" i="5"/>
  <c r="BM33" i="5"/>
  <c r="BL33" i="5"/>
  <c r="BK33" i="5"/>
  <c r="BJ33" i="5"/>
  <c r="BI33" i="5"/>
  <c r="BH33" i="5"/>
  <c r="BF33" i="5"/>
  <c r="BD33" i="5"/>
  <c r="BC33" i="5"/>
  <c r="BB33" i="5"/>
  <c r="BA33" i="5"/>
  <c r="AZ33" i="5"/>
  <c r="AY33" i="5"/>
  <c r="AP33" i="5"/>
  <c r="AQ33" i="5" s="1"/>
  <c r="BG33" i="5" s="1"/>
  <c r="AP32" i="5"/>
  <c r="AQ32" i="5" s="1"/>
  <c r="CD31" i="5"/>
  <c r="BT31" i="5"/>
  <c r="BR31" i="5"/>
  <c r="BP31" i="5"/>
  <c r="BM31" i="5"/>
  <c r="AQ31" i="5"/>
  <c r="CB31" i="5" s="1"/>
  <c r="AP31" i="5"/>
  <c r="AQ30" i="5"/>
  <c r="CE30" i="5" s="1"/>
  <c r="AP30" i="5"/>
  <c r="AP29" i="5"/>
  <c r="AQ29" i="5" s="1"/>
  <c r="AP28" i="5"/>
  <c r="AQ28" i="5" s="1"/>
  <c r="CD27" i="5"/>
  <c r="CB27" i="5"/>
  <c r="BU27" i="5"/>
  <c r="BA27" i="5"/>
  <c r="AX27" i="5"/>
  <c r="AP27" i="5"/>
  <c r="AQ27" i="5" s="1"/>
  <c r="BV27" i="5" s="1"/>
  <c r="CC26" i="5"/>
  <c r="BT26" i="5"/>
  <c r="BS26" i="5"/>
  <c r="BQ26" i="5"/>
  <c r="BO26" i="5"/>
  <c r="BK26" i="5"/>
  <c r="BI26" i="5"/>
  <c r="AQ26" i="5"/>
  <c r="BX26" i="5" s="1"/>
  <c r="AP26" i="5"/>
  <c r="BZ25" i="5"/>
  <c r="AU25" i="5"/>
  <c r="AQ25" i="5"/>
  <c r="BM25" i="5" s="1"/>
  <c r="AP25" i="5"/>
  <c r="AP24" i="5"/>
  <c r="AQ24" i="5" s="1"/>
  <c r="AP23" i="5"/>
  <c r="AQ23" i="5" s="1"/>
  <c r="AP22" i="5"/>
  <c r="AQ22" i="5" s="1"/>
  <c r="AP21" i="5"/>
  <c r="AQ21" i="5" s="1"/>
  <c r="AP20" i="5"/>
  <c r="AQ20" i="5" s="1"/>
  <c r="AP19" i="5"/>
  <c r="AQ19" i="5" s="1"/>
  <c r="AP18" i="5"/>
  <c r="AQ18" i="5" s="1"/>
  <c r="BW18" i="5" s="1"/>
  <c r="AP17" i="5"/>
  <c r="AQ17" i="5" s="1"/>
  <c r="AP16" i="5"/>
  <c r="AQ16" i="5" s="1"/>
  <c r="AP15" i="5"/>
  <c r="AQ15" i="5" s="1"/>
  <c r="CE14" i="5"/>
  <c r="CD14" i="5"/>
  <c r="CC14" i="5"/>
  <c r="BW14" i="5"/>
  <c r="BR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AP14" i="5"/>
  <c r="AQ14" i="5" s="1"/>
  <c r="BB14" i="5" s="1"/>
  <c r="AP13" i="5"/>
  <c r="AQ13" i="5" s="1"/>
  <c r="AP12" i="5"/>
  <c r="AQ12" i="5" s="1"/>
  <c r="AP11" i="5"/>
  <c r="AQ11" i="5" s="1"/>
  <c r="AP10" i="5"/>
  <c r="AQ10" i="5" s="1"/>
  <c r="AQ9" i="5"/>
  <c r="AP9" i="5"/>
  <c r="CE8" i="5"/>
  <c r="BL8" i="5"/>
  <c r="BK8" i="5"/>
  <c r="BF8" i="5"/>
  <c r="AP8" i="5"/>
  <c r="AQ8" i="5" s="1"/>
  <c r="BP8" i="5" s="1"/>
  <c r="AP7" i="5"/>
  <c r="AQ7" i="5" s="1"/>
  <c r="AP6" i="5"/>
  <c r="AQ6" i="5" s="1"/>
  <c r="AP5" i="5"/>
  <c r="AQ5" i="5" s="1"/>
  <c r="AP4" i="5"/>
  <c r="AQ4" i="5" s="1"/>
  <c r="AP3" i="5"/>
  <c r="AQ3" i="5" s="1"/>
  <c r="AP2" i="5"/>
  <c r="AQ2" i="5" s="1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W69" i="4"/>
  <c r="AQ69" i="4"/>
  <c r="AP69" i="4"/>
  <c r="CB68" i="4"/>
  <c r="BV68" i="4"/>
  <c r="BU68" i="4"/>
  <c r="BT68" i="4"/>
  <c r="BS68" i="4"/>
  <c r="BN68" i="4"/>
  <c r="BM68" i="4"/>
  <c r="BL68" i="4"/>
  <c r="BK68" i="4"/>
  <c r="BJ68" i="4"/>
  <c r="BI68" i="4"/>
  <c r="BH68" i="4"/>
  <c r="BG68" i="4"/>
  <c r="BF68" i="4"/>
  <c r="BE68" i="4"/>
  <c r="AT68" i="4"/>
  <c r="AQ68" i="4"/>
  <c r="AP68" i="4"/>
  <c r="AP65" i="4"/>
  <c r="AQ65" i="4" s="1"/>
  <c r="CE64" i="4"/>
  <c r="CD64" i="4"/>
  <c r="CC64" i="4"/>
  <c r="BJ64" i="4"/>
  <c r="BI64" i="4"/>
  <c r="BH64" i="4"/>
  <c r="BG64" i="4"/>
  <c r="BF64" i="4"/>
  <c r="BE64" i="4"/>
  <c r="AP64" i="4"/>
  <c r="AQ64" i="4" s="1"/>
  <c r="BN64" i="4" s="1"/>
  <c r="AP63" i="4"/>
  <c r="AQ63" i="4" s="1"/>
  <c r="AP62" i="4"/>
  <c r="AQ62" i="4" s="1"/>
  <c r="BE62" i="4" s="1"/>
  <c r="BN61" i="4"/>
  <c r="BM61" i="4"/>
  <c r="BL61" i="4"/>
  <c r="BK61" i="4"/>
  <c r="BJ61" i="4"/>
  <c r="BI61" i="4"/>
  <c r="BH61" i="4"/>
  <c r="BD61" i="4"/>
  <c r="AP61" i="4"/>
  <c r="AQ61" i="4" s="1"/>
  <c r="BW61" i="4" s="1"/>
  <c r="AQ60" i="4"/>
  <c r="BQ60" i="4" s="1"/>
  <c r="AP60" i="4"/>
  <c r="AP59" i="4"/>
  <c r="AQ59" i="4" s="1"/>
  <c r="AP58" i="4"/>
  <c r="AQ58" i="4" s="1"/>
  <c r="AP57" i="4"/>
  <c r="AQ57" i="4" s="1"/>
  <c r="CD56" i="4"/>
  <c r="CC56" i="4"/>
  <c r="BS56" i="4"/>
  <c r="BR56" i="4"/>
  <c r="BQ56" i="4"/>
  <c r="BP56" i="4"/>
  <c r="BO56" i="4"/>
  <c r="BN56" i="4"/>
  <c r="BM56" i="4"/>
  <c r="BL56" i="4"/>
  <c r="BH56" i="4"/>
  <c r="BG56" i="4"/>
  <c r="BF56" i="4"/>
  <c r="AP56" i="4"/>
  <c r="AQ56" i="4" s="1"/>
  <c r="BE56" i="4" s="1"/>
  <c r="AP55" i="4"/>
  <c r="AQ55" i="4" s="1"/>
  <c r="BP54" i="4"/>
  <c r="BO54" i="4"/>
  <c r="AP54" i="4"/>
  <c r="AQ54" i="4" s="1"/>
  <c r="CE54" i="4" s="1"/>
  <c r="AP53" i="4"/>
  <c r="AQ53" i="4" s="1"/>
  <c r="AP52" i="4"/>
  <c r="AQ52" i="4" s="1"/>
  <c r="CD52" i="4" s="1"/>
  <c r="AP51" i="4"/>
  <c r="AQ51" i="4" s="1"/>
  <c r="AP50" i="4"/>
  <c r="AQ50" i="4" s="1"/>
  <c r="CB50" i="4" s="1"/>
  <c r="AP49" i="4"/>
  <c r="AQ49" i="4" s="1"/>
  <c r="CE48" i="4"/>
  <c r="CD48" i="4"/>
  <c r="CC48" i="4"/>
  <c r="BS48" i="4"/>
  <c r="BP48" i="4"/>
  <c r="BO48" i="4"/>
  <c r="BN48" i="4"/>
  <c r="BM48" i="4"/>
  <c r="BL48" i="4"/>
  <c r="BK48" i="4"/>
  <c r="BJ48" i="4"/>
  <c r="BI48" i="4"/>
  <c r="BH48" i="4"/>
  <c r="BG48" i="4"/>
  <c r="AZ48" i="4"/>
  <c r="AY48" i="4"/>
  <c r="AX48" i="4"/>
  <c r="AW48" i="4"/>
  <c r="AV48" i="4"/>
  <c r="AU48" i="4"/>
  <c r="AQ48" i="4"/>
  <c r="BF48" i="4" s="1"/>
  <c r="AP48" i="4"/>
  <c r="AP47" i="4"/>
  <c r="AQ47" i="4" s="1"/>
  <c r="AP46" i="4"/>
  <c r="AQ46" i="4" s="1"/>
  <c r="AP45" i="4"/>
  <c r="AQ45" i="4" s="1"/>
  <c r="AP44" i="4"/>
  <c r="AQ44" i="4" s="1"/>
  <c r="AP43" i="4"/>
  <c r="AQ43" i="4" s="1"/>
  <c r="CA43" i="4" s="1"/>
  <c r="AP42" i="4"/>
  <c r="AQ42" i="4" s="1"/>
  <c r="AP41" i="4"/>
  <c r="AQ41" i="4" s="1"/>
  <c r="AP40" i="4"/>
  <c r="AQ40" i="4" s="1"/>
  <c r="AP39" i="4"/>
  <c r="AQ39" i="4" s="1"/>
  <c r="AP38" i="4"/>
  <c r="AQ38" i="4" s="1"/>
  <c r="AP37" i="4"/>
  <c r="AQ37" i="4" s="1"/>
  <c r="AP36" i="4"/>
  <c r="AQ36" i="4" s="1"/>
  <c r="AQ35" i="4"/>
  <c r="BZ35" i="4" s="1"/>
  <c r="AP35" i="4"/>
  <c r="AP34" i="4"/>
  <c r="AQ34" i="4" s="1"/>
  <c r="AP33" i="4"/>
  <c r="AQ33" i="4" s="1"/>
  <c r="AP32" i="4"/>
  <c r="AQ32" i="4" s="1"/>
  <c r="AP31" i="4"/>
  <c r="AQ31" i="4" s="1"/>
  <c r="CB30" i="4"/>
  <c r="BX30" i="4"/>
  <c r="BT30" i="4"/>
  <c r="BS30" i="4"/>
  <c r="BP30" i="4"/>
  <c r="BL30" i="4"/>
  <c r="BH30" i="4"/>
  <c r="BG30" i="4"/>
  <c r="BF30" i="4"/>
  <c r="BE30" i="4"/>
  <c r="BD30" i="4"/>
  <c r="BB30" i="4"/>
  <c r="AZ30" i="4"/>
  <c r="AY30" i="4"/>
  <c r="AX30" i="4"/>
  <c r="AT30" i="4"/>
  <c r="AP30" i="4"/>
  <c r="AQ30" i="4" s="1"/>
  <c r="BO30" i="4" s="1"/>
  <c r="AP29" i="4"/>
  <c r="AQ29" i="4" s="1"/>
  <c r="AP28" i="4"/>
  <c r="AQ28" i="4" s="1"/>
  <c r="AP27" i="4"/>
  <c r="AQ27" i="4" s="1"/>
  <c r="AP26" i="4"/>
  <c r="AQ26" i="4" s="1"/>
  <c r="AP25" i="4"/>
  <c r="AQ25" i="4" s="1"/>
  <c r="AQ24" i="4"/>
  <c r="BX24" i="4" s="1"/>
  <c r="AP24" i="4"/>
  <c r="AP23" i="4"/>
  <c r="AQ23" i="4" s="1"/>
  <c r="CC22" i="4"/>
  <c r="BY22" i="4"/>
  <c r="BX22" i="4"/>
  <c r="BR22" i="4"/>
  <c r="BP22" i="4"/>
  <c r="BO22" i="4"/>
  <c r="BN22" i="4"/>
  <c r="BM22" i="4"/>
  <c r="BK22" i="4"/>
  <c r="BJ22" i="4"/>
  <c r="BI22" i="4"/>
  <c r="BH22" i="4"/>
  <c r="BG22" i="4"/>
  <c r="BF22" i="4"/>
  <c r="BC22" i="4"/>
  <c r="BB22" i="4"/>
  <c r="BA22" i="4"/>
  <c r="AZ22" i="4"/>
  <c r="AY22" i="4"/>
  <c r="AX22" i="4"/>
  <c r="AP22" i="4"/>
  <c r="AQ22" i="4" s="1"/>
  <c r="BL22" i="4" s="1"/>
  <c r="AP21" i="4"/>
  <c r="AQ21" i="4" s="1"/>
  <c r="AP20" i="4"/>
  <c r="AQ20" i="4" s="1"/>
  <c r="BH20" i="4" s="1"/>
  <c r="AP19" i="4"/>
  <c r="AQ19" i="4" s="1"/>
  <c r="BV19" i="4" s="1"/>
  <c r="AP18" i="4"/>
  <c r="AQ18" i="4" s="1"/>
  <c r="AP17" i="4"/>
  <c r="AQ17" i="4" s="1"/>
  <c r="BV16" i="4"/>
  <c r="AP16" i="4"/>
  <c r="AQ16" i="4" s="1"/>
  <c r="BU16" i="4" s="1"/>
  <c r="AP15" i="4"/>
  <c r="AQ15" i="4" s="1"/>
  <c r="AP14" i="4"/>
  <c r="AQ14" i="4" s="1"/>
  <c r="AP13" i="4"/>
  <c r="AQ13" i="4" s="1"/>
  <c r="AP12" i="4"/>
  <c r="AQ12" i="4" s="1"/>
  <c r="AP11" i="4"/>
  <c r="AQ11" i="4" s="1"/>
  <c r="BR10" i="4"/>
  <c r="BN10" i="4"/>
  <c r="BJ10" i="4"/>
  <c r="BI10" i="4"/>
  <c r="AP10" i="4"/>
  <c r="AQ10" i="4" s="1"/>
  <c r="BS10" i="4" s="1"/>
  <c r="AP9" i="4"/>
  <c r="AQ9" i="4" s="1"/>
  <c r="AP8" i="4"/>
  <c r="AQ8" i="4" s="1"/>
  <c r="AP7" i="4"/>
  <c r="AQ7" i="4" s="1"/>
  <c r="AP6" i="4"/>
  <c r="AQ6" i="4" s="1"/>
  <c r="AP5" i="4"/>
  <c r="AQ5" i="4" s="1"/>
  <c r="AP4" i="4"/>
  <c r="AQ4" i="4" s="1"/>
  <c r="AQ3" i="4"/>
  <c r="BO3" i="4" s="1"/>
  <c r="AP3" i="4"/>
  <c r="AP2" i="4"/>
  <c r="AQ2" i="4" s="1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P69" i="3"/>
  <c r="AQ69" i="3" s="1"/>
  <c r="AP68" i="3"/>
  <c r="AQ68" i="3" s="1"/>
  <c r="BU61" i="6" l="1"/>
  <c r="BT61" i="6"/>
  <c r="BS61" i="6"/>
  <c r="BR61" i="6"/>
  <c r="BQ61" i="6"/>
  <c r="BP61" i="6"/>
  <c r="BO61" i="6"/>
  <c r="BN61" i="6"/>
  <c r="BM61" i="6"/>
  <c r="BL61" i="6"/>
  <c r="BQ44" i="6"/>
  <c r="CA44" i="6"/>
  <c r="AX44" i="6"/>
  <c r="BZ44" i="6"/>
  <c r="AW44" i="6"/>
  <c r="CB44" i="6"/>
  <c r="BY44" i="6"/>
  <c r="AV44" i="6"/>
  <c r="BD44" i="6"/>
  <c r="BX44" i="6"/>
  <c r="AU44" i="6"/>
  <c r="BW44" i="6"/>
  <c r="AT44" i="6"/>
  <c r="AY44" i="6"/>
  <c r="BV44" i="6"/>
  <c r="CE44" i="6"/>
  <c r="CC44" i="6"/>
  <c r="BU44" i="6"/>
  <c r="BF44" i="6"/>
  <c r="BT44" i="6"/>
  <c r="BA44" i="6"/>
  <c r="BP44" i="6"/>
  <c r="BO44" i="6"/>
  <c r="BL44" i="6"/>
  <c r="BC44" i="6"/>
  <c r="BK44" i="6"/>
  <c r="BE44" i="6"/>
  <c r="BJ44" i="6"/>
  <c r="BI44" i="6"/>
  <c r="CD44" i="6"/>
  <c r="BH44" i="6"/>
  <c r="BG44" i="6"/>
  <c r="AZ44" i="6"/>
  <c r="BB44" i="6"/>
  <c r="BT55" i="6"/>
  <c r="BQ55" i="6"/>
  <c r="BP55" i="6"/>
  <c r="BO55" i="6"/>
  <c r="BN55" i="6"/>
  <c r="BM55" i="6"/>
  <c r="BL55" i="6"/>
  <c r="BK55" i="6"/>
  <c r="BH55" i="6"/>
  <c r="BG55" i="6"/>
  <c r="BF55" i="6"/>
  <c r="BB55" i="6"/>
  <c r="BA55" i="6"/>
  <c r="BM63" i="6"/>
  <c r="BN63" i="6"/>
  <c r="BP63" i="6"/>
  <c r="CE53" i="6"/>
  <c r="BV63" i="6"/>
  <c r="BW63" i="6"/>
  <c r="BG45" i="6"/>
  <c r="CC45" i="6"/>
  <c r="BI59" i="6"/>
  <c r="BJ53" i="6"/>
  <c r="CD45" i="6"/>
  <c r="BJ59" i="6"/>
  <c r="BG64" i="6"/>
  <c r="CE45" i="6"/>
  <c r="BH64" i="6"/>
  <c r="AX43" i="6"/>
  <c r="CE47" i="6"/>
  <c r="CB43" i="6"/>
  <c r="BG53" i="6"/>
  <c r="CC43" i="6"/>
  <c r="AW47" i="6"/>
  <c r="CD43" i="6"/>
  <c r="AX47" i="6"/>
  <c r="BF45" i="6"/>
  <c r="AZ47" i="6"/>
  <c r="BC47" i="6"/>
  <c r="BD47" i="6"/>
  <c r="BA51" i="6"/>
  <c r="BE47" i="6"/>
  <c r="BI51" i="6"/>
  <c r="BF47" i="6"/>
  <c r="CD51" i="6"/>
  <c r="BG47" i="6"/>
  <c r="BQ41" i="6"/>
  <c r="BP41" i="6"/>
  <c r="BO41" i="6"/>
  <c r="BT41" i="6"/>
  <c r="BN41" i="6"/>
  <c r="AV41" i="6"/>
  <c r="BM41" i="6"/>
  <c r="AX41" i="6"/>
  <c r="AU41" i="6"/>
  <c r="BL41" i="6"/>
  <c r="BK41" i="6"/>
  <c r="BJ41" i="6"/>
  <c r="BI41" i="6"/>
  <c r="BH41" i="6"/>
  <c r="BG41" i="6"/>
  <c r="BF41" i="6"/>
  <c r="BE41" i="6"/>
  <c r="AW41" i="6"/>
  <c r="AT41" i="6"/>
  <c r="BD41" i="6"/>
  <c r="BC41" i="6"/>
  <c r="CE41" i="6"/>
  <c r="AZ41" i="6"/>
  <c r="CD41" i="6"/>
  <c r="AY41" i="6"/>
  <c r="CC41" i="6"/>
  <c r="BW41" i="6"/>
  <c r="BU41" i="6"/>
  <c r="CB41" i="6"/>
  <c r="BV41" i="6"/>
  <c r="CA41" i="6"/>
  <c r="BX41" i="6"/>
  <c r="BX48" i="5"/>
  <c r="BW48" i="5"/>
  <c r="BV48" i="5"/>
  <c r="BU48" i="5"/>
  <c r="BT48" i="5"/>
  <c r="BP48" i="5"/>
  <c r="CE42" i="5"/>
  <c r="BT42" i="5"/>
  <c r="BS42" i="5"/>
  <c r="BU42" i="5"/>
  <c r="BR42" i="5"/>
  <c r="BQ42" i="5"/>
  <c r="BP42" i="5"/>
  <c r="BO42" i="5"/>
  <c r="BN42" i="5"/>
  <c r="BM42" i="5"/>
  <c r="BZ50" i="5"/>
  <c r="BI50" i="5"/>
  <c r="BT50" i="5"/>
  <c r="BH50" i="5"/>
  <c r="AT50" i="5"/>
  <c r="AS50" i="5"/>
  <c r="BP50" i="5"/>
  <c r="BX50" i="5"/>
  <c r="CC50" i="5"/>
  <c r="CB50" i="5"/>
  <c r="BJ50" i="5"/>
  <c r="BY50" i="5"/>
  <c r="BV50" i="5"/>
  <c r="BO50" i="5"/>
  <c r="BW50" i="5"/>
  <c r="BU50" i="5"/>
  <c r="BS59" i="5"/>
  <c r="BJ59" i="5"/>
  <c r="BI59" i="5"/>
  <c r="BH59" i="5"/>
  <c r="BG59" i="5"/>
  <c r="BF59" i="5"/>
  <c r="BE59" i="5"/>
  <c r="BD59" i="5"/>
  <c r="BC59" i="5"/>
  <c r="AX59" i="5"/>
  <c r="AW59" i="5"/>
  <c r="CE59" i="5"/>
  <c r="AV59" i="5"/>
  <c r="BO59" i="5"/>
  <c r="BM59" i="5"/>
  <c r="CD59" i="5"/>
  <c r="AU59" i="5"/>
  <c r="BL59" i="5"/>
  <c r="CC59" i="5"/>
  <c r="AT59" i="5"/>
  <c r="CB59" i="5"/>
  <c r="CA59" i="5"/>
  <c r="BN59" i="5"/>
  <c r="BV59" i="5"/>
  <c r="BR59" i="5"/>
  <c r="BQ59" i="5"/>
  <c r="BP59" i="5"/>
  <c r="BK59" i="5"/>
  <c r="BS61" i="5"/>
  <c r="AZ61" i="5"/>
  <c r="CD61" i="5"/>
  <c r="AY61" i="5"/>
  <c r="CC61" i="5"/>
  <c r="AX61" i="5"/>
  <c r="BB61" i="5"/>
  <c r="CB61" i="5"/>
  <c r="AW61" i="5"/>
  <c r="BE61" i="5"/>
  <c r="BC61" i="5"/>
  <c r="CA61" i="5"/>
  <c r="AV61" i="5"/>
  <c r="BZ61" i="5"/>
  <c r="AU61" i="5"/>
  <c r="BY61" i="5"/>
  <c r="AT61" i="5"/>
  <c r="BX61" i="5"/>
  <c r="BW61" i="5"/>
  <c r="BV61" i="5"/>
  <c r="BR61" i="5"/>
  <c r="BQ61" i="5"/>
  <c r="BP61" i="5"/>
  <c r="BO61" i="5"/>
  <c r="BN61" i="5"/>
  <c r="BM61" i="5"/>
  <c r="BL61" i="5"/>
  <c r="BD61" i="5"/>
  <c r="BK61" i="5"/>
  <c r="BF61" i="5"/>
  <c r="BA61" i="5"/>
  <c r="BG65" i="5"/>
  <c r="BH65" i="5"/>
  <c r="BI65" i="5"/>
  <c r="BJ65" i="5"/>
  <c r="BK65" i="5"/>
  <c r="BL65" i="5"/>
  <c r="AU45" i="5"/>
  <c r="BM65" i="5"/>
  <c r="AV45" i="5"/>
  <c r="BN65" i="5"/>
  <c r="BA45" i="5"/>
  <c r="BQ65" i="5"/>
  <c r="BB45" i="5"/>
  <c r="BU65" i="5"/>
  <c r="BC45" i="5"/>
  <c r="BV65" i="5"/>
  <c r="BD45" i="5"/>
  <c r="CA65" i="5"/>
  <c r="BJ45" i="5"/>
  <c r="BK45" i="5"/>
  <c r="AS43" i="5"/>
  <c r="BL45" i="5"/>
  <c r="BC43" i="5"/>
  <c r="BM45" i="5"/>
  <c r="BF51" i="5"/>
  <c r="AX57" i="5"/>
  <c r="BW63" i="5"/>
  <c r="BD43" i="5"/>
  <c r="BN45" i="5"/>
  <c r="BG51" i="5"/>
  <c r="AY57" i="5"/>
  <c r="BX63" i="5"/>
  <c r="BE43" i="5"/>
  <c r="BS45" i="5"/>
  <c r="BH51" i="5"/>
  <c r="BI57" i="5"/>
  <c r="BY63" i="5"/>
  <c r="BM43" i="5"/>
  <c r="BT45" i="5"/>
  <c r="BI51" i="5"/>
  <c r="BJ57" i="5"/>
  <c r="BZ63" i="5"/>
  <c r="BN43" i="5"/>
  <c r="BJ51" i="5"/>
  <c r="BK57" i="5"/>
  <c r="CA63" i="5"/>
  <c r="BR51" i="4"/>
  <c r="CA51" i="4"/>
  <c r="BT44" i="4"/>
  <c r="BZ44" i="4"/>
  <c r="AT44" i="4"/>
  <c r="BR44" i="4"/>
  <c r="BQ44" i="4"/>
  <c r="BO44" i="4"/>
  <c r="AZ44" i="4"/>
  <c r="BY44" i="4"/>
  <c r="AS44" i="4"/>
  <c r="CA44" i="4"/>
  <c r="BX44" i="4"/>
  <c r="BW44" i="4"/>
  <c r="BV44" i="4"/>
  <c r="AY44" i="4"/>
  <c r="AX44" i="4"/>
  <c r="AV44" i="4"/>
  <c r="BP44" i="4"/>
  <c r="CE44" i="4"/>
  <c r="BN44" i="4"/>
  <c r="BF44" i="4"/>
  <c r="BM44" i="4"/>
  <c r="BA44" i="4"/>
  <c r="BL44" i="4"/>
  <c r="BH44" i="4"/>
  <c r="BG44" i="4"/>
  <c r="BE44" i="4"/>
  <c r="BD44" i="4"/>
  <c r="AW44" i="4"/>
  <c r="AU44" i="4"/>
  <c r="CB44" i="4"/>
  <c r="BF57" i="4"/>
  <c r="BE57" i="4"/>
  <c r="BQ57" i="4"/>
  <c r="BB57" i="4"/>
  <c r="AZ57" i="4"/>
  <c r="AY57" i="4"/>
  <c r="AX57" i="4"/>
  <c r="AT57" i="4"/>
  <c r="BT57" i="4"/>
  <c r="BW57" i="4"/>
  <c r="CA57" i="4"/>
  <c r="BV57" i="4"/>
  <c r="BG57" i="4"/>
  <c r="BZ57" i="4"/>
  <c r="BS57" i="4"/>
  <c r="BY57" i="4"/>
  <c r="BX57" i="4"/>
  <c r="BU57" i="4"/>
  <c r="BR57" i="4"/>
  <c r="BW45" i="4"/>
  <c r="BU45" i="4"/>
  <c r="BT45" i="4"/>
  <c r="BR45" i="4"/>
  <c r="BS45" i="4"/>
  <c r="BG63" i="4"/>
  <c r="BF63" i="4"/>
  <c r="BE63" i="4"/>
  <c r="BD63" i="4"/>
  <c r="AV63" i="4"/>
  <c r="AT63" i="4"/>
  <c r="AS63" i="4"/>
  <c r="BH63" i="4"/>
  <c r="BR63" i="4"/>
  <c r="CA63" i="4"/>
  <c r="BQ63" i="4"/>
  <c r="BY63" i="4"/>
  <c r="BX63" i="4"/>
  <c r="BT63" i="4"/>
  <c r="BP63" i="4"/>
  <c r="BW63" i="4"/>
  <c r="BV63" i="4"/>
  <c r="BU63" i="4"/>
  <c r="BS63" i="4"/>
  <c r="BY49" i="4"/>
  <c r="BM49" i="4"/>
  <c r="BL49" i="4"/>
  <c r="BK49" i="4"/>
  <c r="BB49" i="4"/>
  <c r="BN49" i="4"/>
  <c r="BP49" i="4"/>
  <c r="BR49" i="4"/>
  <c r="BO49" i="4"/>
  <c r="BQ49" i="4"/>
  <c r="CC52" i="4"/>
  <c r="BO61" i="4"/>
  <c r="BI43" i="4"/>
  <c r="BP61" i="4"/>
  <c r="AU43" i="4"/>
  <c r="AZ50" i="4"/>
  <c r="BN43" i="4"/>
  <c r="BO43" i="4"/>
  <c r="BC50" i="4"/>
  <c r="BD54" i="4"/>
  <c r="BU61" i="4"/>
  <c r="BK43" i="4"/>
  <c r="BP43" i="4"/>
  <c r="BT48" i="4"/>
  <c r="BD50" i="4"/>
  <c r="BE54" i="4"/>
  <c r="BT56" i="4"/>
  <c r="BV61" i="4"/>
  <c r="CA52" i="4"/>
  <c r="BL43" i="4"/>
  <c r="BQ43" i="4"/>
  <c r="BW48" i="4"/>
  <c r="BE50" i="4"/>
  <c r="BL54" i="4"/>
  <c r="CB61" i="4"/>
  <c r="AY50" i="4"/>
  <c r="BB50" i="4"/>
  <c r="BR43" i="4"/>
  <c r="AS48" i="4"/>
  <c r="BX48" i="4"/>
  <c r="BF50" i="4"/>
  <c r="BM54" i="4"/>
  <c r="BC64" i="4"/>
  <c r="CB52" i="4"/>
  <c r="BM43" i="4"/>
  <c r="BA50" i="4"/>
  <c r="BU43" i="4"/>
  <c r="AT48" i="4"/>
  <c r="CB48" i="4"/>
  <c r="BG50" i="4"/>
  <c r="BN54" i="4"/>
  <c r="CE56" i="4"/>
  <c r="BD64" i="4"/>
  <c r="AT43" i="4"/>
  <c r="BH50" i="4"/>
  <c r="BL50" i="4"/>
  <c r="BO50" i="4"/>
  <c r="BQ54" i="4"/>
  <c r="AW61" i="4"/>
  <c r="BH43" i="4"/>
  <c r="BZ52" i="4"/>
  <c r="BP50" i="4"/>
  <c r="BR54" i="4"/>
  <c r="AX61" i="4"/>
  <c r="BJ43" i="4"/>
  <c r="BQ50" i="4"/>
  <c r="CD54" i="4"/>
  <c r="AY61" i="4"/>
  <c r="AZ61" i="4"/>
  <c r="BV43" i="4"/>
  <c r="BW43" i="4"/>
  <c r="BX43" i="4"/>
  <c r="BZ43" i="4"/>
  <c r="BD48" i="4"/>
  <c r="BS50" i="4"/>
  <c r="BA61" i="4"/>
  <c r="BK64" i="4"/>
  <c r="BR50" i="4"/>
  <c r="BE48" i="4"/>
  <c r="BY50" i="4"/>
  <c r="BB61" i="4"/>
  <c r="BL64" i="4"/>
  <c r="BZ50" i="4"/>
  <c r="BC61" i="4"/>
  <c r="BP14" i="6"/>
  <c r="CB14" i="6"/>
  <c r="BB14" i="6"/>
  <c r="CA14" i="6"/>
  <c r="BA14" i="6"/>
  <c r="BZ14" i="6"/>
  <c r="AZ14" i="6"/>
  <c r="BY14" i="6"/>
  <c r="AY14" i="6"/>
  <c r="BX14" i="6"/>
  <c r="AX14" i="6"/>
  <c r="BW14" i="6"/>
  <c r="AW14" i="6"/>
  <c r="BV14" i="6"/>
  <c r="AV14" i="6"/>
  <c r="BU14" i="6"/>
  <c r="AU14" i="6"/>
  <c r="BT14" i="6"/>
  <c r="AT14" i="6"/>
  <c r="BS14" i="6"/>
  <c r="AS14" i="6"/>
  <c r="BR14" i="6"/>
  <c r="BQ14" i="6"/>
  <c r="BN14" i="6"/>
  <c r="CC14" i="6"/>
  <c r="BM14" i="6"/>
  <c r="BL14" i="6"/>
  <c r="BK14" i="6"/>
  <c r="BJ14" i="6"/>
  <c r="BI14" i="6"/>
  <c r="BH14" i="6"/>
  <c r="BG14" i="6"/>
  <c r="BF14" i="6"/>
  <c r="CE14" i="6"/>
  <c r="BE14" i="6"/>
  <c r="CD14" i="6"/>
  <c r="BD14" i="6"/>
  <c r="BC14" i="6"/>
  <c r="BP8" i="6"/>
  <c r="BX8" i="6"/>
  <c r="AX8" i="6"/>
  <c r="BW8" i="6"/>
  <c r="AW8" i="6"/>
  <c r="BV8" i="6"/>
  <c r="AV8" i="6"/>
  <c r="BU8" i="6"/>
  <c r="AU8" i="6"/>
  <c r="BT8" i="6"/>
  <c r="AT8" i="6"/>
  <c r="BS8" i="6"/>
  <c r="AS8" i="6"/>
  <c r="BR8" i="6"/>
  <c r="BQ8" i="6"/>
  <c r="BN8" i="6"/>
  <c r="BM8" i="6"/>
  <c r="BL8" i="6"/>
  <c r="BK8" i="6"/>
  <c r="BJ8" i="6"/>
  <c r="BB8" i="6"/>
  <c r="BI8" i="6"/>
  <c r="BY8" i="6"/>
  <c r="BH8" i="6"/>
  <c r="AY8" i="6"/>
  <c r="BG8" i="6"/>
  <c r="BF8" i="6"/>
  <c r="CE8" i="6"/>
  <c r="BE8" i="6"/>
  <c r="CD8" i="6"/>
  <c r="BD8" i="6"/>
  <c r="CC8" i="6"/>
  <c r="BC8" i="6"/>
  <c r="CB8" i="6"/>
  <c r="CA8" i="6"/>
  <c r="BA8" i="6"/>
  <c r="BZ8" i="6"/>
  <c r="AZ8" i="6"/>
  <c r="BQ18" i="6"/>
  <c r="BV18" i="6"/>
  <c r="AS18" i="6"/>
  <c r="BX18" i="6"/>
  <c r="BT18" i="6"/>
  <c r="BS18" i="6"/>
  <c r="BP18" i="6"/>
  <c r="BO18" i="6"/>
  <c r="BN18" i="6"/>
  <c r="BM18" i="6"/>
  <c r="BL18" i="6"/>
  <c r="BK18" i="6"/>
  <c r="BJ18" i="6"/>
  <c r="BI18" i="6"/>
  <c r="BH18" i="6"/>
  <c r="AT18" i="6"/>
  <c r="BG18" i="6"/>
  <c r="BF18" i="6"/>
  <c r="BE18" i="6"/>
  <c r="BD18" i="6"/>
  <c r="CE18" i="6"/>
  <c r="BC18" i="6"/>
  <c r="CD18" i="6"/>
  <c r="BB18" i="6"/>
  <c r="CC18" i="6"/>
  <c r="BA18" i="6"/>
  <c r="CB18" i="6"/>
  <c r="AZ18" i="6"/>
  <c r="CA18" i="6"/>
  <c r="AX18" i="6"/>
  <c r="BZ18" i="6"/>
  <c r="AV18" i="6"/>
  <c r="BY18" i="6"/>
  <c r="AU18" i="6"/>
  <c r="BX15" i="6"/>
  <c r="CB15" i="6"/>
  <c r="BP15" i="6"/>
  <c r="BO15" i="6"/>
  <c r="BN15" i="6"/>
  <c r="BM15" i="6"/>
  <c r="BL15" i="6"/>
  <c r="BJ15" i="6"/>
  <c r="BI15" i="6"/>
  <c r="BH15" i="6"/>
  <c r="BG15" i="6"/>
  <c r="BF15" i="6"/>
  <c r="AY15" i="6"/>
  <c r="BQ21" i="6"/>
  <c r="BD21" i="6"/>
  <c r="CE21" i="6"/>
  <c r="BC21" i="6"/>
  <c r="CD21" i="6"/>
  <c r="BB21" i="6"/>
  <c r="CC21" i="6"/>
  <c r="BA21" i="6"/>
  <c r="CB21" i="6"/>
  <c r="AZ21" i="6"/>
  <c r="CA21" i="6"/>
  <c r="AY21" i="6"/>
  <c r="BZ21" i="6"/>
  <c r="AX21" i="6"/>
  <c r="BY21" i="6"/>
  <c r="AW21" i="6"/>
  <c r="BX21" i="6"/>
  <c r="AV21" i="6"/>
  <c r="BW21" i="6"/>
  <c r="AU21" i="6"/>
  <c r="BE21" i="6"/>
  <c r="BV21" i="6"/>
  <c r="AT21" i="6"/>
  <c r="BU21" i="6"/>
  <c r="AS21" i="6"/>
  <c r="BT21" i="6"/>
  <c r="BS21" i="6"/>
  <c r="BP21" i="6"/>
  <c r="BO21" i="6"/>
  <c r="BN21" i="6"/>
  <c r="BM21" i="6"/>
  <c r="BL21" i="6"/>
  <c r="BJ21" i="6"/>
  <c r="BH21" i="6"/>
  <c r="BG21" i="6"/>
  <c r="BF21" i="6"/>
  <c r="BU3" i="6"/>
  <c r="BH3" i="6"/>
  <c r="BG3" i="6"/>
  <c r="BF3" i="6"/>
  <c r="BI3" i="6"/>
  <c r="BE3" i="6"/>
  <c r="AX3" i="6"/>
  <c r="AW3" i="6"/>
  <c r="BL3" i="6"/>
  <c r="BY3" i="6"/>
  <c r="BX3" i="6"/>
  <c r="BN3" i="6"/>
  <c r="BM3" i="6"/>
  <c r="BK3" i="6"/>
  <c r="BJ3" i="6"/>
  <c r="CD26" i="6"/>
  <c r="CE26" i="6"/>
  <c r="BS26" i="6"/>
  <c r="BR26" i="6"/>
  <c r="BQ26" i="6"/>
  <c r="BP26" i="6"/>
  <c r="BO26" i="6"/>
  <c r="BL26" i="6"/>
  <c r="BK26" i="6"/>
  <c r="BJ26" i="6"/>
  <c r="BI26" i="6"/>
  <c r="BH26" i="6"/>
  <c r="BG26" i="6"/>
  <c r="CD38" i="6"/>
  <c r="CA38" i="6"/>
  <c r="BX38" i="6"/>
  <c r="BV38" i="6"/>
  <c r="BR38" i="6"/>
  <c r="BQ38" i="6"/>
  <c r="BJ38" i="6"/>
  <c r="BI38" i="6"/>
  <c r="BR4" i="6"/>
  <c r="BQ4" i="6"/>
  <c r="BP4" i="6"/>
  <c r="BO4" i="6"/>
  <c r="BF28" i="6"/>
  <c r="BE28" i="6"/>
  <c r="BD28" i="6"/>
  <c r="BC28" i="6"/>
  <c r="BB28" i="6"/>
  <c r="AS28" i="6"/>
  <c r="CE28" i="6"/>
  <c r="BX28" i="6"/>
  <c r="BW28" i="6"/>
  <c r="BG28" i="6"/>
  <c r="BT28" i="6"/>
  <c r="BS28" i="6"/>
  <c r="BR28" i="6"/>
  <c r="BQ28" i="6"/>
  <c r="BP28" i="6"/>
  <c r="BL28" i="6"/>
  <c r="BK28" i="6"/>
  <c r="BJ28" i="6"/>
  <c r="BI28" i="6"/>
  <c r="BH28" i="6"/>
  <c r="BC22" i="6"/>
  <c r="BD22" i="6"/>
  <c r="BE22" i="6"/>
  <c r="BF22" i="6"/>
  <c r="AT36" i="6"/>
  <c r="BG22" i="6"/>
  <c r="AV36" i="6"/>
  <c r="BH22" i="6"/>
  <c r="AW36" i="6"/>
  <c r="BI22" i="6"/>
  <c r="BJ36" i="6"/>
  <c r="BJ22" i="6"/>
  <c r="BK36" i="6"/>
  <c r="BK22" i="6"/>
  <c r="BL36" i="6"/>
  <c r="BL22" i="6"/>
  <c r="BM36" i="6"/>
  <c r="BM22" i="6"/>
  <c r="BN36" i="6"/>
  <c r="BS22" i="6"/>
  <c r="BO36" i="6"/>
  <c r="BP36" i="6"/>
  <c r="BQ36" i="6"/>
  <c r="BR36" i="6"/>
  <c r="BT36" i="6"/>
  <c r="BN25" i="6"/>
  <c r="BW36" i="6"/>
  <c r="BR25" i="6"/>
  <c r="BY36" i="6"/>
  <c r="BS25" i="6"/>
  <c r="BT25" i="6"/>
  <c r="AS32" i="6"/>
  <c r="BU25" i="6"/>
  <c r="BZ32" i="6"/>
  <c r="AV37" i="6"/>
  <c r="BV25" i="6"/>
  <c r="AW37" i="6"/>
  <c r="BW25" i="6"/>
  <c r="BP2" i="6"/>
  <c r="BM2" i="6"/>
  <c r="BL2" i="6"/>
  <c r="BK2" i="6"/>
  <c r="BJ2" i="6"/>
  <c r="BI2" i="6"/>
  <c r="BH2" i="6"/>
  <c r="BG2" i="6"/>
  <c r="BF2" i="6"/>
  <c r="CE2" i="6"/>
  <c r="BE2" i="6"/>
  <c r="CD2" i="6"/>
  <c r="BD2" i="6"/>
  <c r="CC2" i="6"/>
  <c r="BC2" i="6"/>
  <c r="CB2" i="6"/>
  <c r="BB2" i="6"/>
  <c r="CA2" i="6"/>
  <c r="BA2" i="6"/>
  <c r="BZ2" i="6"/>
  <c r="AZ2" i="6"/>
  <c r="BY2" i="6"/>
  <c r="AY2" i="6"/>
  <c r="BX2" i="6"/>
  <c r="CJ2" i="6" s="1"/>
  <c r="AX2" i="6"/>
  <c r="BW2" i="6"/>
  <c r="AW2" i="6"/>
  <c r="BV2" i="6"/>
  <c r="AV2" i="6"/>
  <c r="BN2" i="6"/>
  <c r="BU2" i="6"/>
  <c r="AU2" i="6"/>
  <c r="BT2" i="6"/>
  <c r="AT2" i="6"/>
  <c r="BS2" i="6"/>
  <c r="AS2" i="6"/>
  <c r="BR2" i="6"/>
  <c r="BQ2" i="6"/>
  <c r="CD35" i="5"/>
  <c r="BU35" i="5"/>
  <c r="BT35" i="5"/>
  <c r="BS35" i="5"/>
  <c r="BR35" i="5"/>
  <c r="BN35" i="5"/>
  <c r="BI35" i="5"/>
  <c r="BH35" i="5"/>
  <c r="BG35" i="5"/>
  <c r="BF35" i="5"/>
  <c r="CE40" i="5"/>
  <c r="CD40" i="5"/>
  <c r="CC40" i="5"/>
  <c r="BY40" i="5"/>
  <c r="BP40" i="5"/>
  <c r="BZ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W36" i="5"/>
  <c r="BV36" i="5"/>
  <c r="BU36" i="5"/>
  <c r="BR15" i="5"/>
  <c r="BT15" i="5"/>
  <c r="BQ15" i="5"/>
  <c r="BP15" i="5"/>
  <c r="BO15" i="5"/>
  <c r="BN15" i="5"/>
  <c r="BM15" i="5"/>
  <c r="BL15" i="5"/>
  <c r="BG15" i="5"/>
  <c r="AS15" i="5"/>
  <c r="BX34" i="5"/>
  <c r="AU34" i="5"/>
  <c r="AT34" i="5"/>
  <c r="CD34" i="5"/>
  <c r="CC34" i="5"/>
  <c r="CB34" i="5"/>
  <c r="CA34" i="5"/>
  <c r="BS34" i="5"/>
  <c r="BR34" i="5"/>
  <c r="BQ34" i="5"/>
  <c r="BP34" i="5"/>
  <c r="BO34" i="5"/>
  <c r="BN34" i="5"/>
  <c r="BM34" i="5"/>
  <c r="BJ34" i="5"/>
  <c r="BL34" i="5"/>
  <c r="BK34" i="5"/>
  <c r="BI34" i="5"/>
  <c r="BH34" i="5"/>
  <c r="BG34" i="5"/>
  <c r="BC34" i="5"/>
  <c r="BB34" i="5"/>
  <c r="BA34" i="5"/>
  <c r="AZ34" i="5"/>
  <c r="AY34" i="5"/>
  <c r="BU21" i="5"/>
  <c r="BK21" i="5"/>
  <c r="BJ21" i="5"/>
  <c r="BI21" i="5"/>
  <c r="BH21" i="5"/>
  <c r="BG21" i="5"/>
  <c r="BE21" i="5"/>
  <c r="BC21" i="5"/>
  <c r="BB21" i="5"/>
  <c r="BA21" i="5"/>
  <c r="AZ21" i="5"/>
  <c r="AY21" i="5"/>
  <c r="AX21" i="5"/>
  <c r="CE21" i="5"/>
  <c r="CC21" i="5"/>
  <c r="CA21" i="5"/>
  <c r="BN21" i="5"/>
  <c r="BM21" i="5"/>
  <c r="BL21" i="5"/>
  <c r="BY22" i="5"/>
  <c r="CA22" i="5"/>
  <c r="BX22" i="5"/>
  <c r="BW22" i="5"/>
  <c r="BS22" i="5"/>
  <c r="BR22" i="5"/>
  <c r="AS22" i="5"/>
  <c r="BQ22" i="5"/>
  <c r="BP22" i="5"/>
  <c r="CB23" i="5"/>
  <c r="BL23" i="5"/>
  <c r="BK23" i="5"/>
  <c r="BJ23" i="5"/>
  <c r="BI23" i="5"/>
  <c r="BH23" i="5"/>
  <c r="BG23" i="5"/>
  <c r="BR23" i="5"/>
  <c r="BN23" i="5"/>
  <c r="BM23" i="5"/>
  <c r="AV18" i="5"/>
  <c r="BX18" i="5"/>
  <c r="BN25" i="5"/>
  <c r="BW27" i="5"/>
  <c r="BO31" i="5"/>
  <c r="AW18" i="5"/>
  <c r="BY18" i="5"/>
  <c r="BO25" i="5"/>
  <c r="AX18" i="5"/>
  <c r="BZ18" i="5"/>
  <c r="BS25" i="5"/>
  <c r="BU26" i="5"/>
  <c r="CC27" i="5"/>
  <c r="BQ31" i="5"/>
  <c r="BY39" i="5"/>
  <c r="AY18" i="5"/>
  <c r="CA18" i="5"/>
  <c r="BT25" i="5"/>
  <c r="BZ39" i="5"/>
  <c r="AZ18" i="5"/>
  <c r="CB18" i="5"/>
  <c r="BU25" i="5"/>
  <c r="CE27" i="5"/>
  <c r="BS31" i="5"/>
  <c r="AX37" i="5"/>
  <c r="CA39" i="5"/>
  <c r="BA18" i="5"/>
  <c r="CC18" i="5"/>
  <c r="BW25" i="5"/>
  <c r="AY37" i="5"/>
  <c r="BB18" i="5"/>
  <c r="CD18" i="5"/>
  <c r="AS25" i="5"/>
  <c r="BX25" i="5"/>
  <c r="AY27" i="5"/>
  <c r="BU31" i="5"/>
  <c r="AZ37" i="5"/>
  <c r="BC18" i="5"/>
  <c r="CE18" i="5"/>
  <c r="AT25" i="5"/>
  <c r="BY25" i="5"/>
  <c r="AZ27" i="5"/>
  <c r="BV31" i="5"/>
  <c r="BA37" i="5"/>
  <c r="BE18" i="5"/>
  <c r="AV25" i="5"/>
  <c r="CA25" i="5"/>
  <c r="BB27" i="5"/>
  <c r="AS30" i="5"/>
  <c r="BC37" i="5"/>
  <c r="BF18" i="5"/>
  <c r="AW25" i="5"/>
  <c r="CB25" i="5"/>
  <c r="BC27" i="5"/>
  <c r="AT30" i="5"/>
  <c r="BV33" i="5"/>
  <c r="BD37" i="5"/>
  <c r="BG18" i="5"/>
  <c r="AX25" i="5"/>
  <c r="CC25" i="5"/>
  <c r="BD27" i="5"/>
  <c r="BM30" i="5"/>
  <c r="AU33" i="5"/>
  <c r="BW33" i="5"/>
  <c r="BE37" i="5"/>
  <c r="BD18" i="5"/>
  <c r="AV14" i="5"/>
  <c r="BH18" i="5"/>
  <c r="AY25" i="5"/>
  <c r="CD25" i="5"/>
  <c r="BE27" i="5"/>
  <c r="BN30" i="5"/>
  <c r="AV33" i="5"/>
  <c r="BX33" i="5"/>
  <c r="BF37" i="5"/>
  <c r="BI18" i="5"/>
  <c r="AZ25" i="5"/>
  <c r="CE25" i="5"/>
  <c r="BF27" i="5"/>
  <c r="BV30" i="5"/>
  <c r="AW33" i="5"/>
  <c r="BY33" i="5"/>
  <c r="BK37" i="5"/>
  <c r="BJ18" i="5"/>
  <c r="BA25" i="5"/>
  <c r="BG27" i="5"/>
  <c r="BW30" i="5"/>
  <c r="AX33" i="5"/>
  <c r="BZ33" i="5"/>
  <c r="BL37" i="5"/>
  <c r="BK18" i="5"/>
  <c r="BB25" i="5"/>
  <c r="BH27" i="5"/>
  <c r="BX30" i="5"/>
  <c r="BM37" i="5"/>
  <c r="BL18" i="5"/>
  <c r="BC25" i="5"/>
  <c r="AS26" i="5"/>
  <c r="BL27" i="5"/>
  <c r="BY30" i="5"/>
  <c r="BN37" i="5"/>
  <c r="BM18" i="5"/>
  <c r="BD25" i="5"/>
  <c r="BM27" i="5"/>
  <c r="CA30" i="5"/>
  <c r="BR37" i="5"/>
  <c r="BN18" i="5"/>
  <c r="BE25" i="5"/>
  <c r="BJ26" i="5"/>
  <c r="BN27" i="5"/>
  <c r="BS37" i="5"/>
  <c r="BO18" i="5"/>
  <c r="BF25" i="5"/>
  <c r="BO27" i="5"/>
  <c r="BT37" i="5"/>
  <c r="BQ18" i="5"/>
  <c r="BG25" i="5"/>
  <c r="BS27" i="5"/>
  <c r="BU37" i="5"/>
  <c r="BT18" i="5"/>
  <c r="BK25" i="5"/>
  <c r="BP26" i="5"/>
  <c r="BT27" i="5"/>
  <c r="AS31" i="5"/>
  <c r="BE33" i="5"/>
  <c r="BZ37" i="5"/>
  <c r="BV18" i="5"/>
  <c r="BL25" i="5"/>
  <c r="CA37" i="5"/>
  <c r="AS18" i="5"/>
  <c r="BR26" i="5"/>
  <c r="BN31" i="5"/>
  <c r="BR15" i="4"/>
  <c r="BJ15" i="4"/>
  <c r="BI15" i="4"/>
  <c r="BH15" i="4"/>
  <c r="BG15" i="4"/>
  <c r="BF15" i="4"/>
  <c r="BE15" i="4"/>
  <c r="AX15" i="4"/>
  <c r="AW15" i="4"/>
  <c r="AU15" i="4"/>
  <c r="BZ15" i="4"/>
  <c r="BY15" i="4"/>
  <c r="BW15" i="4"/>
  <c r="BQ15" i="4"/>
  <c r="BP15" i="4"/>
  <c r="BO15" i="4"/>
  <c r="BN15" i="4"/>
  <c r="BW32" i="4"/>
  <c r="BR32" i="4"/>
  <c r="BQ32" i="4"/>
  <c r="BP32" i="4"/>
  <c r="BS32" i="4"/>
  <c r="BI33" i="4"/>
  <c r="BH33" i="4"/>
  <c r="BG33" i="4"/>
  <c r="BF33" i="4"/>
  <c r="BE33" i="4"/>
  <c r="BD33" i="4"/>
  <c r="BC33" i="4"/>
  <c r="AT33" i="4"/>
  <c r="AS33" i="4"/>
  <c r="BY33" i="4"/>
  <c r="BX33" i="4"/>
  <c r="BU33" i="4"/>
  <c r="BT33" i="4"/>
  <c r="BS33" i="4"/>
  <c r="BR33" i="4"/>
  <c r="CD33" i="4"/>
  <c r="BQ33" i="4"/>
  <c r="BP33" i="4"/>
  <c r="BL33" i="4"/>
  <c r="BJ33" i="4"/>
  <c r="BK33" i="4"/>
  <c r="CE33" i="4"/>
  <c r="BW5" i="4"/>
  <c r="BZ5" i="4"/>
  <c r="BY5" i="4"/>
  <c r="BX5" i="4"/>
  <c r="BH5" i="4"/>
  <c r="BB5" i="4"/>
  <c r="BA5" i="4"/>
  <c r="AZ5" i="4"/>
  <c r="BV26" i="4"/>
  <c r="BT26" i="4"/>
  <c r="BP26" i="4"/>
  <c r="BO26" i="4"/>
  <c r="BN26" i="4"/>
  <c r="BB26" i="4"/>
  <c r="AT26" i="4"/>
  <c r="BQ27" i="4"/>
  <c r="BP27" i="4"/>
  <c r="BG27" i="4"/>
  <c r="BN27" i="4"/>
  <c r="BL27" i="4"/>
  <c r="BK27" i="4"/>
  <c r="BJ27" i="4"/>
  <c r="BI27" i="4"/>
  <c r="BH27" i="4"/>
  <c r="BE27" i="4"/>
  <c r="BF27" i="4"/>
  <c r="AU27" i="4"/>
  <c r="AV27" i="4"/>
  <c r="BX27" i="4"/>
  <c r="BW27" i="4"/>
  <c r="BV27" i="4"/>
  <c r="BU27" i="4"/>
  <c r="BR27" i="4"/>
  <c r="BD27" i="4"/>
  <c r="BC27" i="4"/>
  <c r="BW39" i="4"/>
  <c r="BS39" i="4"/>
  <c r="BR39" i="4"/>
  <c r="BQ39" i="4"/>
  <c r="BP39" i="4"/>
  <c r="BL39" i="4"/>
  <c r="BK39" i="4"/>
  <c r="BJ39" i="4"/>
  <c r="AX39" i="4"/>
  <c r="AW39" i="4"/>
  <c r="AU39" i="4"/>
  <c r="CA39" i="4"/>
  <c r="BU39" i="4"/>
  <c r="BV39" i="4"/>
  <c r="BT39" i="4"/>
  <c r="BW36" i="4"/>
  <c r="BG36" i="4"/>
  <c r="AT36" i="4"/>
  <c r="CE36" i="4"/>
  <c r="BS36" i="4"/>
  <c r="BR36" i="4"/>
  <c r="BQ36" i="4"/>
  <c r="BP36" i="4"/>
  <c r="BL36" i="4"/>
  <c r="BK36" i="4"/>
  <c r="BJ36" i="4"/>
  <c r="BI36" i="4"/>
  <c r="BH36" i="4"/>
  <c r="BR9" i="4"/>
  <c r="BY9" i="4"/>
  <c r="BE9" i="4"/>
  <c r="BD9" i="4"/>
  <c r="BC9" i="4"/>
  <c r="BB9" i="4"/>
  <c r="BA9" i="4"/>
  <c r="AZ9" i="4"/>
  <c r="AY9" i="4"/>
  <c r="AX9" i="4"/>
  <c r="CC9" i="4"/>
  <c r="CE9" i="4"/>
  <c r="CD9" i="4"/>
  <c r="AW9" i="4"/>
  <c r="BZ9" i="4"/>
  <c r="BX9" i="4"/>
  <c r="BQ9" i="4"/>
  <c r="BP9" i="4"/>
  <c r="BO9" i="4"/>
  <c r="BN9" i="4"/>
  <c r="BJ9" i="4"/>
  <c r="BI9" i="4"/>
  <c r="BH9" i="4"/>
  <c r="CA9" i="4"/>
  <c r="BG9" i="4"/>
  <c r="BF9" i="4"/>
  <c r="CB9" i="4"/>
  <c r="BF24" i="4"/>
  <c r="BH24" i="4"/>
  <c r="BP19" i="4"/>
  <c r="BQ19" i="4"/>
  <c r="BK10" i="4"/>
  <c r="BU19" i="4"/>
  <c r="BL10" i="4"/>
  <c r="BZ19" i="4"/>
  <c r="BU30" i="4"/>
  <c r="BM10" i="4"/>
  <c r="CB19" i="4"/>
  <c r="BT22" i="4"/>
  <c r="BV30" i="4"/>
  <c r="CC19" i="4"/>
  <c r="BW10" i="4"/>
  <c r="BY10" i="4"/>
  <c r="BZ10" i="4"/>
  <c r="AS30" i="4"/>
  <c r="AY19" i="4"/>
  <c r="BI24" i="4"/>
  <c r="AV24" i="4"/>
  <c r="BG24" i="4"/>
  <c r="BJ24" i="4"/>
  <c r="BG19" i="4"/>
  <c r="BK24" i="4"/>
  <c r="BN35" i="4"/>
  <c r="BH19" i="4"/>
  <c r="BL24" i="4"/>
  <c r="BQ35" i="4"/>
  <c r="AX10" i="4"/>
  <c r="BI19" i="4"/>
  <c r="BM24" i="4"/>
  <c r="BR35" i="4"/>
  <c r="AY10" i="4"/>
  <c r="BJ19" i="4"/>
  <c r="BN24" i="4"/>
  <c r="BS35" i="4"/>
  <c r="BF10" i="4"/>
  <c r="BK19" i="4"/>
  <c r="BO24" i="4"/>
  <c r="BM30" i="4"/>
  <c r="BG10" i="4"/>
  <c r="BL19" i="4"/>
  <c r="CC24" i="4"/>
  <c r="BN30" i="4"/>
  <c r="AW19" i="4"/>
  <c r="AZ19" i="4"/>
  <c r="AV10" i="4"/>
  <c r="BH10" i="4"/>
  <c r="BO19" i="4"/>
  <c r="CD54" i="6"/>
  <c r="BF54" i="6"/>
  <c r="CC54" i="6"/>
  <c r="BE54" i="6"/>
  <c r="BW54" i="6"/>
  <c r="AW54" i="6"/>
  <c r="BV54" i="6"/>
  <c r="AV54" i="6"/>
  <c r="BU54" i="6"/>
  <c r="AU54" i="6"/>
  <c r="BO54" i="6"/>
  <c r="BN54" i="6"/>
  <c r="BM54" i="6"/>
  <c r="BL54" i="6"/>
  <c r="BK54" i="6"/>
  <c r="BJ54" i="6"/>
  <c r="BI54" i="6"/>
  <c r="BH54" i="6"/>
  <c r="BG54" i="6"/>
  <c r="BD54" i="6"/>
  <c r="BC54" i="6"/>
  <c r="BB54" i="6"/>
  <c r="BA54" i="6"/>
  <c r="CE54" i="6"/>
  <c r="AZ54" i="6"/>
  <c r="CB54" i="6"/>
  <c r="AY54" i="6"/>
  <c r="BZ54" i="6"/>
  <c r="AT54" i="6"/>
  <c r="CA54" i="6"/>
  <c r="BY54" i="6"/>
  <c r="BX54" i="6"/>
  <c r="BT54" i="6"/>
  <c r="BS54" i="6"/>
  <c r="BR54" i="6"/>
  <c r="BQ54" i="6"/>
  <c r="BP54" i="6"/>
  <c r="AX54" i="6"/>
  <c r="AS54" i="6"/>
  <c r="BV58" i="6"/>
  <c r="AX58" i="6"/>
  <c r="BU58" i="6"/>
  <c r="AW58" i="6"/>
  <c r="CE58" i="6"/>
  <c r="BE58" i="6"/>
  <c r="CD58" i="6"/>
  <c r="BD58" i="6"/>
  <c r="CC58" i="6"/>
  <c r="BC58" i="6"/>
  <c r="BR58" i="6"/>
  <c r="BQ58" i="6"/>
  <c r="BP58" i="6"/>
  <c r="BO58" i="6"/>
  <c r="BN58" i="6"/>
  <c r="BM58" i="6"/>
  <c r="BL58" i="6"/>
  <c r="BK58" i="6"/>
  <c r="BJ58" i="6"/>
  <c r="BI58" i="6"/>
  <c r="BH58" i="6"/>
  <c r="BG58" i="6"/>
  <c r="BF58" i="6"/>
  <c r="BB58" i="6"/>
  <c r="BA58" i="6"/>
  <c r="AZ58" i="6"/>
  <c r="CB58" i="6"/>
  <c r="AY58" i="6"/>
  <c r="CA58" i="6"/>
  <c r="BZ58" i="6"/>
  <c r="BY58" i="6"/>
  <c r="BX58" i="6"/>
  <c r="BW58" i="6"/>
  <c r="BT58" i="6"/>
  <c r="BS58" i="6"/>
  <c r="AV58" i="6"/>
  <c r="AU58" i="6"/>
  <c r="AT58" i="6"/>
  <c r="AS58" i="6"/>
  <c r="BT9" i="6"/>
  <c r="AV9" i="6"/>
  <c r="BS9" i="6"/>
  <c r="AU9" i="6"/>
  <c r="BR9" i="6"/>
  <c r="AT9" i="6"/>
  <c r="BQ9" i="6"/>
  <c r="AS9" i="6"/>
  <c r="BM9" i="6"/>
  <c r="BL9" i="6"/>
  <c r="BK9" i="6"/>
  <c r="BJ9" i="6"/>
  <c r="BI9" i="6"/>
  <c r="BH9" i="6"/>
  <c r="BG9" i="6"/>
  <c r="BF9" i="6"/>
  <c r="BE9" i="6"/>
  <c r="BD9" i="6"/>
  <c r="CE9" i="6"/>
  <c r="BC9" i="6"/>
  <c r="BN9" i="6"/>
  <c r="CD9" i="6"/>
  <c r="BB9" i="6"/>
  <c r="CC9" i="6"/>
  <c r="BA9" i="6"/>
  <c r="CB9" i="6"/>
  <c r="AZ9" i="6"/>
  <c r="CA9" i="6"/>
  <c r="AY9" i="6"/>
  <c r="BZ9" i="6"/>
  <c r="AX9" i="6"/>
  <c r="BY9" i="6"/>
  <c r="AW9" i="6"/>
  <c r="BX9" i="6"/>
  <c r="BW9" i="6"/>
  <c r="BV9" i="6"/>
  <c r="BU9" i="6"/>
  <c r="BP9" i="6"/>
  <c r="BO9" i="6"/>
  <c r="BX10" i="6"/>
  <c r="AZ10" i="6"/>
  <c r="BW10" i="6"/>
  <c r="AY10" i="6"/>
  <c r="BV10" i="6"/>
  <c r="AX10" i="6"/>
  <c r="BU10" i="6"/>
  <c r="AW10" i="6"/>
  <c r="CC10" i="6"/>
  <c r="BA10" i="6"/>
  <c r="CB10" i="6"/>
  <c r="AV10" i="6"/>
  <c r="CA10" i="6"/>
  <c r="AU10" i="6"/>
  <c r="BZ10" i="6"/>
  <c r="AT10" i="6"/>
  <c r="BY10" i="6"/>
  <c r="AS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CD10" i="6"/>
  <c r="BD10" i="6"/>
  <c r="CE10" i="6"/>
  <c r="BC10" i="6"/>
  <c r="BB10" i="6"/>
  <c r="CA19" i="6"/>
  <c r="BC19" i="6"/>
  <c r="BY19" i="6"/>
  <c r="BA19" i="6"/>
  <c r="CB19" i="6"/>
  <c r="AZ19" i="6"/>
  <c r="BZ19" i="6"/>
  <c r="AY19" i="6"/>
  <c r="BX19" i="6"/>
  <c r="AX19" i="6"/>
  <c r="BW19" i="6"/>
  <c r="AW19" i="6"/>
  <c r="BK19" i="6"/>
  <c r="BJ19" i="6"/>
  <c r="BI19" i="6"/>
  <c r="BH19" i="6"/>
  <c r="BG19" i="6"/>
  <c r="BF19" i="6"/>
  <c r="BE19" i="6"/>
  <c r="BD19" i="6"/>
  <c r="BB19" i="6"/>
  <c r="AV19" i="6"/>
  <c r="CE19" i="6"/>
  <c r="AU19" i="6"/>
  <c r="BL19" i="6"/>
  <c r="CD19" i="6"/>
  <c r="AT19" i="6"/>
  <c r="CC19" i="6"/>
  <c r="AS19" i="6"/>
  <c r="BV19" i="6"/>
  <c r="BU19" i="6"/>
  <c r="BT19" i="6"/>
  <c r="BS19" i="6"/>
  <c r="BR19" i="6"/>
  <c r="BQ19" i="6"/>
  <c r="BP19" i="6"/>
  <c r="BO19" i="6"/>
  <c r="BN19" i="6"/>
  <c r="BM19" i="6"/>
  <c r="CB11" i="6"/>
  <c r="BD11" i="6"/>
  <c r="CA11" i="6"/>
  <c r="BC11" i="6"/>
  <c r="BZ11" i="6"/>
  <c r="BB11" i="6"/>
  <c r="BY11" i="6"/>
  <c r="BA11" i="6"/>
  <c r="BM11" i="6"/>
  <c r="BL11" i="6"/>
  <c r="BK11" i="6"/>
  <c r="BJ11" i="6"/>
  <c r="BI11" i="6"/>
  <c r="BH11" i="6"/>
  <c r="BG11" i="6"/>
  <c r="BF11" i="6"/>
  <c r="BE11" i="6"/>
  <c r="AZ11" i="6"/>
  <c r="CE11" i="6"/>
  <c r="AY11" i="6"/>
  <c r="CD11" i="6"/>
  <c r="AX11" i="6"/>
  <c r="CC11" i="6"/>
  <c r="AW11" i="6"/>
  <c r="BX11" i="6"/>
  <c r="AV11" i="6"/>
  <c r="BW11" i="6"/>
  <c r="AU11" i="6"/>
  <c r="BV11" i="6"/>
  <c r="AT11" i="6"/>
  <c r="BN11" i="6"/>
  <c r="BU11" i="6"/>
  <c r="AS11" i="6"/>
  <c r="BT11" i="6"/>
  <c r="BS11" i="6"/>
  <c r="BR11" i="6"/>
  <c r="BQ11" i="6"/>
  <c r="BP11" i="6"/>
  <c r="BO11" i="6"/>
  <c r="CE20" i="6"/>
  <c r="BG20" i="6"/>
  <c r="CC20" i="6"/>
  <c r="BE20" i="6"/>
  <c r="BJ20" i="6"/>
  <c r="BI20" i="6"/>
  <c r="BH20" i="6"/>
  <c r="BF20" i="6"/>
  <c r="CA20" i="6"/>
  <c r="AW20" i="6"/>
  <c r="BZ20" i="6"/>
  <c r="AV20" i="6"/>
  <c r="BY20" i="6"/>
  <c r="AU20" i="6"/>
  <c r="BX20" i="6"/>
  <c r="AT20" i="6"/>
  <c r="BW20" i="6"/>
  <c r="AS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D20" i="6"/>
  <c r="BC20" i="6"/>
  <c r="BB20" i="6"/>
  <c r="BA20" i="6"/>
  <c r="AZ20" i="6"/>
  <c r="CD20" i="6"/>
  <c r="AY20" i="6"/>
  <c r="CB20" i="6"/>
  <c r="AX20" i="6"/>
  <c r="BH12" i="6"/>
  <c r="CE12" i="6"/>
  <c r="BG12" i="6"/>
  <c r="CD12" i="6"/>
  <c r="BF12" i="6"/>
  <c r="CC12" i="6"/>
  <c r="BE12" i="6"/>
  <c r="BY12" i="6"/>
  <c r="AW12" i="6"/>
  <c r="BX12" i="6"/>
  <c r="AV12" i="6"/>
  <c r="BW12" i="6"/>
  <c r="AU12" i="6"/>
  <c r="BV12" i="6"/>
  <c r="AT12" i="6"/>
  <c r="BU12" i="6"/>
  <c r="AS12" i="6"/>
  <c r="BT12" i="6"/>
  <c r="BS12" i="6"/>
  <c r="BR12" i="6"/>
  <c r="BQ12" i="6"/>
  <c r="BP12" i="6"/>
  <c r="BO12" i="6"/>
  <c r="BZ12" i="6"/>
  <c r="BN12" i="6"/>
  <c r="BM12" i="6"/>
  <c r="BL12" i="6"/>
  <c r="BK12" i="6"/>
  <c r="BJ12" i="6"/>
  <c r="BI12" i="6"/>
  <c r="BD12" i="6"/>
  <c r="BC12" i="6"/>
  <c r="BB12" i="6"/>
  <c r="BA12" i="6"/>
  <c r="CB12" i="6"/>
  <c r="AZ12" i="6"/>
  <c r="CA12" i="6"/>
  <c r="AY12" i="6"/>
  <c r="AX12" i="6"/>
  <c r="BL13" i="6"/>
  <c r="BK13" i="6"/>
  <c r="BJ13" i="6"/>
  <c r="BI13" i="6"/>
  <c r="BM13" i="6"/>
  <c r="BH13" i="6"/>
  <c r="BG13" i="6"/>
  <c r="BF13" i="6"/>
  <c r="BE13" i="6"/>
  <c r="BD13" i="6"/>
  <c r="CE13" i="6"/>
  <c r="BC13" i="6"/>
  <c r="CD13" i="6"/>
  <c r="BB13" i="6"/>
  <c r="CC13" i="6"/>
  <c r="BA13" i="6"/>
  <c r="CB13" i="6"/>
  <c r="AZ13" i="6"/>
  <c r="CA13" i="6"/>
  <c r="AY13" i="6"/>
  <c r="BZ13" i="6"/>
  <c r="AX13" i="6"/>
  <c r="BY13" i="6"/>
  <c r="AW13" i="6"/>
  <c r="BX13" i="6"/>
  <c r="AV13" i="6"/>
  <c r="BW13" i="6"/>
  <c r="AU13" i="6"/>
  <c r="BV13" i="6"/>
  <c r="AT13" i="6"/>
  <c r="BU13" i="6"/>
  <c r="AS13" i="6"/>
  <c r="BT13" i="6"/>
  <c r="BS13" i="6"/>
  <c r="BR13" i="6"/>
  <c r="BQ13" i="6"/>
  <c r="BP13" i="6"/>
  <c r="BO13" i="6"/>
  <c r="BN13" i="6"/>
  <c r="BV46" i="6"/>
  <c r="AX46" i="6"/>
  <c r="BU46" i="6"/>
  <c r="AW46" i="6"/>
  <c r="BI46" i="6"/>
  <c r="BH46" i="6"/>
  <c r="BG46" i="6"/>
  <c r="BL46" i="6"/>
  <c r="BK46" i="6"/>
  <c r="BJ46" i="6"/>
  <c r="BF46" i="6"/>
  <c r="BE46" i="6"/>
  <c r="BD46" i="6"/>
  <c r="BC46" i="6"/>
  <c r="CE46" i="6"/>
  <c r="BB46" i="6"/>
  <c r="CD46" i="6"/>
  <c r="BA46" i="6"/>
  <c r="CC46" i="6"/>
  <c r="AZ46" i="6"/>
  <c r="CB46" i="6"/>
  <c r="AY46" i="6"/>
  <c r="CA46" i="6"/>
  <c r="AV46" i="6"/>
  <c r="BZ46" i="6"/>
  <c r="AU46" i="6"/>
  <c r="BY46" i="6"/>
  <c r="AT46" i="6"/>
  <c r="BX46" i="6"/>
  <c r="AS46" i="6"/>
  <c r="BW46" i="6"/>
  <c r="BT46" i="6"/>
  <c r="BS46" i="6"/>
  <c r="BR46" i="6"/>
  <c r="BQ46" i="6"/>
  <c r="BP46" i="6"/>
  <c r="BO46" i="6"/>
  <c r="BN46" i="6"/>
  <c r="BM46" i="6"/>
  <c r="BV40" i="6"/>
  <c r="AX40" i="6"/>
  <c r="BU40" i="6"/>
  <c r="AW40" i="6"/>
  <c r="BK40" i="6"/>
  <c r="BJ40" i="6"/>
  <c r="BI40" i="6"/>
  <c r="BL40" i="6"/>
  <c r="BH40" i="6"/>
  <c r="BG40" i="6"/>
  <c r="BF40" i="6"/>
  <c r="BE40" i="6"/>
  <c r="BD40" i="6"/>
  <c r="BC40" i="6"/>
  <c r="CE40" i="6"/>
  <c r="BB40" i="6"/>
  <c r="CD40" i="6"/>
  <c r="BA40" i="6"/>
  <c r="CC40" i="6"/>
  <c r="AZ40" i="6"/>
  <c r="CB40" i="6"/>
  <c r="AY40" i="6"/>
  <c r="CA40" i="6"/>
  <c r="AV40" i="6"/>
  <c r="BZ40" i="6"/>
  <c r="AU40" i="6"/>
  <c r="BX40" i="6"/>
  <c r="AS40" i="6"/>
  <c r="BY40" i="6"/>
  <c r="BW40" i="6"/>
  <c r="BT40" i="6"/>
  <c r="BS40" i="6"/>
  <c r="BR40" i="6"/>
  <c r="BQ40" i="6"/>
  <c r="BP40" i="6"/>
  <c r="BO40" i="6"/>
  <c r="BN40" i="6"/>
  <c r="BM40" i="6"/>
  <c r="AT40" i="6"/>
  <c r="BZ65" i="6"/>
  <c r="BB65" i="6"/>
  <c r="BY65" i="6"/>
  <c r="BA65" i="6"/>
  <c r="BK65" i="6"/>
  <c r="BJ65" i="6"/>
  <c r="BI65" i="6"/>
  <c r="BG65" i="6"/>
  <c r="BT65" i="6"/>
  <c r="BS65" i="6"/>
  <c r="BR65" i="6"/>
  <c r="BQ65" i="6"/>
  <c r="BP65" i="6"/>
  <c r="BO65" i="6"/>
  <c r="BN65" i="6"/>
  <c r="BM65" i="6"/>
  <c r="BL65" i="6"/>
  <c r="BH65" i="6"/>
  <c r="BF65" i="6"/>
  <c r="BE65" i="6"/>
  <c r="BD65" i="6"/>
  <c r="BC65" i="6"/>
  <c r="AZ65" i="6"/>
  <c r="CE65" i="6"/>
  <c r="AY65" i="6"/>
  <c r="CD65" i="6"/>
  <c r="AX65" i="6"/>
  <c r="CC65" i="6"/>
  <c r="AW65" i="6"/>
  <c r="CB65" i="6"/>
  <c r="AV65" i="6"/>
  <c r="BV65" i="6"/>
  <c r="CA65" i="6"/>
  <c r="BX65" i="6"/>
  <c r="BW65" i="6"/>
  <c r="BU65" i="6"/>
  <c r="AU65" i="6"/>
  <c r="AT65" i="6"/>
  <c r="AS65" i="6"/>
  <c r="CB5" i="6"/>
  <c r="BD5" i="6"/>
  <c r="CA5" i="6"/>
  <c r="BC5" i="6"/>
  <c r="BZ5" i="6"/>
  <c r="BB5" i="6"/>
  <c r="BX5" i="6"/>
  <c r="AW5" i="6"/>
  <c r="BW5" i="6"/>
  <c r="AV5" i="6"/>
  <c r="BV5" i="6"/>
  <c r="AU5" i="6"/>
  <c r="BU5" i="6"/>
  <c r="AT5" i="6"/>
  <c r="BT5" i="6"/>
  <c r="AS5" i="6"/>
  <c r="BS5" i="6"/>
  <c r="BR5" i="6"/>
  <c r="BQ5" i="6"/>
  <c r="BP5" i="6"/>
  <c r="BO5" i="6"/>
  <c r="BN5" i="6"/>
  <c r="BM5" i="6"/>
  <c r="AX5" i="6"/>
  <c r="BL5" i="6"/>
  <c r="BY5" i="6"/>
  <c r="BK5" i="6"/>
  <c r="BJ5" i="6"/>
  <c r="BI5" i="6"/>
  <c r="BH5" i="6"/>
  <c r="BG5" i="6"/>
  <c r="BF5" i="6"/>
  <c r="BE5" i="6"/>
  <c r="CE5" i="6"/>
  <c r="BA5" i="6"/>
  <c r="CD5" i="6"/>
  <c r="AZ5" i="6"/>
  <c r="CC5" i="6"/>
  <c r="AY5" i="6"/>
  <c r="BZ23" i="6"/>
  <c r="BB23" i="6"/>
  <c r="BY23" i="6"/>
  <c r="BA23" i="6"/>
  <c r="CA23" i="6"/>
  <c r="AY23" i="6"/>
  <c r="BW23" i="6"/>
  <c r="AW23" i="6"/>
  <c r="BM23" i="6"/>
  <c r="BL23" i="6"/>
  <c r="BK23" i="6"/>
  <c r="BJ23" i="6"/>
  <c r="BI23" i="6"/>
  <c r="BX23" i="6"/>
  <c r="BV23" i="6"/>
  <c r="BU23" i="6"/>
  <c r="BT23" i="6"/>
  <c r="BS23" i="6"/>
  <c r="BR23" i="6"/>
  <c r="BQ23" i="6"/>
  <c r="BP23" i="6"/>
  <c r="BO23" i="6"/>
  <c r="BN23" i="6"/>
  <c r="BH23" i="6"/>
  <c r="BG23" i="6"/>
  <c r="BF23" i="6"/>
  <c r="BE23" i="6"/>
  <c r="BD23" i="6"/>
  <c r="BC23" i="6"/>
  <c r="AZ23" i="6"/>
  <c r="AX23" i="6"/>
  <c r="AV23" i="6"/>
  <c r="AU23" i="6"/>
  <c r="CE23" i="6"/>
  <c r="AT23" i="6"/>
  <c r="CD23" i="6"/>
  <c r="AS23" i="6"/>
  <c r="CC23" i="6"/>
  <c r="CB23" i="6"/>
  <c r="CD48" i="6"/>
  <c r="BF48" i="6"/>
  <c r="CC48" i="6"/>
  <c r="BE48" i="6"/>
  <c r="BY48" i="6"/>
  <c r="AY48" i="6"/>
  <c r="BX48" i="6"/>
  <c r="AX48" i="6"/>
  <c r="BW48" i="6"/>
  <c r="AW48" i="6"/>
  <c r="BL48" i="6"/>
  <c r="BK48" i="6"/>
  <c r="BJ48" i="6"/>
  <c r="BI48" i="6"/>
  <c r="BH48" i="6"/>
  <c r="BG48" i="6"/>
  <c r="BD48" i="6"/>
  <c r="BC48" i="6"/>
  <c r="BB48" i="6"/>
  <c r="BA48" i="6"/>
  <c r="CE48" i="6"/>
  <c r="AZ48" i="6"/>
  <c r="CB48" i="6"/>
  <c r="AV48" i="6"/>
  <c r="CA48" i="6"/>
  <c r="AU48" i="6"/>
  <c r="BZ48" i="6"/>
  <c r="AT48" i="6"/>
  <c r="BV48" i="6"/>
  <c r="AS48" i="6"/>
  <c r="BU48" i="6"/>
  <c r="BT48" i="6"/>
  <c r="BS48" i="6"/>
  <c r="BR48" i="6"/>
  <c r="BQ48" i="6"/>
  <c r="BP48" i="6"/>
  <c r="BO48" i="6"/>
  <c r="BN48" i="6"/>
  <c r="BM48" i="6"/>
  <c r="BH6" i="6"/>
  <c r="CE6" i="6"/>
  <c r="BG6" i="6"/>
  <c r="CD6" i="6"/>
  <c r="BF6" i="6"/>
  <c r="BJ6" i="6"/>
  <c r="BI6" i="6"/>
  <c r="BE6" i="6"/>
  <c r="BD6" i="6"/>
  <c r="BC6" i="6"/>
  <c r="CC6" i="6"/>
  <c r="BB6" i="6"/>
  <c r="CB6" i="6"/>
  <c r="BA6" i="6"/>
  <c r="CA6" i="6"/>
  <c r="AZ6" i="6"/>
  <c r="BZ6" i="6"/>
  <c r="AY6" i="6"/>
  <c r="BY6" i="6"/>
  <c r="AX6" i="6"/>
  <c r="BX6" i="6"/>
  <c r="AW6" i="6"/>
  <c r="BK6" i="6"/>
  <c r="BW6" i="6"/>
  <c r="AV6" i="6"/>
  <c r="BV6" i="6"/>
  <c r="AU6" i="6"/>
  <c r="BU6" i="6"/>
  <c r="AT6" i="6"/>
  <c r="BT6" i="6"/>
  <c r="AS6" i="6"/>
  <c r="BS6" i="6"/>
  <c r="BR6" i="6"/>
  <c r="BQ6" i="6"/>
  <c r="BP6" i="6"/>
  <c r="BO6" i="6"/>
  <c r="BN6" i="6"/>
  <c r="BM6" i="6"/>
  <c r="BL6" i="6"/>
  <c r="CD24" i="6"/>
  <c r="BF24" i="6"/>
  <c r="CC24" i="6"/>
  <c r="BE24" i="6"/>
  <c r="BI24" i="6"/>
  <c r="BH24" i="6"/>
  <c r="BG24" i="6"/>
  <c r="BZ24" i="6"/>
  <c r="AW24" i="6"/>
  <c r="BY24" i="6"/>
  <c r="AV24" i="6"/>
  <c r="BX24" i="6"/>
  <c r="AU24" i="6"/>
  <c r="BW24" i="6"/>
  <c r="AT24" i="6"/>
  <c r="BV24" i="6"/>
  <c r="AS24" i="6"/>
  <c r="BQ24" i="6"/>
  <c r="BP24" i="6"/>
  <c r="BO24" i="6"/>
  <c r="BN24" i="6"/>
  <c r="BM24" i="6"/>
  <c r="BL24" i="6"/>
  <c r="BK24" i="6"/>
  <c r="BJ24" i="6"/>
  <c r="BD24" i="6"/>
  <c r="BC24" i="6"/>
  <c r="BB24" i="6"/>
  <c r="BA24" i="6"/>
  <c r="AZ24" i="6"/>
  <c r="AY24" i="6"/>
  <c r="AX24" i="6"/>
  <c r="CE24" i="6"/>
  <c r="CB24" i="6"/>
  <c r="CA24" i="6"/>
  <c r="BU24" i="6"/>
  <c r="BT24" i="6"/>
  <c r="BS24" i="6"/>
  <c r="BR24" i="6"/>
  <c r="BL7" i="6"/>
  <c r="BK7" i="6"/>
  <c r="BJ7" i="6"/>
  <c r="BI7" i="6"/>
  <c r="BU7" i="6"/>
  <c r="AS7" i="6"/>
  <c r="BT7" i="6"/>
  <c r="BS7" i="6"/>
  <c r="BR7" i="6"/>
  <c r="BQ7" i="6"/>
  <c r="BP7" i="6"/>
  <c r="BO7" i="6"/>
  <c r="BN7" i="6"/>
  <c r="BM7" i="6"/>
  <c r="BH7" i="6"/>
  <c r="BG7" i="6"/>
  <c r="BF7" i="6"/>
  <c r="BE7" i="6"/>
  <c r="BD7" i="6"/>
  <c r="CE7" i="6"/>
  <c r="BC7" i="6"/>
  <c r="BV7" i="6"/>
  <c r="CD7" i="6"/>
  <c r="BB7" i="6"/>
  <c r="CC7" i="6"/>
  <c r="BA7" i="6"/>
  <c r="CB7" i="6"/>
  <c r="AZ7" i="6"/>
  <c r="CA7" i="6"/>
  <c r="AY7" i="6"/>
  <c r="BZ7" i="6"/>
  <c r="AX7" i="6"/>
  <c r="BY7" i="6"/>
  <c r="AW7" i="6"/>
  <c r="BX7" i="6"/>
  <c r="AV7" i="6"/>
  <c r="BW7" i="6"/>
  <c r="AU7" i="6"/>
  <c r="AT7" i="6"/>
  <c r="BR27" i="6"/>
  <c r="AT27" i="6"/>
  <c r="BQ27" i="6"/>
  <c r="AS27" i="6"/>
  <c r="BG27" i="6"/>
  <c r="BF27" i="6"/>
  <c r="CE27" i="6"/>
  <c r="BE27" i="6"/>
  <c r="BN27" i="6"/>
  <c r="BM27" i="6"/>
  <c r="BL27" i="6"/>
  <c r="BK27" i="6"/>
  <c r="BJ27" i="6"/>
  <c r="BI27" i="6"/>
  <c r="AX27" i="6"/>
  <c r="AW27" i="6"/>
  <c r="AV27" i="6"/>
  <c r="CD27" i="6"/>
  <c r="AU27" i="6"/>
  <c r="CC27" i="6"/>
  <c r="CB27" i="6"/>
  <c r="CA27" i="6"/>
  <c r="BZ27" i="6"/>
  <c r="BY27" i="6"/>
  <c r="BX27" i="6"/>
  <c r="BW27" i="6"/>
  <c r="BV27" i="6"/>
  <c r="BU27" i="6"/>
  <c r="BT27" i="6"/>
  <c r="BS27" i="6"/>
  <c r="BP27" i="6"/>
  <c r="BO27" i="6"/>
  <c r="BH27" i="6"/>
  <c r="BD27" i="6"/>
  <c r="BC27" i="6"/>
  <c r="BB27" i="6"/>
  <c r="BA27" i="6"/>
  <c r="AZ27" i="6"/>
  <c r="AY27" i="6"/>
  <c r="BJ31" i="6"/>
  <c r="BI31" i="6"/>
  <c r="BO31" i="6"/>
  <c r="BN31" i="6"/>
  <c r="BM31" i="6"/>
  <c r="BS31" i="6"/>
  <c r="BR31" i="6"/>
  <c r="BQ31" i="6"/>
  <c r="BP31" i="6"/>
  <c r="BL31" i="6"/>
  <c r="BK31" i="6"/>
  <c r="BE31" i="6"/>
  <c r="BZ31" i="6"/>
  <c r="BY31" i="6"/>
  <c r="BX31" i="6"/>
  <c r="BW31" i="6"/>
  <c r="BV31" i="6"/>
  <c r="BU31" i="6"/>
  <c r="BT31" i="6"/>
  <c r="BH31" i="6"/>
  <c r="BG31" i="6"/>
  <c r="BF31" i="6"/>
  <c r="BD31" i="6"/>
  <c r="BC31" i="6"/>
  <c r="BB31" i="6"/>
  <c r="BA31" i="6"/>
  <c r="AZ31" i="6"/>
  <c r="AY31" i="6"/>
  <c r="AX31" i="6"/>
  <c r="AW31" i="6"/>
  <c r="AV31" i="6"/>
  <c r="CE31" i="6"/>
  <c r="AU31" i="6"/>
  <c r="CD31" i="6"/>
  <c r="AT31" i="6"/>
  <c r="CC31" i="6"/>
  <c r="AS31" i="6"/>
  <c r="CB31" i="6"/>
  <c r="CA31" i="6"/>
  <c r="BS17" i="6"/>
  <c r="AU17" i="6"/>
  <c r="BQ17" i="6"/>
  <c r="AS17" i="6"/>
  <c r="BJ17" i="6"/>
  <c r="BI17" i="6"/>
  <c r="BH17" i="6"/>
  <c r="BG17" i="6"/>
  <c r="BK17" i="6"/>
  <c r="BF17" i="6"/>
  <c r="BE17" i="6"/>
  <c r="BD17" i="6"/>
  <c r="BC17" i="6"/>
  <c r="BB17" i="6"/>
  <c r="CE17" i="6"/>
  <c r="BA17" i="6"/>
  <c r="CD17" i="6"/>
  <c r="AZ17" i="6"/>
  <c r="CC17" i="6"/>
  <c r="AY17" i="6"/>
  <c r="CB17" i="6"/>
  <c r="AX17" i="6"/>
  <c r="CA17" i="6"/>
  <c r="AW17" i="6"/>
  <c r="BZ17" i="6"/>
  <c r="AV17" i="6"/>
  <c r="BY17" i="6"/>
  <c r="AT17" i="6"/>
  <c r="BX17" i="6"/>
  <c r="BW17" i="6"/>
  <c r="BV17" i="6"/>
  <c r="BU17" i="6"/>
  <c r="BT17" i="6"/>
  <c r="BR17" i="6"/>
  <c r="BP17" i="6"/>
  <c r="BO17" i="6"/>
  <c r="BN17" i="6"/>
  <c r="BM17" i="6"/>
  <c r="BL17" i="6"/>
  <c r="BN56" i="6"/>
  <c r="BM56" i="6"/>
  <c r="BO56" i="6"/>
  <c r="BL56" i="6"/>
  <c r="BK56" i="6"/>
  <c r="BS56" i="6"/>
  <c r="BR56" i="6"/>
  <c r="BQ56" i="6"/>
  <c r="BP56" i="6"/>
  <c r="BJ56" i="6"/>
  <c r="BI56" i="6"/>
  <c r="BH56" i="6"/>
  <c r="BG56" i="6"/>
  <c r="BF56" i="6"/>
  <c r="BE56" i="6"/>
  <c r="BD56" i="6"/>
  <c r="BC56" i="6"/>
  <c r="CE56" i="6"/>
  <c r="BB56" i="6"/>
  <c r="CD56" i="6"/>
  <c r="BA56" i="6"/>
  <c r="CC56" i="6"/>
  <c r="AZ56" i="6"/>
  <c r="CB56" i="6"/>
  <c r="AY56" i="6"/>
  <c r="CA56" i="6"/>
  <c r="AX56" i="6"/>
  <c r="BZ56" i="6"/>
  <c r="BY56" i="6"/>
  <c r="BX56" i="6"/>
  <c r="BW56" i="6"/>
  <c r="BV56" i="6"/>
  <c r="BU56" i="6"/>
  <c r="BT56" i="6"/>
  <c r="AW56" i="6"/>
  <c r="AV56" i="6"/>
  <c r="AU56" i="6"/>
  <c r="AT56" i="6"/>
  <c r="AS56" i="6"/>
  <c r="BR33" i="6"/>
  <c r="AT33" i="6"/>
  <c r="BQ33" i="6"/>
  <c r="AS33" i="6"/>
  <c r="CE33" i="6"/>
  <c r="BE33" i="6"/>
  <c r="CD33" i="6"/>
  <c r="BD33" i="6"/>
  <c r="CC33" i="6"/>
  <c r="BC33" i="6"/>
  <c r="BT33" i="6"/>
  <c r="BS33" i="6"/>
  <c r="BP33" i="6"/>
  <c r="BO33" i="6"/>
  <c r="BN33" i="6"/>
  <c r="BM33" i="6"/>
  <c r="BL33" i="6"/>
  <c r="BI33" i="6"/>
  <c r="BG33" i="6"/>
  <c r="CA33" i="6"/>
  <c r="BZ33" i="6"/>
  <c r="BY33" i="6"/>
  <c r="BX33" i="6"/>
  <c r="BW33" i="6"/>
  <c r="BV33" i="6"/>
  <c r="BU33" i="6"/>
  <c r="BK33" i="6"/>
  <c r="BJ33" i="6"/>
  <c r="BH33" i="6"/>
  <c r="BF33" i="6"/>
  <c r="BB33" i="6"/>
  <c r="BA33" i="6"/>
  <c r="AZ33" i="6"/>
  <c r="AY33" i="6"/>
  <c r="AX33" i="6"/>
  <c r="AW33" i="6"/>
  <c r="AV33" i="6"/>
  <c r="AU33" i="6"/>
  <c r="CB33" i="6"/>
  <c r="BO16" i="6"/>
  <c r="BM16" i="6"/>
  <c r="CB16" i="6"/>
  <c r="BB16" i="6"/>
  <c r="CA16" i="6"/>
  <c r="BA16" i="6"/>
  <c r="BZ16" i="6"/>
  <c r="AZ16" i="6"/>
  <c r="BY16" i="6"/>
  <c r="AY16" i="6"/>
  <c r="BZ29" i="6"/>
  <c r="BB29" i="6"/>
  <c r="BY29" i="6"/>
  <c r="BA29" i="6"/>
  <c r="BW29" i="6"/>
  <c r="AW29" i="6"/>
  <c r="BV29" i="6"/>
  <c r="AV29" i="6"/>
  <c r="BU29" i="6"/>
  <c r="AU29" i="6"/>
  <c r="BO29" i="6"/>
  <c r="BN29" i="6"/>
  <c r="BM29" i="6"/>
  <c r="BL29" i="6"/>
  <c r="BK29" i="6"/>
  <c r="BJ29" i="6"/>
  <c r="AS16" i="6"/>
  <c r="BW16" i="6"/>
  <c r="AS29" i="6"/>
  <c r="AV35" i="6"/>
  <c r="AT16" i="6"/>
  <c r="BX16" i="6"/>
  <c r="AT29" i="6"/>
  <c r="AW35" i="6"/>
  <c r="CD42" i="6"/>
  <c r="BF42" i="6"/>
  <c r="CC42" i="6"/>
  <c r="BE42" i="6"/>
  <c r="CA42" i="6"/>
  <c r="BA42" i="6"/>
  <c r="BZ42" i="6"/>
  <c r="AZ42" i="6"/>
  <c r="BY42" i="6"/>
  <c r="AY42" i="6"/>
  <c r="BK42" i="6"/>
  <c r="BJ42" i="6"/>
  <c r="BI42" i="6"/>
  <c r="BH42" i="6"/>
  <c r="BG42" i="6"/>
  <c r="BD42" i="6"/>
  <c r="BC42" i="6"/>
  <c r="BB42" i="6"/>
  <c r="AX42" i="6"/>
  <c r="CE42" i="6"/>
  <c r="AW42" i="6"/>
  <c r="CB42" i="6"/>
  <c r="AV42" i="6"/>
  <c r="BX42" i="6"/>
  <c r="AU42" i="6"/>
  <c r="BW42" i="6"/>
  <c r="AT42" i="6"/>
  <c r="BV42" i="6"/>
  <c r="AS42" i="6"/>
  <c r="BU42" i="6"/>
  <c r="BN50" i="6"/>
  <c r="BM50" i="6"/>
  <c r="BQ50" i="6"/>
  <c r="BP50" i="6"/>
  <c r="BO50" i="6"/>
  <c r="BJ50" i="6"/>
  <c r="BI50" i="6"/>
  <c r="BH50" i="6"/>
  <c r="BG50" i="6"/>
  <c r="BF50" i="6"/>
  <c r="BE50" i="6"/>
  <c r="BD50" i="6"/>
  <c r="BC50" i="6"/>
  <c r="CE50" i="6"/>
  <c r="BB50" i="6"/>
  <c r="CD50" i="6"/>
  <c r="BA50" i="6"/>
  <c r="CC50" i="6"/>
  <c r="AZ50" i="6"/>
  <c r="CB50" i="6"/>
  <c r="AY50" i="6"/>
  <c r="CA50" i="6"/>
  <c r="AX50" i="6"/>
  <c r="BZ50" i="6"/>
  <c r="AW50" i="6"/>
  <c r="BY50" i="6"/>
  <c r="AV50" i="6"/>
  <c r="BN62" i="6"/>
  <c r="BM62" i="6"/>
  <c r="BK62" i="6"/>
  <c r="BJ62" i="6"/>
  <c r="BI62" i="6"/>
  <c r="BG62" i="6"/>
  <c r="CA62" i="6"/>
  <c r="AW62" i="6"/>
  <c r="BZ62" i="6"/>
  <c r="AV62" i="6"/>
  <c r="BY62" i="6"/>
  <c r="AU62" i="6"/>
  <c r="BX62" i="6"/>
  <c r="AT62" i="6"/>
  <c r="BW62" i="6"/>
  <c r="AS62" i="6"/>
  <c r="BV62" i="6"/>
  <c r="BU62" i="6"/>
  <c r="BT62" i="6"/>
  <c r="BS62" i="6"/>
  <c r="BR62" i="6"/>
  <c r="BQ62" i="6"/>
  <c r="BP62" i="6"/>
  <c r="BO62" i="6"/>
  <c r="BL62" i="6"/>
  <c r="BH62" i="6"/>
  <c r="BF62" i="6"/>
  <c r="BE62" i="6"/>
  <c r="BD62" i="6"/>
  <c r="AU16" i="6"/>
  <c r="CC16" i="6"/>
  <c r="AX29" i="6"/>
  <c r="AX35" i="6"/>
  <c r="BL42" i="6"/>
  <c r="AS50" i="6"/>
  <c r="AX62" i="6"/>
  <c r="CJ68" i="6"/>
  <c r="BX4" i="6"/>
  <c r="AZ4" i="6"/>
  <c r="BW4" i="6"/>
  <c r="AY4" i="6"/>
  <c r="BV4" i="6"/>
  <c r="AX4" i="6"/>
  <c r="BS4" i="6"/>
  <c r="AV16" i="6"/>
  <c r="CD16" i="6"/>
  <c r="AY29" i="6"/>
  <c r="CD30" i="6"/>
  <c r="BF30" i="6"/>
  <c r="CC30" i="6"/>
  <c r="BE30" i="6"/>
  <c r="BG30" i="6"/>
  <c r="BD30" i="6"/>
  <c r="CE30" i="6"/>
  <c r="BC30" i="6"/>
  <c r="AZ30" i="6"/>
  <c r="CB30" i="6"/>
  <c r="AY30" i="6"/>
  <c r="CA30" i="6"/>
  <c r="AX30" i="6"/>
  <c r="BZ30" i="6"/>
  <c r="AW30" i="6"/>
  <c r="BY30" i="6"/>
  <c r="AV30" i="6"/>
  <c r="BX30" i="6"/>
  <c r="AU30" i="6"/>
  <c r="BT30" i="6"/>
  <c r="BV34" i="6"/>
  <c r="AX34" i="6"/>
  <c r="BU34" i="6"/>
  <c r="AW34" i="6"/>
  <c r="BM34" i="6"/>
  <c r="BL34" i="6"/>
  <c r="BK34" i="6"/>
  <c r="BE34" i="6"/>
  <c r="BD34" i="6"/>
  <c r="BC34" i="6"/>
  <c r="CE34" i="6"/>
  <c r="BB34" i="6"/>
  <c r="CD34" i="6"/>
  <c r="BA34" i="6"/>
  <c r="CC34" i="6"/>
  <c r="AZ34" i="6"/>
  <c r="CB34" i="6"/>
  <c r="AY34" i="6"/>
  <c r="BY34" i="6"/>
  <c r="AT34" i="6"/>
  <c r="BW34" i="6"/>
  <c r="BM42" i="6"/>
  <c r="AT50" i="6"/>
  <c r="CD60" i="6"/>
  <c r="BF60" i="6"/>
  <c r="CC60" i="6"/>
  <c r="BE60" i="6"/>
  <c r="BU60" i="6"/>
  <c r="AU60" i="6"/>
  <c r="BT60" i="6"/>
  <c r="AT60" i="6"/>
  <c r="BS60" i="6"/>
  <c r="AS60" i="6"/>
  <c r="BQ60" i="6"/>
  <c r="BW60" i="6"/>
  <c r="BV60" i="6"/>
  <c r="BR60" i="6"/>
  <c r="BP60" i="6"/>
  <c r="BO60" i="6"/>
  <c r="BN60" i="6"/>
  <c r="BM60" i="6"/>
  <c r="BL60" i="6"/>
  <c r="BK60" i="6"/>
  <c r="BJ60" i="6"/>
  <c r="BI60" i="6"/>
  <c r="BH60" i="6"/>
  <c r="BG60" i="6"/>
  <c r="BD60" i="6"/>
  <c r="BC60" i="6"/>
  <c r="BB60" i="6"/>
  <c r="BA60" i="6"/>
  <c r="AZ60" i="6"/>
  <c r="AY62" i="6"/>
  <c r="BZ35" i="6"/>
  <c r="BB35" i="6"/>
  <c r="BY35" i="6"/>
  <c r="BA35" i="6"/>
  <c r="BU35" i="6"/>
  <c r="AU35" i="6"/>
  <c r="BT35" i="6"/>
  <c r="AT35" i="6"/>
  <c r="BS35" i="6"/>
  <c r="AS35" i="6"/>
  <c r="BV35" i="6"/>
  <c r="BR35" i="6"/>
  <c r="BQ35" i="6"/>
  <c r="BP35" i="6"/>
  <c r="BO35" i="6"/>
  <c r="BN35" i="6"/>
  <c r="BM35" i="6"/>
  <c r="BJ35" i="6"/>
  <c r="BH35" i="6"/>
  <c r="AS4" i="6"/>
  <c r="BT4" i="6"/>
  <c r="AW16" i="6"/>
  <c r="CE16" i="6"/>
  <c r="AZ29" i="6"/>
  <c r="AS30" i="6"/>
  <c r="AS34" i="6"/>
  <c r="AZ35" i="6"/>
  <c r="BN42" i="6"/>
  <c r="AU50" i="6"/>
  <c r="AV60" i="6"/>
  <c r="AZ62" i="6"/>
  <c r="AT4" i="6"/>
  <c r="BU4" i="6"/>
  <c r="AX16" i="6"/>
  <c r="BC29" i="6"/>
  <c r="AT30" i="6"/>
  <c r="BN32" i="6"/>
  <c r="BM32" i="6"/>
  <c r="BW32" i="6"/>
  <c r="AW32" i="6"/>
  <c r="BV32" i="6"/>
  <c r="AV32" i="6"/>
  <c r="BU32" i="6"/>
  <c r="AU32" i="6"/>
  <c r="BD32" i="6"/>
  <c r="BC32" i="6"/>
  <c r="CE32" i="6"/>
  <c r="BB32" i="6"/>
  <c r="CD32" i="6"/>
  <c r="BA32" i="6"/>
  <c r="CC32" i="6"/>
  <c r="AZ32" i="6"/>
  <c r="CB32" i="6"/>
  <c r="AY32" i="6"/>
  <c r="BX32" i="6"/>
  <c r="BS32" i="6"/>
  <c r="AU34" i="6"/>
  <c r="BC35" i="6"/>
  <c r="BR39" i="6"/>
  <c r="AT39" i="6"/>
  <c r="BQ39" i="6"/>
  <c r="AS39" i="6"/>
  <c r="CC39" i="6"/>
  <c r="BC39" i="6"/>
  <c r="CB39" i="6"/>
  <c r="BB39" i="6"/>
  <c r="CA39" i="6"/>
  <c r="BA39" i="6"/>
  <c r="BX39" i="6"/>
  <c r="AU39" i="6"/>
  <c r="BW39" i="6"/>
  <c r="BV39" i="6"/>
  <c r="BU39" i="6"/>
  <c r="BT39" i="6"/>
  <c r="BS39" i="6"/>
  <c r="BP39" i="6"/>
  <c r="BO39" i="6"/>
  <c r="BN39" i="6"/>
  <c r="BM39" i="6"/>
  <c r="BK39" i="6"/>
  <c r="BJ39" i="6"/>
  <c r="BH39" i="6"/>
  <c r="BO42" i="6"/>
  <c r="BK50" i="6"/>
  <c r="AW60" i="6"/>
  <c r="BA62" i="6"/>
  <c r="AU4" i="6"/>
  <c r="BY4" i="6"/>
  <c r="BC16" i="6"/>
  <c r="BD29" i="6"/>
  <c r="BA30" i="6"/>
  <c r="AV34" i="6"/>
  <c r="BD35" i="6"/>
  <c r="BP42" i="6"/>
  <c r="BL50" i="6"/>
  <c r="BV52" i="6"/>
  <c r="AX52" i="6"/>
  <c r="BU52" i="6"/>
  <c r="AW52" i="6"/>
  <c r="BG52" i="6"/>
  <c r="BF52" i="6"/>
  <c r="CE52" i="6"/>
  <c r="BE52" i="6"/>
  <c r="BN52" i="6"/>
  <c r="BM52" i="6"/>
  <c r="BL52" i="6"/>
  <c r="BK52" i="6"/>
  <c r="BJ52" i="6"/>
  <c r="BI52" i="6"/>
  <c r="BH52" i="6"/>
  <c r="BD52" i="6"/>
  <c r="BC52" i="6"/>
  <c r="BB52" i="6"/>
  <c r="CD52" i="6"/>
  <c r="BA52" i="6"/>
  <c r="CC52" i="6"/>
  <c r="AZ52" i="6"/>
  <c r="CB52" i="6"/>
  <c r="AY52" i="6"/>
  <c r="CA52" i="6"/>
  <c r="AV52" i="6"/>
  <c r="BZ52" i="6"/>
  <c r="AU52" i="6"/>
  <c r="BX52" i="6"/>
  <c r="AX60" i="6"/>
  <c r="BB62" i="6"/>
  <c r="AV4" i="6"/>
  <c r="BZ4" i="6"/>
  <c r="BD16" i="6"/>
  <c r="BE29" i="6"/>
  <c r="BB30" i="6"/>
  <c r="AT32" i="6"/>
  <c r="BF34" i="6"/>
  <c r="BE35" i="6"/>
  <c r="AW39" i="6"/>
  <c r="BQ42" i="6"/>
  <c r="BR50" i="6"/>
  <c r="AS52" i="6"/>
  <c r="AY60" i="6"/>
  <c r="BC62" i="6"/>
  <c r="AW4" i="6"/>
  <c r="CA4" i="6"/>
  <c r="BE16" i="6"/>
  <c r="BJ25" i="6"/>
  <c r="BI25" i="6"/>
  <c r="BQ25" i="6"/>
  <c r="BP25" i="6"/>
  <c r="BO25" i="6"/>
  <c r="BL25" i="6"/>
  <c r="BK25" i="6"/>
  <c r="BH25" i="6"/>
  <c r="BG25" i="6"/>
  <c r="BF25" i="6"/>
  <c r="BZ25" i="6"/>
  <c r="BF29" i="6"/>
  <c r="BH30" i="6"/>
  <c r="AX32" i="6"/>
  <c r="BG34" i="6"/>
  <c r="BF35" i="6"/>
  <c r="AX39" i="6"/>
  <c r="BR42" i="6"/>
  <c r="BS50" i="6"/>
  <c r="AT52" i="6"/>
  <c r="BX60" i="6"/>
  <c r="CB62" i="6"/>
  <c r="BO3" i="6"/>
  <c r="BA4" i="6"/>
  <c r="CB4" i="6"/>
  <c r="BQ15" i="6"/>
  <c r="BF16" i="6"/>
  <c r="AS25" i="6"/>
  <c r="CA25" i="6"/>
  <c r="BG29" i="6"/>
  <c r="BI30" i="6"/>
  <c r="BE32" i="6"/>
  <c r="BH34" i="6"/>
  <c r="BG35" i="6"/>
  <c r="AY39" i="6"/>
  <c r="BS42" i="6"/>
  <c r="BT50" i="6"/>
  <c r="BO52" i="6"/>
  <c r="BY60" i="6"/>
  <c r="CC62" i="6"/>
  <c r="BP3" i="6"/>
  <c r="BB4" i="6"/>
  <c r="CC4" i="6"/>
  <c r="BV15" i="6"/>
  <c r="BG16" i="6"/>
  <c r="BN22" i="6"/>
  <c r="AT25" i="6"/>
  <c r="CB25" i="6"/>
  <c r="BT26" i="6"/>
  <c r="BH29" i="6"/>
  <c r="BJ30" i="6"/>
  <c r="BF32" i="6"/>
  <c r="BI34" i="6"/>
  <c r="BI35" i="6"/>
  <c r="AZ39" i="6"/>
  <c r="BT42" i="6"/>
  <c r="BJ49" i="6"/>
  <c r="BI49" i="6"/>
  <c r="BG49" i="6"/>
  <c r="BF49" i="6"/>
  <c r="CE49" i="6"/>
  <c r="BE49" i="6"/>
  <c r="BZ49" i="6"/>
  <c r="AW49" i="6"/>
  <c r="BY49" i="6"/>
  <c r="AV49" i="6"/>
  <c r="BX49" i="6"/>
  <c r="AU49" i="6"/>
  <c r="BW49" i="6"/>
  <c r="AT49" i="6"/>
  <c r="BV49" i="6"/>
  <c r="AS49" i="6"/>
  <c r="BU49" i="6"/>
  <c r="BT49" i="6"/>
  <c r="BS49" i="6"/>
  <c r="BR49" i="6"/>
  <c r="BQ49" i="6"/>
  <c r="BP49" i="6"/>
  <c r="BO49" i="6"/>
  <c r="BN49" i="6"/>
  <c r="BM49" i="6"/>
  <c r="BL49" i="6"/>
  <c r="BU50" i="6"/>
  <c r="BP52" i="6"/>
  <c r="BZ60" i="6"/>
  <c r="CD62" i="6"/>
  <c r="BQ3" i="6"/>
  <c r="BC4" i="6"/>
  <c r="CD4" i="6"/>
  <c r="BW15" i="6"/>
  <c r="BH16" i="6"/>
  <c r="BP22" i="6"/>
  <c r="AU25" i="6"/>
  <c r="CC25" i="6"/>
  <c r="BU26" i="6"/>
  <c r="BI29" i="6"/>
  <c r="BK30" i="6"/>
  <c r="BG32" i="6"/>
  <c r="BJ34" i="6"/>
  <c r="BK35" i="6"/>
  <c r="BD39" i="6"/>
  <c r="BJ43" i="6"/>
  <c r="BI43" i="6"/>
  <c r="BK43" i="6"/>
  <c r="BH43" i="6"/>
  <c r="BG43" i="6"/>
  <c r="BY43" i="6"/>
  <c r="AV43" i="6"/>
  <c r="BX43" i="6"/>
  <c r="AU43" i="6"/>
  <c r="BW43" i="6"/>
  <c r="AT43" i="6"/>
  <c r="BV43" i="6"/>
  <c r="AS43" i="6"/>
  <c r="BU43" i="6"/>
  <c r="BT43" i="6"/>
  <c r="BS43" i="6"/>
  <c r="BR43" i="6"/>
  <c r="BQ43" i="6"/>
  <c r="BP43" i="6"/>
  <c r="BO43" i="6"/>
  <c r="BN43" i="6"/>
  <c r="BM43" i="6"/>
  <c r="BL43" i="6"/>
  <c r="BF43" i="6"/>
  <c r="AX49" i="6"/>
  <c r="BV50" i="6"/>
  <c r="BQ52" i="6"/>
  <c r="CA60" i="6"/>
  <c r="CE62" i="6"/>
  <c r="BD4" i="6"/>
  <c r="CE4" i="6"/>
  <c r="BI16" i="6"/>
  <c r="BR22" i="6"/>
  <c r="AV25" i="6"/>
  <c r="CD25" i="6"/>
  <c r="BP29" i="6"/>
  <c r="BL30" i="6"/>
  <c r="BH32" i="6"/>
  <c r="BN34" i="6"/>
  <c r="BL35" i="6"/>
  <c r="BE39" i="6"/>
  <c r="AW43" i="6"/>
  <c r="AY49" i="6"/>
  <c r="BW50" i="6"/>
  <c r="BR52" i="6"/>
  <c r="CB60" i="6"/>
  <c r="BT3" i="6"/>
  <c r="AV3" i="6"/>
  <c r="BS3" i="6"/>
  <c r="AU3" i="6"/>
  <c r="BR3" i="6"/>
  <c r="AT3" i="6"/>
  <c r="BV3" i="6"/>
  <c r="BE4" i="6"/>
  <c r="BK15" i="6"/>
  <c r="BU15" i="6"/>
  <c r="AV15" i="6"/>
  <c r="BT15" i="6"/>
  <c r="AU15" i="6"/>
  <c r="BS15" i="6"/>
  <c r="AT15" i="6"/>
  <c r="BR15" i="6"/>
  <c r="AS15" i="6"/>
  <c r="BY15" i="6"/>
  <c r="BJ16" i="6"/>
  <c r="AW25" i="6"/>
  <c r="CE25" i="6"/>
  <c r="BQ29" i="6"/>
  <c r="BM30" i="6"/>
  <c r="BI32" i="6"/>
  <c r="BO34" i="6"/>
  <c r="BW35" i="6"/>
  <c r="BF39" i="6"/>
  <c r="AZ49" i="6"/>
  <c r="BX50" i="6"/>
  <c r="BS52" i="6"/>
  <c r="CE60" i="6"/>
  <c r="AS3" i="6"/>
  <c r="BW3" i="6"/>
  <c r="BF4" i="6"/>
  <c r="AW15" i="6"/>
  <c r="BZ15" i="6"/>
  <c r="BK16" i="6"/>
  <c r="BT22" i="6"/>
  <c r="AX25" i="6"/>
  <c r="BR29" i="6"/>
  <c r="BN30" i="6"/>
  <c r="BJ32" i="6"/>
  <c r="BP34" i="6"/>
  <c r="BX35" i="6"/>
  <c r="BN38" i="6"/>
  <c r="BM38" i="6"/>
  <c r="BU38" i="6"/>
  <c r="AU38" i="6"/>
  <c r="BT38" i="6"/>
  <c r="AT38" i="6"/>
  <c r="BS38" i="6"/>
  <c r="AS38" i="6"/>
  <c r="BH38" i="6"/>
  <c r="BG38" i="6"/>
  <c r="BF38" i="6"/>
  <c r="BE38" i="6"/>
  <c r="BD38" i="6"/>
  <c r="BC38" i="6"/>
  <c r="CE38" i="6"/>
  <c r="BB38" i="6"/>
  <c r="CC38" i="6"/>
  <c r="AZ38" i="6"/>
  <c r="CB38" i="6"/>
  <c r="AY38" i="6"/>
  <c r="BZ38" i="6"/>
  <c r="AW38" i="6"/>
  <c r="BY38" i="6"/>
  <c r="AV38" i="6"/>
  <c r="BW38" i="6"/>
  <c r="BG39" i="6"/>
  <c r="AY43" i="6"/>
  <c r="BA49" i="6"/>
  <c r="BR51" i="6"/>
  <c r="AT51" i="6"/>
  <c r="BQ51" i="6"/>
  <c r="AS51" i="6"/>
  <c r="BY51" i="6"/>
  <c r="AY51" i="6"/>
  <c r="BX51" i="6"/>
  <c r="AX51" i="6"/>
  <c r="BW51" i="6"/>
  <c r="AW51" i="6"/>
  <c r="CC51" i="6"/>
  <c r="AZ51" i="6"/>
  <c r="CB51" i="6"/>
  <c r="AV51" i="6"/>
  <c r="CA51" i="6"/>
  <c r="AU51" i="6"/>
  <c r="BZ51" i="6"/>
  <c r="BV51" i="6"/>
  <c r="BU51" i="6"/>
  <c r="BT51" i="6"/>
  <c r="BS51" i="6"/>
  <c r="BP51" i="6"/>
  <c r="BO51" i="6"/>
  <c r="BN51" i="6"/>
  <c r="BM51" i="6"/>
  <c r="BL51" i="6"/>
  <c r="BK51" i="6"/>
  <c r="BJ51" i="6"/>
  <c r="BT52" i="6"/>
  <c r="BG4" i="6"/>
  <c r="AX15" i="6"/>
  <c r="CA15" i="6"/>
  <c r="BL16" i="6"/>
  <c r="BW22" i="6"/>
  <c r="AY25" i="6"/>
  <c r="BS29" i="6"/>
  <c r="BO30" i="6"/>
  <c r="BK32" i="6"/>
  <c r="BQ34" i="6"/>
  <c r="CA35" i="6"/>
  <c r="BJ37" i="6"/>
  <c r="BI37" i="6"/>
  <c r="BM37" i="6"/>
  <c r="BL37" i="6"/>
  <c r="BK37" i="6"/>
  <c r="BW37" i="6"/>
  <c r="AT37" i="6"/>
  <c r="BV37" i="6"/>
  <c r="AS37" i="6"/>
  <c r="BU37" i="6"/>
  <c r="BT37" i="6"/>
  <c r="BS37" i="6"/>
  <c r="BR37" i="6"/>
  <c r="BQ37" i="6"/>
  <c r="BO37" i="6"/>
  <c r="BN37" i="6"/>
  <c r="BG37" i="6"/>
  <c r="BF37" i="6"/>
  <c r="BD37" i="6"/>
  <c r="AX38" i="6"/>
  <c r="BI39" i="6"/>
  <c r="AZ43" i="6"/>
  <c r="BR45" i="6"/>
  <c r="AT45" i="6"/>
  <c r="BQ45" i="6"/>
  <c r="AS45" i="6"/>
  <c r="CA45" i="6"/>
  <c r="BA45" i="6"/>
  <c r="BZ45" i="6"/>
  <c r="AZ45" i="6"/>
  <c r="BY45" i="6"/>
  <c r="AY45" i="6"/>
  <c r="BX45" i="6"/>
  <c r="AU45" i="6"/>
  <c r="BW45" i="6"/>
  <c r="BV45" i="6"/>
  <c r="BU45" i="6"/>
  <c r="BT45" i="6"/>
  <c r="BS45" i="6"/>
  <c r="BP45" i="6"/>
  <c r="BO45" i="6"/>
  <c r="BN45" i="6"/>
  <c r="BM45" i="6"/>
  <c r="BL45" i="6"/>
  <c r="BK45" i="6"/>
  <c r="BJ45" i="6"/>
  <c r="BI45" i="6"/>
  <c r="BH45" i="6"/>
  <c r="BB49" i="6"/>
  <c r="BW52" i="6"/>
  <c r="BH4" i="6"/>
  <c r="BN16" i="6"/>
  <c r="CJ21" i="6"/>
  <c r="BX22" i="6"/>
  <c r="AZ25" i="6"/>
  <c r="BN26" i="6"/>
  <c r="BM26" i="6"/>
  <c r="BY26" i="6"/>
  <c r="AY26" i="6"/>
  <c r="BX26" i="6"/>
  <c r="AX26" i="6"/>
  <c r="BW26" i="6"/>
  <c r="AW26" i="6"/>
  <c r="CC26" i="6"/>
  <c r="AZ26" i="6"/>
  <c r="CB26" i="6"/>
  <c r="AV26" i="6"/>
  <c r="CA26" i="6"/>
  <c r="AU26" i="6"/>
  <c r="BZ26" i="6"/>
  <c r="AT26" i="6"/>
  <c r="BV26" i="6"/>
  <c r="AS26" i="6"/>
  <c r="BT29" i="6"/>
  <c r="BP30" i="6"/>
  <c r="BL32" i="6"/>
  <c r="BR34" i="6"/>
  <c r="CB35" i="6"/>
  <c r="AU37" i="6"/>
  <c r="BA38" i="6"/>
  <c r="BL39" i="6"/>
  <c r="BA43" i="6"/>
  <c r="AV45" i="6"/>
  <c r="BC49" i="6"/>
  <c r="BB51" i="6"/>
  <c r="BY52" i="6"/>
  <c r="AY3" i="6"/>
  <c r="BZ3" i="6"/>
  <c r="BI4" i="6"/>
  <c r="AZ15" i="6"/>
  <c r="CC15" i="6"/>
  <c r="BP16" i="6"/>
  <c r="BA25" i="6"/>
  <c r="BA26" i="6"/>
  <c r="BX29" i="6"/>
  <c r="BQ30" i="6"/>
  <c r="BO32" i="6"/>
  <c r="BS34" i="6"/>
  <c r="CC35" i="6"/>
  <c r="BY39" i="6"/>
  <c r="BB43" i="6"/>
  <c r="AW45" i="6"/>
  <c r="BD49" i="6"/>
  <c r="BC51" i="6"/>
  <c r="BZ53" i="6"/>
  <c r="BB53" i="6"/>
  <c r="BY53" i="6"/>
  <c r="BA53" i="6"/>
  <c r="BO53" i="6"/>
  <c r="BN53" i="6"/>
  <c r="BM53" i="6"/>
  <c r="CD53" i="6"/>
  <c r="AY53" i="6"/>
  <c r="CC53" i="6"/>
  <c r="AX53" i="6"/>
  <c r="CB53" i="6"/>
  <c r="AW53" i="6"/>
  <c r="CA53" i="6"/>
  <c r="AV53" i="6"/>
  <c r="BX53" i="6"/>
  <c r="AU53" i="6"/>
  <c r="BW53" i="6"/>
  <c r="AT53" i="6"/>
  <c r="BV53" i="6"/>
  <c r="AS53" i="6"/>
  <c r="BU53" i="6"/>
  <c r="BT53" i="6"/>
  <c r="BS53" i="6"/>
  <c r="BR53" i="6"/>
  <c r="BQ53" i="6"/>
  <c r="BP53" i="6"/>
  <c r="BL53" i="6"/>
  <c r="BK53" i="6"/>
  <c r="BI53" i="6"/>
  <c r="AZ3" i="6"/>
  <c r="CA3" i="6"/>
  <c r="BJ4" i="6"/>
  <c r="BA15" i="6"/>
  <c r="CD15" i="6"/>
  <c r="BQ16" i="6"/>
  <c r="BV22" i="6"/>
  <c r="AX22" i="6"/>
  <c r="BU22" i="6"/>
  <c r="AW22" i="6"/>
  <c r="BQ22" i="6"/>
  <c r="BO22" i="6"/>
  <c r="CC22" i="6"/>
  <c r="BA22" i="6"/>
  <c r="CB22" i="6"/>
  <c r="AZ22" i="6"/>
  <c r="CA22" i="6"/>
  <c r="AY22" i="6"/>
  <c r="BZ22" i="6"/>
  <c r="AV22" i="6"/>
  <c r="CD22" i="6"/>
  <c r="BB25" i="6"/>
  <c r="BB26" i="6"/>
  <c r="CA29" i="6"/>
  <c r="BR30" i="6"/>
  <c r="BP32" i="6"/>
  <c r="BT34" i="6"/>
  <c r="CD35" i="6"/>
  <c r="BZ39" i="6"/>
  <c r="BC43" i="6"/>
  <c r="AX45" i="6"/>
  <c r="BH49" i="6"/>
  <c r="BD51" i="6"/>
  <c r="AZ53" i="6"/>
  <c r="BA3" i="6"/>
  <c r="CB3" i="6"/>
  <c r="BK4" i="6"/>
  <c r="BB15" i="6"/>
  <c r="CE15" i="6"/>
  <c r="BR16" i="6"/>
  <c r="AS22" i="6"/>
  <c r="CE22" i="6"/>
  <c r="BC25" i="6"/>
  <c r="BC26" i="6"/>
  <c r="CB29" i="6"/>
  <c r="BS30" i="6"/>
  <c r="BQ32" i="6"/>
  <c r="BX34" i="6"/>
  <c r="CE35" i="6"/>
  <c r="AX37" i="6"/>
  <c r="BK38" i="6"/>
  <c r="CD39" i="6"/>
  <c r="BD43" i="6"/>
  <c r="BB45" i="6"/>
  <c r="BK49" i="6"/>
  <c r="BE51" i="6"/>
  <c r="BC53" i="6"/>
  <c r="BZ59" i="6"/>
  <c r="BB59" i="6"/>
  <c r="BY59" i="6"/>
  <c r="BA59" i="6"/>
  <c r="BM59" i="6"/>
  <c r="BL59" i="6"/>
  <c r="BK59" i="6"/>
  <c r="BE59" i="6"/>
  <c r="BD59" i="6"/>
  <c r="BC59" i="6"/>
  <c r="CE59" i="6"/>
  <c r="AZ59" i="6"/>
  <c r="CD59" i="6"/>
  <c r="AY59" i="6"/>
  <c r="CC59" i="6"/>
  <c r="AX59" i="6"/>
  <c r="CB59" i="6"/>
  <c r="AW59" i="6"/>
  <c r="CA59" i="6"/>
  <c r="AV59" i="6"/>
  <c r="BX59" i="6"/>
  <c r="AU59" i="6"/>
  <c r="BW59" i="6"/>
  <c r="AT59" i="6"/>
  <c r="BV59" i="6"/>
  <c r="AS59" i="6"/>
  <c r="BU59" i="6"/>
  <c r="BT59" i="6"/>
  <c r="BS59" i="6"/>
  <c r="BR59" i="6"/>
  <c r="BQ59" i="6"/>
  <c r="BP59" i="6"/>
  <c r="BO59" i="6"/>
  <c r="BB3" i="6"/>
  <c r="CC3" i="6"/>
  <c r="BL4" i="6"/>
  <c r="BC15" i="6"/>
  <c r="BS16" i="6"/>
  <c r="AT22" i="6"/>
  <c r="BD25" i="6"/>
  <c r="BD26" i="6"/>
  <c r="CC29" i="6"/>
  <c r="BU30" i="6"/>
  <c r="BR32" i="6"/>
  <c r="BZ34" i="6"/>
  <c r="AY37" i="6"/>
  <c r="BL38" i="6"/>
  <c r="CE39" i="6"/>
  <c r="BE43" i="6"/>
  <c r="BC45" i="6"/>
  <c r="CA49" i="6"/>
  <c r="BF51" i="6"/>
  <c r="BD53" i="6"/>
  <c r="BF59" i="6"/>
  <c r="BV64" i="6"/>
  <c r="AX64" i="6"/>
  <c r="BU64" i="6"/>
  <c r="AW64" i="6"/>
  <c r="CC64" i="6"/>
  <c r="BC64" i="6"/>
  <c r="CB64" i="6"/>
  <c r="BB64" i="6"/>
  <c r="CA64" i="6"/>
  <c r="BA64" i="6"/>
  <c r="BY64" i="6"/>
  <c r="AY64" i="6"/>
  <c r="BD64" i="6"/>
  <c r="AZ64" i="6"/>
  <c r="AV64" i="6"/>
  <c r="CE64" i="6"/>
  <c r="AU64" i="6"/>
  <c r="CD64" i="6"/>
  <c r="AT64" i="6"/>
  <c r="BZ64" i="6"/>
  <c r="AS64" i="6"/>
  <c r="BX64" i="6"/>
  <c r="BW64" i="6"/>
  <c r="BT64" i="6"/>
  <c r="BS64" i="6"/>
  <c r="BR64" i="6"/>
  <c r="BQ64" i="6"/>
  <c r="BP64" i="6"/>
  <c r="BO64" i="6"/>
  <c r="BN64" i="6"/>
  <c r="BM64" i="6"/>
  <c r="BL64" i="6"/>
  <c r="BK64" i="6"/>
  <c r="BJ64" i="6"/>
  <c r="BC3" i="6"/>
  <c r="CD3" i="6"/>
  <c r="BM4" i="6"/>
  <c r="BD15" i="6"/>
  <c r="BT16" i="6"/>
  <c r="AU22" i="6"/>
  <c r="BE25" i="6"/>
  <c r="BE26" i="6"/>
  <c r="CD29" i="6"/>
  <c r="BV30" i="6"/>
  <c r="BT32" i="6"/>
  <c r="CA34" i="6"/>
  <c r="AZ37" i="6"/>
  <c r="BO38" i="6"/>
  <c r="BZ43" i="6"/>
  <c r="BD45" i="6"/>
  <c r="CB49" i="6"/>
  <c r="BG51" i="6"/>
  <c r="BE53" i="6"/>
  <c r="BG59" i="6"/>
  <c r="BE64" i="6"/>
  <c r="BJ69" i="6"/>
  <c r="BI69" i="6"/>
  <c r="CE69" i="6"/>
  <c r="BG69" i="6"/>
  <c r="BZ69" i="6"/>
  <c r="CD69" i="6"/>
  <c r="BB69" i="6"/>
  <c r="CC69" i="6"/>
  <c r="BA69" i="6"/>
  <c r="CB69" i="6"/>
  <c r="AZ69" i="6"/>
  <c r="BY69" i="6"/>
  <c r="AX69" i="6"/>
  <c r="CA69" i="6"/>
  <c r="AT69" i="6"/>
  <c r="BX69" i="6"/>
  <c r="AS69" i="6"/>
  <c r="CG69" i="6" s="1"/>
  <c r="CH69" i="6" s="1"/>
  <c r="BW69" i="6"/>
  <c r="BV69" i="6"/>
  <c r="BU69" i="6"/>
  <c r="BT69" i="6"/>
  <c r="BS69" i="6"/>
  <c r="BR69" i="6"/>
  <c r="BQ69" i="6"/>
  <c r="BP69" i="6"/>
  <c r="BO69" i="6"/>
  <c r="BN69" i="6"/>
  <c r="BM69" i="6"/>
  <c r="BL69" i="6"/>
  <c r="BK69" i="6"/>
  <c r="BH69" i="6"/>
  <c r="BF69" i="6"/>
  <c r="BE69" i="6"/>
  <c r="BD69" i="6"/>
  <c r="BC69" i="6"/>
  <c r="AY69" i="6"/>
  <c r="AW69" i="6"/>
  <c r="AV69" i="6"/>
  <c r="BD3" i="6"/>
  <c r="CE3" i="6"/>
  <c r="BN4" i="6"/>
  <c r="BE15" i="6"/>
  <c r="BU16" i="6"/>
  <c r="BB22" i="6"/>
  <c r="BM25" i="6"/>
  <c r="BF26" i="6"/>
  <c r="BV28" i="6"/>
  <c r="AX28" i="6"/>
  <c r="BU28" i="6"/>
  <c r="AW28" i="6"/>
  <c r="BO28" i="6"/>
  <c r="BN28" i="6"/>
  <c r="BM28" i="6"/>
  <c r="CD28" i="6"/>
  <c r="BA28" i="6"/>
  <c r="CC28" i="6"/>
  <c r="AZ28" i="6"/>
  <c r="CB28" i="6"/>
  <c r="AY28" i="6"/>
  <c r="CA28" i="6"/>
  <c r="AV28" i="6"/>
  <c r="BZ28" i="6"/>
  <c r="AU28" i="6"/>
  <c r="BY28" i="6"/>
  <c r="AT28" i="6"/>
  <c r="CJ28" i="6" s="1"/>
  <c r="CE29" i="6"/>
  <c r="BW30" i="6"/>
  <c r="BY32" i="6"/>
  <c r="CD36" i="6"/>
  <c r="BF36" i="6"/>
  <c r="CC36" i="6"/>
  <c r="BE36" i="6"/>
  <c r="CE36" i="6"/>
  <c r="BC36" i="6"/>
  <c r="CB36" i="6"/>
  <c r="BB36" i="6"/>
  <c r="CA36" i="6"/>
  <c r="BA36" i="6"/>
  <c r="BI36" i="6"/>
  <c r="BH36" i="6"/>
  <c r="BG36" i="6"/>
  <c r="BD36" i="6"/>
  <c r="AZ36" i="6"/>
  <c r="AY36" i="6"/>
  <c r="AX36" i="6"/>
  <c r="BX36" i="6"/>
  <c r="AU36" i="6"/>
  <c r="BV36" i="6"/>
  <c r="AS36" i="6"/>
  <c r="BU36" i="6"/>
  <c r="BS36" i="6"/>
  <c r="BA37" i="6"/>
  <c r="BP38" i="6"/>
  <c r="CA43" i="6"/>
  <c r="BE45" i="6"/>
  <c r="CC49" i="6"/>
  <c r="BH51" i="6"/>
  <c r="BF53" i="6"/>
  <c r="BR57" i="6"/>
  <c r="AT57" i="6"/>
  <c r="BQ57" i="6"/>
  <c r="AS57" i="6"/>
  <c r="BW57" i="6"/>
  <c r="AW57" i="6"/>
  <c r="BV57" i="6"/>
  <c r="AV57" i="6"/>
  <c r="BU57" i="6"/>
  <c r="AU57" i="6"/>
  <c r="BD57" i="6"/>
  <c r="BC57" i="6"/>
  <c r="CE57" i="6"/>
  <c r="BB57" i="6"/>
  <c r="CD57" i="6"/>
  <c r="BA57" i="6"/>
  <c r="CC57" i="6"/>
  <c r="AZ57" i="6"/>
  <c r="CB57" i="6"/>
  <c r="AY57" i="6"/>
  <c r="CA57" i="6"/>
  <c r="AX57" i="6"/>
  <c r="BZ57" i="6"/>
  <c r="BY57" i="6"/>
  <c r="BX57" i="6"/>
  <c r="BT57" i="6"/>
  <c r="BS57" i="6"/>
  <c r="BP57" i="6"/>
  <c r="BO57" i="6"/>
  <c r="BN57" i="6"/>
  <c r="BM57" i="6"/>
  <c r="BL57" i="6"/>
  <c r="BH59" i="6"/>
  <c r="BF64" i="6"/>
  <c r="AU69" i="6"/>
  <c r="BR63" i="6"/>
  <c r="AT63" i="6"/>
  <c r="BQ63" i="6"/>
  <c r="AS63" i="6"/>
  <c r="BU63" i="6"/>
  <c r="AU63" i="6"/>
  <c r="BT63" i="6"/>
  <c r="BS63" i="6"/>
  <c r="BO63" i="6"/>
  <c r="BY63" i="6"/>
  <c r="AV63" i="6"/>
  <c r="BZ63" i="6"/>
  <c r="AW63" i="6"/>
  <c r="CA63" i="6"/>
  <c r="AX63" i="6"/>
  <c r="CB63" i="6"/>
  <c r="BU68" i="6"/>
  <c r="BJ61" i="6"/>
  <c r="BI61" i="6"/>
  <c r="CC61" i="6"/>
  <c r="BC61" i="6"/>
  <c r="CB61" i="6"/>
  <c r="BB61" i="6"/>
  <c r="CA61" i="6"/>
  <c r="BA61" i="6"/>
  <c r="BY61" i="6"/>
  <c r="AY61" i="6"/>
  <c r="BV61" i="6"/>
  <c r="AY63" i="6"/>
  <c r="CC63" i="6"/>
  <c r="AS61" i="6"/>
  <c r="BW61" i="6"/>
  <c r="AZ63" i="6"/>
  <c r="CD63" i="6"/>
  <c r="CD68" i="6"/>
  <c r="BF68" i="6"/>
  <c r="CC68" i="6"/>
  <c r="BE68" i="6"/>
  <c r="CA68" i="6"/>
  <c r="BS68" i="6"/>
  <c r="AS68" i="6"/>
  <c r="CG68" i="6" s="1"/>
  <c r="CH68" i="6" s="1"/>
  <c r="BR68" i="6"/>
  <c r="BQ68" i="6"/>
  <c r="BO68" i="6"/>
  <c r="BW68" i="6"/>
  <c r="BR55" i="6"/>
  <c r="AT61" i="6"/>
  <c r="BX61" i="6"/>
  <c r="BA63" i="6"/>
  <c r="CE63" i="6"/>
  <c r="AT68" i="6"/>
  <c r="BX68" i="6"/>
  <c r="BS55" i="6"/>
  <c r="AU61" i="6"/>
  <c r="BZ61" i="6"/>
  <c r="BB63" i="6"/>
  <c r="AU68" i="6"/>
  <c r="BY68" i="6"/>
  <c r="AV61" i="6"/>
  <c r="CD61" i="6"/>
  <c r="BC63" i="6"/>
  <c r="AV68" i="6"/>
  <c r="BZ68" i="6"/>
  <c r="BJ55" i="6"/>
  <c r="BI55" i="6"/>
  <c r="CE55" i="6"/>
  <c r="BE55" i="6"/>
  <c r="CD55" i="6"/>
  <c r="BD55" i="6"/>
  <c r="CC55" i="6"/>
  <c r="BC55" i="6"/>
  <c r="BU55" i="6"/>
  <c r="AW61" i="6"/>
  <c r="CE61" i="6"/>
  <c r="BD63" i="6"/>
  <c r="AW68" i="6"/>
  <c r="CB68" i="6"/>
  <c r="AS55" i="6"/>
  <c r="BV55" i="6"/>
  <c r="AX61" i="6"/>
  <c r="BE63" i="6"/>
  <c r="AX68" i="6"/>
  <c r="CE68" i="6"/>
  <c r="AT55" i="6"/>
  <c r="BW55" i="6"/>
  <c r="AZ61" i="6"/>
  <c r="BF63" i="6"/>
  <c r="AY68" i="6"/>
  <c r="AU55" i="6"/>
  <c r="BX55" i="6"/>
  <c r="BD61" i="6"/>
  <c r="BG63" i="6"/>
  <c r="AZ68" i="6"/>
  <c r="BZ47" i="6"/>
  <c r="BB47" i="6"/>
  <c r="BY47" i="6"/>
  <c r="BA47" i="6"/>
  <c r="BQ47" i="6"/>
  <c r="BP47" i="6"/>
  <c r="BO47" i="6"/>
  <c r="BU47" i="6"/>
  <c r="AV55" i="6"/>
  <c r="BY55" i="6"/>
  <c r="BE61" i="6"/>
  <c r="BH63" i="6"/>
  <c r="BA68" i="6"/>
  <c r="AS47" i="6"/>
  <c r="BV47" i="6"/>
  <c r="AW55" i="6"/>
  <c r="BZ55" i="6"/>
  <c r="BF61" i="6"/>
  <c r="BI63" i="6"/>
  <c r="BB68" i="6"/>
  <c r="AT47" i="6"/>
  <c r="BW47" i="6"/>
  <c r="AX55" i="6"/>
  <c r="CA55" i="6"/>
  <c r="BG61" i="6"/>
  <c r="BJ63" i="6"/>
  <c r="BC68" i="6"/>
  <c r="BO2" i="6"/>
  <c r="BO8" i="6"/>
  <c r="BO14" i="6"/>
  <c r="AU47" i="6"/>
  <c r="BX47" i="6"/>
  <c r="AY55" i="6"/>
  <c r="CB55" i="6"/>
  <c r="BH61" i="6"/>
  <c r="BK63" i="6"/>
  <c r="BD68" i="6"/>
  <c r="BW18" i="6"/>
  <c r="AY18" i="6"/>
  <c r="BU18" i="6"/>
  <c r="AW18" i="6"/>
  <c r="BR18" i="6"/>
  <c r="BK21" i="6"/>
  <c r="BI21" i="6"/>
  <c r="BR21" i="6"/>
  <c r="AV47" i="6"/>
  <c r="CA47" i="6"/>
  <c r="AZ55" i="6"/>
  <c r="BK61" i="6"/>
  <c r="BL63" i="6"/>
  <c r="BG68" i="6"/>
  <c r="BZ41" i="6"/>
  <c r="BB41" i="6"/>
  <c r="BY41" i="6"/>
  <c r="BA41" i="6"/>
  <c r="BR41" i="6"/>
  <c r="BN44" i="6"/>
  <c r="BM44" i="6"/>
  <c r="BR44" i="6"/>
  <c r="AS41" i="6"/>
  <c r="BS41" i="6"/>
  <c r="AS44" i="6"/>
  <c r="BS44" i="6"/>
  <c r="BZ41" i="5"/>
  <c r="BB41" i="5"/>
  <c r="BY41" i="5"/>
  <c r="BA41" i="5"/>
  <c r="BX41" i="5"/>
  <c r="AZ41" i="5"/>
  <c r="BW41" i="5"/>
  <c r="AY41" i="5"/>
  <c r="BL41" i="5"/>
  <c r="BK41" i="5"/>
  <c r="BJ41" i="5"/>
  <c r="BN41" i="5"/>
  <c r="BM41" i="5"/>
  <c r="BI41" i="5"/>
  <c r="BH41" i="5"/>
  <c r="BQ41" i="5"/>
  <c r="BP41" i="5"/>
  <c r="BO41" i="5"/>
  <c r="BG41" i="5"/>
  <c r="BF41" i="5"/>
  <c r="BE41" i="5"/>
  <c r="BD41" i="5"/>
  <c r="BC41" i="5"/>
  <c r="AX41" i="5"/>
  <c r="AW41" i="5"/>
  <c r="AV41" i="5"/>
  <c r="AU41" i="5"/>
  <c r="AT41" i="5"/>
  <c r="AS41" i="5"/>
  <c r="CE41" i="5"/>
  <c r="CD41" i="5"/>
  <c r="CC41" i="5"/>
  <c r="CB41" i="5"/>
  <c r="CA41" i="5"/>
  <c r="BV41" i="5"/>
  <c r="BR41" i="5"/>
  <c r="BU41" i="5"/>
  <c r="BT41" i="5"/>
  <c r="BS41" i="5"/>
  <c r="BN44" i="5"/>
  <c r="BM44" i="5"/>
  <c r="BL44" i="5"/>
  <c r="BK44" i="5"/>
  <c r="BX44" i="5"/>
  <c r="AV44" i="5"/>
  <c r="BW44" i="5"/>
  <c r="AU44" i="5"/>
  <c r="BV44" i="5"/>
  <c r="AT44" i="5"/>
  <c r="BJ44" i="5"/>
  <c r="BI44" i="5"/>
  <c r="BH44" i="5"/>
  <c r="BG44" i="5"/>
  <c r="AZ44" i="5"/>
  <c r="AY44" i="5"/>
  <c r="AX44" i="5"/>
  <c r="AW44" i="5"/>
  <c r="CE44" i="5"/>
  <c r="AS44" i="5"/>
  <c r="CD44" i="5"/>
  <c r="CC44" i="5"/>
  <c r="CB44" i="5"/>
  <c r="CA44" i="5"/>
  <c r="BZ44" i="5"/>
  <c r="BY44" i="5"/>
  <c r="BU44" i="5"/>
  <c r="BT44" i="5"/>
  <c r="BS44" i="5"/>
  <c r="BR44" i="5"/>
  <c r="BQ44" i="5"/>
  <c r="BP44" i="5"/>
  <c r="BO44" i="5"/>
  <c r="BF44" i="5"/>
  <c r="BA44" i="5"/>
  <c r="BE44" i="5"/>
  <c r="BD44" i="5"/>
  <c r="BC44" i="5"/>
  <c r="BB44" i="5"/>
  <c r="BZ47" i="5"/>
  <c r="BB47" i="5"/>
  <c r="BY47" i="5"/>
  <c r="BA47" i="5"/>
  <c r="BX47" i="5"/>
  <c r="AZ47" i="5"/>
  <c r="BW47" i="5"/>
  <c r="AY47" i="5"/>
  <c r="BG47" i="5"/>
  <c r="BF47" i="5"/>
  <c r="BE47" i="5"/>
  <c r="BK47" i="5"/>
  <c r="BJ47" i="5"/>
  <c r="BI47" i="5"/>
  <c r="BH47" i="5"/>
  <c r="BU47" i="5"/>
  <c r="BT47" i="5"/>
  <c r="BS47" i="5"/>
  <c r="BR47" i="5"/>
  <c r="BQ47" i="5"/>
  <c r="BP47" i="5"/>
  <c r="BO47" i="5"/>
  <c r="BN47" i="5"/>
  <c r="BM47" i="5"/>
  <c r="BL47" i="5"/>
  <c r="BD47" i="5"/>
  <c r="BC47" i="5"/>
  <c r="AX47" i="5"/>
  <c r="BV47" i="5"/>
  <c r="AW47" i="5"/>
  <c r="AV47" i="5"/>
  <c r="AU47" i="5"/>
  <c r="AT47" i="5"/>
  <c r="AS47" i="5"/>
  <c r="CE47" i="5"/>
  <c r="CD47" i="5"/>
  <c r="CC47" i="5"/>
  <c r="CB47" i="5"/>
  <c r="CA47" i="5"/>
  <c r="BV58" i="5"/>
  <c r="AX58" i="5"/>
  <c r="BU58" i="5"/>
  <c r="AW58" i="5"/>
  <c r="BT58" i="5"/>
  <c r="AV58" i="5"/>
  <c r="BS58" i="5"/>
  <c r="AU58" i="5"/>
  <c r="BI58" i="5"/>
  <c r="BH58" i="5"/>
  <c r="BG58" i="5"/>
  <c r="BN58" i="5"/>
  <c r="BM58" i="5"/>
  <c r="BL58" i="5"/>
  <c r="BK58" i="5"/>
  <c r="BC58" i="5"/>
  <c r="BB58" i="5"/>
  <c r="BA58" i="5"/>
  <c r="AZ58" i="5"/>
  <c r="AY58" i="5"/>
  <c r="AT58" i="5"/>
  <c r="AS58" i="5"/>
  <c r="CE58" i="5"/>
  <c r="CD58" i="5"/>
  <c r="CC58" i="5"/>
  <c r="CB58" i="5"/>
  <c r="CA58" i="5"/>
  <c r="BZ58" i="5"/>
  <c r="BY58" i="5"/>
  <c r="BX58" i="5"/>
  <c r="BW58" i="5"/>
  <c r="BR58" i="5"/>
  <c r="BQ58" i="5"/>
  <c r="BP58" i="5"/>
  <c r="BO58" i="5"/>
  <c r="BJ58" i="5"/>
  <c r="BF58" i="5"/>
  <c r="BE58" i="5"/>
  <c r="BD58" i="5"/>
  <c r="CD2" i="5"/>
  <c r="BF2" i="5"/>
  <c r="CC2" i="5"/>
  <c r="BE2" i="5"/>
  <c r="CB2" i="5"/>
  <c r="BD2" i="5"/>
  <c r="BB2" i="5"/>
  <c r="CA2" i="5"/>
  <c r="BC2" i="5"/>
  <c r="BZ2" i="5"/>
  <c r="BY2" i="5"/>
  <c r="BA2" i="5"/>
  <c r="BX2" i="5"/>
  <c r="AZ2" i="5"/>
  <c r="BW2" i="5"/>
  <c r="AY2" i="5"/>
  <c r="BV2" i="5"/>
  <c r="AX2" i="5"/>
  <c r="BU2" i="5"/>
  <c r="AW2" i="5"/>
  <c r="BT2" i="5"/>
  <c r="AV2" i="5"/>
  <c r="BS2" i="5"/>
  <c r="AU2" i="5"/>
  <c r="BR2" i="5"/>
  <c r="AT2" i="5"/>
  <c r="BQ2" i="5"/>
  <c r="AS2" i="5"/>
  <c r="BG2" i="5"/>
  <c r="BP2" i="5"/>
  <c r="BO2" i="5"/>
  <c r="BN2" i="5"/>
  <c r="BM2" i="5"/>
  <c r="BL2" i="5"/>
  <c r="BK2" i="5"/>
  <c r="BJ2" i="5"/>
  <c r="BI2" i="5"/>
  <c r="BH2" i="5"/>
  <c r="CE2" i="5"/>
  <c r="BV52" i="5"/>
  <c r="AX52" i="5"/>
  <c r="BU52" i="5"/>
  <c r="AW52" i="5"/>
  <c r="BT52" i="5"/>
  <c r="AV52" i="5"/>
  <c r="BS52" i="5"/>
  <c r="AU52" i="5"/>
  <c r="BN52" i="5"/>
  <c r="BM52" i="5"/>
  <c r="BL52" i="5"/>
  <c r="BP52" i="5"/>
  <c r="BO52" i="5"/>
  <c r="BK52" i="5"/>
  <c r="BJ52" i="5"/>
  <c r="AT52" i="5"/>
  <c r="AS52" i="5"/>
  <c r="CE52" i="5"/>
  <c r="CD52" i="5"/>
  <c r="CC52" i="5"/>
  <c r="CB52" i="5"/>
  <c r="CA52" i="5"/>
  <c r="BZ52" i="5"/>
  <c r="BY52" i="5"/>
  <c r="BX52" i="5"/>
  <c r="BW52" i="5"/>
  <c r="BR52" i="5"/>
  <c r="BQ52" i="5"/>
  <c r="BI52" i="5"/>
  <c r="AY52" i="5"/>
  <c r="BH52" i="5"/>
  <c r="BG52" i="5"/>
  <c r="BF52" i="5"/>
  <c r="BE52" i="5"/>
  <c r="BD52" i="5"/>
  <c r="BC52" i="5"/>
  <c r="BB52" i="5"/>
  <c r="BA52" i="5"/>
  <c r="AZ52" i="5"/>
  <c r="BJ3" i="5"/>
  <c r="BI3" i="5"/>
  <c r="BF3" i="5"/>
  <c r="BH3" i="5"/>
  <c r="CD3" i="5"/>
  <c r="CE3" i="5"/>
  <c r="BG3" i="5"/>
  <c r="CC3" i="5"/>
  <c r="BE3" i="5"/>
  <c r="CB3" i="5"/>
  <c r="BD3" i="5"/>
  <c r="CA3" i="5"/>
  <c r="BC3" i="5"/>
  <c r="BZ3" i="5"/>
  <c r="BB3" i="5"/>
  <c r="BY3" i="5"/>
  <c r="BA3" i="5"/>
  <c r="BX3" i="5"/>
  <c r="AZ3" i="5"/>
  <c r="BW3" i="5"/>
  <c r="AY3" i="5"/>
  <c r="BK3" i="5"/>
  <c r="BV3" i="5"/>
  <c r="AX3" i="5"/>
  <c r="BU3" i="5"/>
  <c r="AW3" i="5"/>
  <c r="BT3" i="5"/>
  <c r="AV3" i="5"/>
  <c r="BS3" i="5"/>
  <c r="AU3" i="5"/>
  <c r="BR3" i="5"/>
  <c r="AT3" i="5"/>
  <c r="BQ3" i="5"/>
  <c r="AS3" i="5"/>
  <c r="BP3" i="5"/>
  <c r="BO3" i="5"/>
  <c r="BN3" i="5"/>
  <c r="BM3" i="5"/>
  <c r="BL3" i="5"/>
  <c r="BZ53" i="5"/>
  <c r="BB53" i="5"/>
  <c r="BY53" i="5"/>
  <c r="BA53" i="5"/>
  <c r="BX53" i="5"/>
  <c r="AZ53" i="5"/>
  <c r="BW53" i="5"/>
  <c r="AY53" i="5"/>
  <c r="CD53" i="5"/>
  <c r="AX53" i="5"/>
  <c r="CC53" i="5"/>
  <c r="AW53" i="5"/>
  <c r="CB53" i="5"/>
  <c r="AV53" i="5"/>
  <c r="BG53" i="5"/>
  <c r="BF53" i="5"/>
  <c r="BE53" i="5"/>
  <c r="BD53" i="5"/>
  <c r="CE53" i="5"/>
  <c r="CA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C53" i="5"/>
  <c r="AU53" i="5"/>
  <c r="AT53" i="5"/>
  <c r="AS53" i="5"/>
  <c r="BN4" i="5"/>
  <c r="BM4" i="5"/>
  <c r="BL4" i="5"/>
  <c r="BK4" i="5"/>
  <c r="BJ4" i="5"/>
  <c r="BI4" i="5"/>
  <c r="BH4" i="5"/>
  <c r="CE4" i="5"/>
  <c r="BG4" i="5"/>
  <c r="CD4" i="5"/>
  <c r="BF4" i="5"/>
  <c r="CC4" i="5"/>
  <c r="BE4" i="5"/>
  <c r="CB4" i="5"/>
  <c r="BD4" i="5"/>
  <c r="CA4" i="5"/>
  <c r="BC4" i="5"/>
  <c r="BZ4" i="5"/>
  <c r="BB4" i="5"/>
  <c r="BY4" i="5"/>
  <c r="BA4" i="5"/>
  <c r="BX4" i="5"/>
  <c r="AZ4" i="5"/>
  <c r="BW4" i="5"/>
  <c r="AY4" i="5"/>
  <c r="BV4" i="5"/>
  <c r="AX4" i="5"/>
  <c r="BU4" i="5"/>
  <c r="AW4" i="5"/>
  <c r="BT4" i="5"/>
  <c r="AV4" i="5"/>
  <c r="BS4" i="5"/>
  <c r="AU4" i="5"/>
  <c r="BR4" i="5"/>
  <c r="AT4" i="5"/>
  <c r="BQ4" i="5"/>
  <c r="AS4" i="5"/>
  <c r="BP4" i="5"/>
  <c r="BO4" i="5"/>
  <c r="BR5" i="5"/>
  <c r="AT5" i="5"/>
  <c r="BQ5" i="5"/>
  <c r="AS5" i="5"/>
  <c r="BN5" i="5"/>
  <c r="BP5" i="5"/>
  <c r="BO5" i="5"/>
  <c r="BM5" i="5"/>
  <c r="BL5" i="5"/>
  <c r="BK5" i="5"/>
  <c r="BJ5" i="5"/>
  <c r="BI5" i="5"/>
  <c r="BH5" i="5"/>
  <c r="CE5" i="5"/>
  <c r="BG5" i="5"/>
  <c r="CD5" i="5"/>
  <c r="BF5" i="5"/>
  <c r="CC5" i="5"/>
  <c r="BE5" i="5"/>
  <c r="CB5" i="5"/>
  <c r="BD5" i="5"/>
  <c r="CA5" i="5"/>
  <c r="BC5" i="5"/>
  <c r="BZ5" i="5"/>
  <c r="BB5" i="5"/>
  <c r="BY5" i="5"/>
  <c r="BA5" i="5"/>
  <c r="BX5" i="5"/>
  <c r="AZ5" i="5"/>
  <c r="BW5" i="5"/>
  <c r="AY5" i="5"/>
  <c r="BV5" i="5"/>
  <c r="AX5" i="5"/>
  <c r="BU5" i="5"/>
  <c r="AW5" i="5"/>
  <c r="BT5" i="5"/>
  <c r="AV5" i="5"/>
  <c r="BS5" i="5"/>
  <c r="AU5" i="5"/>
  <c r="BH16" i="5"/>
  <c r="CE16" i="5"/>
  <c r="BF16" i="5"/>
  <c r="CC16" i="5"/>
  <c r="BD16" i="5"/>
  <c r="BU16" i="5"/>
  <c r="AT16" i="5"/>
  <c r="BT16" i="5"/>
  <c r="AS16" i="5"/>
  <c r="BS16" i="5"/>
  <c r="BR16" i="5"/>
  <c r="BQ16" i="5"/>
  <c r="BP16" i="5"/>
  <c r="BO16" i="5"/>
  <c r="BN16" i="5"/>
  <c r="BM16" i="5"/>
  <c r="BL16" i="5"/>
  <c r="BK16" i="5"/>
  <c r="BJ16" i="5"/>
  <c r="BI16" i="5"/>
  <c r="BG16" i="5"/>
  <c r="BE16" i="5"/>
  <c r="BC16" i="5"/>
  <c r="CD16" i="5"/>
  <c r="BB16" i="5"/>
  <c r="CB16" i="5"/>
  <c r="BA16" i="5"/>
  <c r="CA16" i="5"/>
  <c r="AZ16" i="5"/>
  <c r="BZ16" i="5"/>
  <c r="AY16" i="5"/>
  <c r="BY16" i="5"/>
  <c r="AX16" i="5"/>
  <c r="BX16" i="5"/>
  <c r="AW16" i="5"/>
  <c r="BW16" i="5"/>
  <c r="AV16" i="5"/>
  <c r="BV16" i="5"/>
  <c r="AU16" i="5"/>
  <c r="BH6" i="5"/>
  <c r="BW6" i="5"/>
  <c r="AX6" i="5"/>
  <c r="BS6" i="5"/>
  <c r="BV6" i="5"/>
  <c r="AW6" i="5"/>
  <c r="BU6" i="5"/>
  <c r="AV6" i="5"/>
  <c r="AT6" i="5"/>
  <c r="BT6" i="5"/>
  <c r="AU6" i="5"/>
  <c r="BR6" i="5"/>
  <c r="AS6" i="5"/>
  <c r="BQ6" i="5"/>
  <c r="BP6" i="5"/>
  <c r="BO6" i="5"/>
  <c r="BN6" i="5"/>
  <c r="BM6" i="5"/>
  <c r="BL6" i="5"/>
  <c r="BK6" i="5"/>
  <c r="BJ6" i="5"/>
  <c r="BI6" i="5"/>
  <c r="BG6" i="5"/>
  <c r="CE6" i="5"/>
  <c r="BF6" i="5"/>
  <c r="CD6" i="5"/>
  <c r="BE6" i="5"/>
  <c r="CC6" i="5"/>
  <c r="BD6" i="5"/>
  <c r="CB6" i="5"/>
  <c r="BC6" i="5"/>
  <c r="CA6" i="5"/>
  <c r="BB6" i="5"/>
  <c r="BZ6" i="5"/>
  <c r="BA6" i="5"/>
  <c r="BY6" i="5"/>
  <c r="AZ6" i="5"/>
  <c r="BX6" i="5"/>
  <c r="AY6" i="5"/>
  <c r="BL17" i="5"/>
  <c r="BM17" i="5"/>
  <c r="BJ17" i="5"/>
  <c r="CE17" i="5"/>
  <c r="BD17" i="5"/>
  <c r="CD17" i="5"/>
  <c r="BC17" i="5"/>
  <c r="CC17" i="5"/>
  <c r="BB17" i="5"/>
  <c r="CB17" i="5"/>
  <c r="BA17" i="5"/>
  <c r="CA17" i="5"/>
  <c r="AZ17" i="5"/>
  <c r="BZ17" i="5"/>
  <c r="AY17" i="5"/>
  <c r="BY17" i="5"/>
  <c r="AX17" i="5"/>
  <c r="BX17" i="5"/>
  <c r="AW17" i="5"/>
  <c r="BW17" i="5"/>
  <c r="AV17" i="5"/>
  <c r="BV17" i="5"/>
  <c r="AU17" i="5"/>
  <c r="BU17" i="5"/>
  <c r="AT17" i="5"/>
  <c r="BT17" i="5"/>
  <c r="AS17" i="5"/>
  <c r="BS17" i="5"/>
  <c r="BR17" i="5"/>
  <c r="BQ17" i="5"/>
  <c r="BP17" i="5"/>
  <c r="BO17" i="5"/>
  <c r="BN17" i="5"/>
  <c r="BK17" i="5"/>
  <c r="BI17" i="5"/>
  <c r="BH17" i="5"/>
  <c r="BG17" i="5"/>
  <c r="BF17" i="5"/>
  <c r="BE17" i="5"/>
  <c r="CD60" i="5"/>
  <c r="BF60" i="5"/>
  <c r="CC60" i="5"/>
  <c r="BE60" i="5"/>
  <c r="CB60" i="5"/>
  <c r="BD60" i="5"/>
  <c r="CA60" i="5"/>
  <c r="BC60" i="5"/>
  <c r="BI60" i="5"/>
  <c r="BH60" i="5"/>
  <c r="BG60" i="5"/>
  <c r="BU60" i="5"/>
  <c r="BT60" i="5"/>
  <c r="BS60" i="5"/>
  <c r="BR60" i="5"/>
  <c r="BX60" i="5"/>
  <c r="BW60" i="5"/>
  <c r="BV60" i="5"/>
  <c r="BQ60" i="5"/>
  <c r="BP60" i="5"/>
  <c r="BO60" i="5"/>
  <c r="BN60" i="5"/>
  <c r="BM60" i="5"/>
  <c r="BL60" i="5"/>
  <c r="BK60" i="5"/>
  <c r="BJ60" i="5"/>
  <c r="BB60" i="5"/>
  <c r="BA60" i="5"/>
  <c r="AZ60" i="5"/>
  <c r="AY60" i="5"/>
  <c r="AX60" i="5"/>
  <c r="AW60" i="5"/>
  <c r="AV60" i="5"/>
  <c r="AU60" i="5"/>
  <c r="AT60" i="5"/>
  <c r="AS60" i="5"/>
  <c r="CE60" i="5"/>
  <c r="BZ60" i="5"/>
  <c r="BY60" i="5"/>
  <c r="BL7" i="5"/>
  <c r="CC7" i="5"/>
  <c r="BD7" i="5"/>
  <c r="BY7" i="5"/>
  <c r="CB7" i="5"/>
  <c r="BC7" i="5"/>
  <c r="CA7" i="5"/>
  <c r="BB7" i="5"/>
  <c r="BZ7" i="5"/>
  <c r="BA7" i="5"/>
  <c r="AZ7" i="5"/>
  <c r="BX7" i="5"/>
  <c r="AY7" i="5"/>
  <c r="BW7" i="5"/>
  <c r="AX7" i="5"/>
  <c r="BV7" i="5"/>
  <c r="AW7" i="5"/>
  <c r="BU7" i="5"/>
  <c r="AV7" i="5"/>
  <c r="BT7" i="5"/>
  <c r="AU7" i="5"/>
  <c r="BS7" i="5"/>
  <c r="AT7" i="5"/>
  <c r="BR7" i="5"/>
  <c r="AS7" i="5"/>
  <c r="BQ7" i="5"/>
  <c r="BP7" i="5"/>
  <c r="BO7" i="5"/>
  <c r="BN7" i="5"/>
  <c r="BM7" i="5"/>
  <c r="BK7" i="5"/>
  <c r="BJ7" i="5"/>
  <c r="BI7" i="5"/>
  <c r="BH7" i="5"/>
  <c r="BG7" i="5"/>
  <c r="CE7" i="5"/>
  <c r="BF7" i="5"/>
  <c r="CD7" i="5"/>
  <c r="BE7" i="5"/>
  <c r="BJ55" i="5"/>
  <c r="BI55" i="5"/>
  <c r="BH55" i="5"/>
  <c r="CE55" i="5"/>
  <c r="BG55" i="5"/>
  <c r="BZ55" i="5"/>
  <c r="AX55" i="5"/>
  <c r="BY55" i="5"/>
  <c r="AW55" i="5"/>
  <c r="BX55" i="5"/>
  <c r="AV55" i="5"/>
  <c r="BP55" i="5"/>
  <c r="BO55" i="5"/>
  <c r="BN55" i="5"/>
  <c r="BM55" i="5"/>
  <c r="BT55" i="5"/>
  <c r="BS55" i="5"/>
  <c r="BR55" i="5"/>
  <c r="BQ55" i="5"/>
  <c r="BL55" i="5"/>
  <c r="BK55" i="5"/>
  <c r="BF55" i="5"/>
  <c r="BE55" i="5"/>
  <c r="BD55" i="5"/>
  <c r="BC55" i="5"/>
  <c r="BB55" i="5"/>
  <c r="BA55" i="5"/>
  <c r="AZ55" i="5"/>
  <c r="AY55" i="5"/>
  <c r="AU55" i="5"/>
  <c r="AT55" i="5"/>
  <c r="AS55" i="5"/>
  <c r="CD55" i="5"/>
  <c r="CC55" i="5"/>
  <c r="CB55" i="5"/>
  <c r="CA55" i="5"/>
  <c r="BW55" i="5"/>
  <c r="BV55" i="5"/>
  <c r="BU55" i="5"/>
  <c r="BN38" i="5"/>
  <c r="BM38" i="5"/>
  <c r="BL38" i="5"/>
  <c r="BK38" i="5"/>
  <c r="CC38" i="5"/>
  <c r="BA38" i="5"/>
  <c r="CB38" i="5"/>
  <c r="AZ38" i="5"/>
  <c r="CA38" i="5"/>
  <c r="AY38" i="5"/>
  <c r="BP38" i="5"/>
  <c r="BO38" i="5"/>
  <c r="BJ38" i="5"/>
  <c r="BI38" i="5"/>
  <c r="CD38" i="5"/>
  <c r="BZ38" i="5"/>
  <c r="BY38" i="5"/>
  <c r="BX38" i="5"/>
  <c r="BW38" i="5"/>
  <c r="BV38" i="5"/>
  <c r="BU38" i="5"/>
  <c r="AS38" i="5"/>
  <c r="BT38" i="5"/>
  <c r="CE38" i="5"/>
  <c r="BS38" i="5"/>
  <c r="BR38" i="5"/>
  <c r="BQ38" i="5"/>
  <c r="BH38" i="5"/>
  <c r="BG38" i="5"/>
  <c r="BF38" i="5"/>
  <c r="BE38" i="5"/>
  <c r="BD38" i="5"/>
  <c r="BC38" i="5"/>
  <c r="BB38" i="5"/>
  <c r="AX38" i="5"/>
  <c r="AW38" i="5"/>
  <c r="AV38" i="5"/>
  <c r="AU38" i="5"/>
  <c r="AT38" i="5"/>
  <c r="BJ49" i="5"/>
  <c r="BI49" i="5"/>
  <c r="BH49" i="5"/>
  <c r="CE49" i="5"/>
  <c r="BG49" i="5"/>
  <c r="BC49" i="5"/>
  <c r="CD49" i="5"/>
  <c r="BB49" i="5"/>
  <c r="CC49" i="5"/>
  <c r="BA49" i="5"/>
  <c r="BS49" i="5"/>
  <c r="BR49" i="5"/>
  <c r="BQ49" i="5"/>
  <c r="BP49" i="5"/>
  <c r="BM49" i="5"/>
  <c r="BL49" i="5"/>
  <c r="BK49" i="5"/>
  <c r="BF49" i="5"/>
  <c r="BE49" i="5"/>
  <c r="BD49" i="5"/>
  <c r="AZ49" i="5"/>
  <c r="AY49" i="5"/>
  <c r="AX49" i="5"/>
  <c r="AW49" i="5"/>
  <c r="AV49" i="5"/>
  <c r="BN49" i="5"/>
  <c r="AU49" i="5"/>
  <c r="AT49" i="5"/>
  <c r="CB49" i="5"/>
  <c r="AS49" i="5"/>
  <c r="CA49" i="5"/>
  <c r="BZ49" i="5"/>
  <c r="BY49" i="5"/>
  <c r="BX49" i="5"/>
  <c r="BW49" i="5"/>
  <c r="BV49" i="5"/>
  <c r="BU49" i="5"/>
  <c r="BT49" i="5"/>
  <c r="BO49" i="5"/>
  <c r="BN56" i="5"/>
  <c r="BM56" i="5"/>
  <c r="BL56" i="5"/>
  <c r="BK56" i="5"/>
  <c r="BJ56" i="5"/>
  <c r="BI56" i="5"/>
  <c r="BH56" i="5"/>
  <c r="BC56" i="5"/>
  <c r="BB56" i="5"/>
  <c r="BA56" i="5"/>
  <c r="CE56" i="5"/>
  <c r="AZ56" i="5"/>
  <c r="BR56" i="5"/>
  <c r="BQ56" i="5"/>
  <c r="BP56" i="5"/>
  <c r="BO56" i="5"/>
  <c r="BG56" i="5"/>
  <c r="BF56" i="5"/>
  <c r="BE56" i="5"/>
  <c r="BD56" i="5"/>
  <c r="AY56" i="5"/>
  <c r="AX56" i="5"/>
  <c r="AW56" i="5"/>
  <c r="AV56" i="5"/>
  <c r="CD56" i="5"/>
  <c r="AU56" i="5"/>
  <c r="CC56" i="5"/>
  <c r="AT56" i="5"/>
  <c r="CB56" i="5"/>
  <c r="AS56" i="5"/>
  <c r="CA56" i="5"/>
  <c r="BZ56" i="5"/>
  <c r="BY56" i="5"/>
  <c r="BX56" i="5"/>
  <c r="BW56" i="5"/>
  <c r="BV56" i="5"/>
  <c r="BU56" i="5"/>
  <c r="BT56" i="5"/>
  <c r="BS56" i="5"/>
  <c r="CD24" i="5"/>
  <c r="BF24" i="5"/>
  <c r="CC24" i="5"/>
  <c r="BE24" i="5"/>
  <c r="CB24" i="5"/>
  <c r="BD24" i="5"/>
  <c r="BH24" i="5"/>
  <c r="BC24" i="5"/>
  <c r="BB24" i="5"/>
  <c r="BA24" i="5"/>
  <c r="AZ24" i="5"/>
  <c r="BZ24" i="5"/>
  <c r="AT24" i="5"/>
  <c r="BY24" i="5"/>
  <c r="AS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G24" i="5"/>
  <c r="AY24" i="5"/>
  <c r="AX24" i="5"/>
  <c r="AW24" i="5"/>
  <c r="CE24" i="5"/>
  <c r="AV24" i="5"/>
  <c r="CA24" i="5"/>
  <c r="AU24" i="5"/>
  <c r="BX10" i="5"/>
  <c r="AZ10" i="5"/>
  <c r="BV10" i="5"/>
  <c r="AW10" i="5"/>
  <c r="BU10" i="5"/>
  <c r="AV10" i="5"/>
  <c r="BR10" i="5"/>
  <c r="BT10" i="5"/>
  <c r="AU10" i="5"/>
  <c r="BS10" i="5"/>
  <c r="AT10" i="5"/>
  <c r="AS10" i="5"/>
  <c r="BW10" i="5"/>
  <c r="BQ10" i="5"/>
  <c r="BP10" i="5"/>
  <c r="BO10" i="5"/>
  <c r="BN10" i="5"/>
  <c r="BM10" i="5"/>
  <c r="BL10" i="5"/>
  <c r="BK10" i="5"/>
  <c r="BJ10" i="5"/>
  <c r="BI10" i="5"/>
  <c r="BH10" i="5"/>
  <c r="BG10" i="5"/>
  <c r="CE10" i="5"/>
  <c r="BF10" i="5"/>
  <c r="CD10" i="5"/>
  <c r="BE10" i="5"/>
  <c r="CC10" i="5"/>
  <c r="BD10" i="5"/>
  <c r="CB10" i="5"/>
  <c r="BC10" i="5"/>
  <c r="CA10" i="5"/>
  <c r="BB10" i="5"/>
  <c r="BZ10" i="5"/>
  <c r="BA10" i="5"/>
  <c r="BY10" i="5"/>
  <c r="AY10" i="5"/>
  <c r="AX10" i="5"/>
  <c r="BZ29" i="5"/>
  <c r="BB29" i="5"/>
  <c r="BY29" i="5"/>
  <c r="BA29" i="5"/>
  <c r="BX29" i="5"/>
  <c r="AZ29" i="5"/>
  <c r="BG29" i="5"/>
  <c r="BF29" i="5"/>
  <c r="BE29" i="5"/>
  <c r="AY29" i="5"/>
  <c r="CE29" i="5"/>
  <c r="AX29" i="5"/>
  <c r="CD29" i="5"/>
  <c r="AW29" i="5"/>
  <c r="CC29" i="5"/>
  <c r="AV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D29" i="5"/>
  <c r="BC29" i="5"/>
  <c r="AU29" i="5"/>
  <c r="AT29" i="5"/>
  <c r="AS29" i="5"/>
  <c r="CB29" i="5"/>
  <c r="CA29" i="5"/>
  <c r="BW29" i="5"/>
  <c r="BV29" i="5"/>
  <c r="BU29" i="5"/>
  <c r="CB11" i="5"/>
  <c r="BD11" i="5"/>
  <c r="CC11" i="5"/>
  <c r="BC11" i="5"/>
  <c r="BX11" i="5"/>
  <c r="CD11" i="5"/>
  <c r="CA11" i="5"/>
  <c r="BB11" i="5"/>
  <c r="BE11" i="5"/>
  <c r="BZ11" i="5"/>
  <c r="BA11" i="5"/>
  <c r="AY11" i="5"/>
  <c r="BY11" i="5"/>
  <c r="AZ11" i="5"/>
  <c r="BW11" i="5"/>
  <c r="AX11" i="5"/>
  <c r="BV11" i="5"/>
  <c r="AW11" i="5"/>
  <c r="BU11" i="5"/>
  <c r="AV11" i="5"/>
  <c r="BT11" i="5"/>
  <c r="AU11" i="5"/>
  <c r="BS11" i="5"/>
  <c r="AT11" i="5"/>
  <c r="BR11" i="5"/>
  <c r="AS11" i="5"/>
  <c r="BQ11" i="5"/>
  <c r="BP11" i="5"/>
  <c r="BO11" i="5"/>
  <c r="BN11" i="5"/>
  <c r="BM11" i="5"/>
  <c r="BL11" i="5"/>
  <c r="BK11" i="5"/>
  <c r="BJ11" i="5"/>
  <c r="BI11" i="5"/>
  <c r="BH11" i="5"/>
  <c r="BG11" i="5"/>
  <c r="CE11" i="5"/>
  <c r="BF11" i="5"/>
  <c r="BV64" i="5"/>
  <c r="AX64" i="5"/>
  <c r="BU64" i="5"/>
  <c r="AW64" i="5"/>
  <c r="BT64" i="5"/>
  <c r="AV64" i="5"/>
  <c r="BS64" i="5"/>
  <c r="AU64" i="5"/>
  <c r="BL64" i="5"/>
  <c r="BE64" i="5"/>
  <c r="BD64" i="5"/>
  <c r="BC64" i="5"/>
  <c r="BI64" i="5"/>
  <c r="BH64" i="5"/>
  <c r="BG64" i="5"/>
  <c r="BF64" i="5"/>
  <c r="BA64" i="5"/>
  <c r="AZ64" i="5"/>
  <c r="AY64" i="5"/>
  <c r="AT64" i="5"/>
  <c r="AS64" i="5"/>
  <c r="CE64" i="5"/>
  <c r="CD64" i="5"/>
  <c r="CC64" i="5"/>
  <c r="CB64" i="5"/>
  <c r="CA64" i="5"/>
  <c r="BZ64" i="5"/>
  <c r="BY64" i="5"/>
  <c r="BX64" i="5"/>
  <c r="BW64" i="5"/>
  <c r="BR64" i="5"/>
  <c r="BQ64" i="5"/>
  <c r="BP64" i="5"/>
  <c r="BO64" i="5"/>
  <c r="BN64" i="5"/>
  <c r="BM64" i="5"/>
  <c r="BK64" i="5"/>
  <c r="BJ64" i="5"/>
  <c r="BB64" i="5"/>
  <c r="BH12" i="5"/>
  <c r="BJ12" i="5"/>
  <c r="BI12" i="5"/>
  <c r="CD12" i="5"/>
  <c r="BE12" i="5"/>
  <c r="BG12" i="5"/>
  <c r="BK12" i="5"/>
  <c r="CE12" i="5"/>
  <c r="BF12" i="5"/>
  <c r="CC12" i="5"/>
  <c r="BD12" i="5"/>
  <c r="CB12" i="5"/>
  <c r="BC12" i="5"/>
  <c r="CA12" i="5"/>
  <c r="BB12" i="5"/>
  <c r="BZ12" i="5"/>
  <c r="BA12" i="5"/>
  <c r="BY12" i="5"/>
  <c r="AZ12" i="5"/>
  <c r="BX12" i="5"/>
  <c r="AY12" i="5"/>
  <c r="BW12" i="5"/>
  <c r="AX12" i="5"/>
  <c r="BV12" i="5"/>
  <c r="AW12" i="5"/>
  <c r="BU12" i="5"/>
  <c r="AV12" i="5"/>
  <c r="BT12" i="5"/>
  <c r="AU12" i="5"/>
  <c r="BS12" i="5"/>
  <c r="AT12" i="5"/>
  <c r="BR12" i="5"/>
  <c r="AS12" i="5"/>
  <c r="BQ12" i="5"/>
  <c r="BP12" i="5"/>
  <c r="BO12" i="5"/>
  <c r="BN12" i="5"/>
  <c r="BM12" i="5"/>
  <c r="BL12" i="5"/>
  <c r="BV19" i="5"/>
  <c r="AX19" i="5"/>
  <c r="BT19" i="5"/>
  <c r="AV19" i="5"/>
  <c r="CC19" i="5"/>
  <c r="BC19" i="5"/>
  <c r="CA19" i="5"/>
  <c r="BA19" i="5"/>
  <c r="CD19" i="5"/>
  <c r="AZ19" i="5"/>
  <c r="CB19" i="5"/>
  <c r="AY19" i="5"/>
  <c r="BZ19" i="5"/>
  <c r="AW19" i="5"/>
  <c r="BY19" i="5"/>
  <c r="AU19" i="5"/>
  <c r="BX19" i="5"/>
  <c r="AT19" i="5"/>
  <c r="BW19" i="5"/>
  <c r="AS19" i="5"/>
  <c r="BU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CE19" i="5"/>
  <c r="BB19" i="5"/>
  <c r="BZ20" i="5"/>
  <c r="BB20" i="5"/>
  <c r="BX20" i="5"/>
  <c r="AZ20" i="5"/>
  <c r="BK20" i="5"/>
  <c r="BI20" i="5"/>
  <c r="BN20" i="5"/>
  <c r="BM20" i="5"/>
  <c r="BL20" i="5"/>
  <c r="BJ20" i="5"/>
  <c r="BH20" i="5"/>
  <c r="BG20" i="5"/>
  <c r="BF20" i="5"/>
  <c r="BE20" i="5"/>
  <c r="BD20" i="5"/>
  <c r="CE20" i="5"/>
  <c r="BC20" i="5"/>
  <c r="CD20" i="5"/>
  <c r="BA20" i="5"/>
  <c r="CC20" i="5"/>
  <c r="AY20" i="5"/>
  <c r="CB20" i="5"/>
  <c r="AX20" i="5"/>
  <c r="CA20" i="5"/>
  <c r="AW20" i="5"/>
  <c r="BY20" i="5"/>
  <c r="AV20" i="5"/>
  <c r="BW20" i="5"/>
  <c r="AU20" i="5"/>
  <c r="BV20" i="5"/>
  <c r="AT20" i="5"/>
  <c r="BU20" i="5"/>
  <c r="AS20" i="5"/>
  <c r="BT20" i="5"/>
  <c r="BS20" i="5"/>
  <c r="BR20" i="5"/>
  <c r="BQ20" i="5"/>
  <c r="BP20" i="5"/>
  <c r="BO20" i="5"/>
  <c r="BN32" i="5"/>
  <c r="BM32" i="5"/>
  <c r="BL32" i="5"/>
  <c r="BJ32" i="5"/>
  <c r="BI32" i="5"/>
  <c r="BH32" i="5"/>
  <c r="BZ32" i="5"/>
  <c r="AV32" i="5"/>
  <c r="BY32" i="5"/>
  <c r="AU32" i="5"/>
  <c r="BX32" i="5"/>
  <c r="AT32" i="5"/>
  <c r="BW32" i="5"/>
  <c r="AS32" i="5"/>
  <c r="BB32" i="5"/>
  <c r="BA32" i="5"/>
  <c r="AZ32" i="5"/>
  <c r="AY32" i="5"/>
  <c r="AX32" i="5"/>
  <c r="CE32" i="5"/>
  <c r="AW32" i="5"/>
  <c r="CD32" i="5"/>
  <c r="CC32" i="5"/>
  <c r="CB32" i="5"/>
  <c r="CA32" i="5"/>
  <c r="BV32" i="5"/>
  <c r="BU32" i="5"/>
  <c r="BT32" i="5"/>
  <c r="BS32" i="5"/>
  <c r="BR32" i="5"/>
  <c r="BQ32" i="5"/>
  <c r="BP32" i="5"/>
  <c r="BO32" i="5"/>
  <c r="BK32" i="5"/>
  <c r="BG32" i="5"/>
  <c r="BF32" i="5"/>
  <c r="BE32" i="5"/>
  <c r="BD32" i="5"/>
  <c r="BC32" i="5"/>
  <c r="BT9" i="5"/>
  <c r="AV9" i="5"/>
  <c r="BQ9" i="5"/>
  <c r="BT13" i="5"/>
  <c r="AV13" i="5"/>
  <c r="BM13" i="5"/>
  <c r="BR13" i="5"/>
  <c r="BV28" i="5"/>
  <c r="AX28" i="5"/>
  <c r="BU28" i="5"/>
  <c r="AW28" i="5"/>
  <c r="BT28" i="5"/>
  <c r="AV28" i="5"/>
  <c r="BX28" i="5"/>
  <c r="AT28" i="5"/>
  <c r="BW28" i="5"/>
  <c r="AS28" i="5"/>
  <c r="BS28" i="5"/>
  <c r="BM28" i="5"/>
  <c r="BL28" i="5"/>
  <c r="BK28" i="5"/>
  <c r="BJ28" i="5"/>
  <c r="CE28" i="5"/>
  <c r="AS9" i="5"/>
  <c r="BR9" i="5"/>
  <c r="AS13" i="5"/>
  <c r="BS13" i="5"/>
  <c r="AU28" i="5"/>
  <c r="AS46" i="5"/>
  <c r="CE46" i="5"/>
  <c r="BM8" i="5"/>
  <c r="AT9" i="5"/>
  <c r="BS9" i="5"/>
  <c r="AT13" i="5"/>
  <c r="BU13" i="5"/>
  <c r="AY28" i="5"/>
  <c r="BV46" i="5"/>
  <c r="AX46" i="5"/>
  <c r="BU46" i="5"/>
  <c r="AW46" i="5"/>
  <c r="BT46" i="5"/>
  <c r="AV46" i="5"/>
  <c r="BS46" i="5"/>
  <c r="AU46" i="5"/>
  <c r="BW46" i="5"/>
  <c r="BR46" i="5"/>
  <c r="BQ46" i="5"/>
  <c r="BX46" i="5"/>
  <c r="BP46" i="5"/>
  <c r="BO46" i="5"/>
  <c r="BN46" i="5"/>
  <c r="BN8" i="5"/>
  <c r="AU9" i="5"/>
  <c r="BU9" i="5"/>
  <c r="AU13" i="5"/>
  <c r="BV13" i="5"/>
  <c r="AZ28" i="5"/>
  <c r="AY46" i="5"/>
  <c r="CD54" i="5"/>
  <c r="BF54" i="5"/>
  <c r="CC54" i="5"/>
  <c r="BE54" i="5"/>
  <c r="CB54" i="5"/>
  <c r="BD54" i="5"/>
  <c r="CA54" i="5"/>
  <c r="BC54" i="5"/>
  <c r="BN54" i="5"/>
  <c r="BM54" i="5"/>
  <c r="BL54" i="5"/>
  <c r="BY54" i="5"/>
  <c r="AT54" i="5"/>
  <c r="BX54" i="5"/>
  <c r="AS54" i="5"/>
  <c r="BW54" i="5"/>
  <c r="BV54" i="5"/>
  <c r="BO8" i="5"/>
  <c r="AW9" i="5"/>
  <c r="BV9" i="5"/>
  <c r="AW13" i="5"/>
  <c r="BW13" i="5"/>
  <c r="BA28" i="5"/>
  <c r="BR39" i="5"/>
  <c r="AT39" i="5"/>
  <c r="BQ39" i="5"/>
  <c r="AS39" i="5"/>
  <c r="BP39" i="5"/>
  <c r="BO39" i="5"/>
  <c r="BL39" i="5"/>
  <c r="BK39" i="5"/>
  <c r="BJ39" i="5"/>
  <c r="BB39" i="5"/>
  <c r="BA39" i="5"/>
  <c r="CE39" i="5"/>
  <c r="AZ39" i="5"/>
  <c r="CD39" i="5"/>
  <c r="AY39" i="5"/>
  <c r="CC39" i="5"/>
  <c r="AZ46" i="5"/>
  <c r="BQ8" i="5"/>
  <c r="AX9" i="5"/>
  <c r="BW9" i="5"/>
  <c r="AX13" i="5"/>
  <c r="BX13" i="5"/>
  <c r="BB28" i="5"/>
  <c r="AU39" i="5"/>
  <c r="BA46" i="5"/>
  <c r="AV54" i="5"/>
  <c r="AS8" i="5"/>
  <c r="BR8" i="5"/>
  <c r="AY9" i="5"/>
  <c r="BX9" i="5"/>
  <c r="AY13" i="5"/>
  <c r="BY13" i="5"/>
  <c r="BC28" i="5"/>
  <c r="CD30" i="5"/>
  <c r="BF30" i="5"/>
  <c r="CC30" i="5"/>
  <c r="BE30" i="5"/>
  <c r="CB30" i="5"/>
  <c r="BD30" i="5"/>
  <c r="BQ30" i="5"/>
  <c r="BP30" i="5"/>
  <c r="BO30" i="5"/>
  <c r="BU30" i="5"/>
  <c r="BT30" i="5"/>
  <c r="BS30" i="5"/>
  <c r="BR30" i="5"/>
  <c r="BZ30" i="5"/>
  <c r="AV39" i="5"/>
  <c r="BB46" i="5"/>
  <c r="AW54" i="5"/>
  <c r="AT8" i="5"/>
  <c r="BS8" i="5"/>
  <c r="AZ9" i="5"/>
  <c r="BY9" i="5"/>
  <c r="AZ13" i="5"/>
  <c r="BZ13" i="5"/>
  <c r="CB15" i="5"/>
  <c r="BD15" i="5"/>
  <c r="BY15" i="5"/>
  <c r="AZ15" i="5"/>
  <c r="BW15" i="5"/>
  <c r="AX15" i="5"/>
  <c r="BS15" i="5"/>
  <c r="BV22" i="5"/>
  <c r="AX22" i="5"/>
  <c r="BU22" i="5"/>
  <c r="AW22" i="5"/>
  <c r="BT22" i="5"/>
  <c r="BL22" i="5"/>
  <c r="BJ22" i="5"/>
  <c r="BC22" i="5"/>
  <c r="CE22" i="5"/>
  <c r="BB22" i="5"/>
  <c r="CD22" i="5"/>
  <c r="BA22" i="5"/>
  <c r="BZ22" i="5"/>
  <c r="BD28" i="5"/>
  <c r="AW39" i="5"/>
  <c r="BV40" i="5"/>
  <c r="AX40" i="5"/>
  <c r="BU40" i="5"/>
  <c r="AW40" i="5"/>
  <c r="BT40" i="5"/>
  <c r="AV40" i="5"/>
  <c r="BS40" i="5"/>
  <c r="AU40" i="5"/>
  <c r="CB40" i="5"/>
  <c r="AZ40" i="5"/>
  <c r="CA40" i="5"/>
  <c r="AY40" i="5"/>
  <c r="BZ40" i="5"/>
  <c r="AT40" i="5"/>
  <c r="BX40" i="5"/>
  <c r="BW40" i="5"/>
  <c r="BR40" i="5"/>
  <c r="BQ40" i="5"/>
  <c r="BC46" i="5"/>
  <c r="AX54" i="5"/>
  <c r="AU8" i="5"/>
  <c r="BT8" i="5"/>
  <c r="BA9" i="5"/>
  <c r="BZ9" i="5"/>
  <c r="BA13" i="5"/>
  <c r="CA13" i="5"/>
  <c r="BE28" i="5"/>
  <c r="AX39" i="5"/>
  <c r="AS40" i="5"/>
  <c r="BD46" i="5"/>
  <c r="CD48" i="5"/>
  <c r="BF48" i="5"/>
  <c r="CC48" i="5"/>
  <c r="BE48" i="5"/>
  <c r="CB48" i="5"/>
  <c r="BD48" i="5"/>
  <c r="CA48" i="5"/>
  <c r="BC48" i="5"/>
  <c r="BS48" i="5"/>
  <c r="BR48" i="5"/>
  <c r="BQ48" i="5"/>
  <c r="AW48" i="5"/>
  <c r="CE48" i="5"/>
  <c r="AV48" i="5"/>
  <c r="BZ48" i="5"/>
  <c r="AU48" i="5"/>
  <c r="BY48" i="5"/>
  <c r="AT48" i="5"/>
  <c r="AY54" i="5"/>
  <c r="AV8" i="5"/>
  <c r="BU8" i="5"/>
  <c r="BB9" i="5"/>
  <c r="CA9" i="5"/>
  <c r="BB13" i="5"/>
  <c r="CB13" i="5"/>
  <c r="AT15" i="5"/>
  <c r="BU15" i="5"/>
  <c r="AT22" i="5"/>
  <c r="CB22" i="5"/>
  <c r="BS23" i="5"/>
  <c r="BF28" i="5"/>
  <c r="AU30" i="5"/>
  <c r="BV35" i="5"/>
  <c r="BC39" i="5"/>
  <c r="BA40" i="5"/>
  <c r="BY42" i="5"/>
  <c r="BE46" i="5"/>
  <c r="AS48" i="5"/>
  <c r="AZ54" i="5"/>
  <c r="AW8" i="5"/>
  <c r="BV8" i="5"/>
  <c r="BC9" i="5"/>
  <c r="CB9" i="5"/>
  <c r="BC13" i="5"/>
  <c r="CC13" i="5"/>
  <c r="AU15" i="5"/>
  <c r="BV15" i="5"/>
  <c r="AU22" i="5"/>
  <c r="CC22" i="5"/>
  <c r="BU23" i="5"/>
  <c r="BV26" i="5"/>
  <c r="BG28" i="5"/>
  <c r="AV30" i="5"/>
  <c r="BW31" i="5"/>
  <c r="CA35" i="5"/>
  <c r="BD39" i="5"/>
  <c r="BB40" i="5"/>
  <c r="BZ42" i="5"/>
  <c r="BX43" i="5"/>
  <c r="BF46" i="5"/>
  <c r="AX48" i="5"/>
  <c r="BA54" i="5"/>
  <c r="AX8" i="5"/>
  <c r="BW8" i="5"/>
  <c r="BD9" i="5"/>
  <c r="CC9" i="5"/>
  <c r="BD13" i="5"/>
  <c r="CD13" i="5"/>
  <c r="AV15" i="5"/>
  <c r="BX15" i="5"/>
  <c r="AV22" i="5"/>
  <c r="BW23" i="5"/>
  <c r="BW26" i="5"/>
  <c r="BH28" i="5"/>
  <c r="AW30" i="5"/>
  <c r="BX31" i="5"/>
  <c r="CB35" i="5"/>
  <c r="BE39" i="5"/>
  <c r="BC40" i="5"/>
  <c r="BY43" i="5"/>
  <c r="BG46" i="5"/>
  <c r="AY48" i="5"/>
  <c r="BB54" i="5"/>
  <c r="CC62" i="5"/>
  <c r="BJ69" i="5"/>
  <c r="BI69" i="5"/>
  <c r="BH69" i="5"/>
  <c r="CE69" i="5"/>
  <c r="BG69" i="5"/>
  <c r="CC69" i="5"/>
  <c r="CB69" i="5"/>
  <c r="CA69" i="5"/>
  <c r="BY69" i="5"/>
  <c r="BX69" i="5"/>
  <c r="AZ69" i="5"/>
  <c r="BW69" i="5"/>
  <c r="BV69" i="5"/>
  <c r="CD69" i="5"/>
  <c r="AT69" i="5"/>
  <c r="BZ69" i="5"/>
  <c r="AS69" i="5"/>
  <c r="CG69" i="5" s="1"/>
  <c r="CH69" i="5" s="1"/>
  <c r="BU69" i="5"/>
  <c r="BT69" i="5"/>
  <c r="BS69" i="5"/>
  <c r="BR69" i="5"/>
  <c r="BQ69" i="5"/>
  <c r="BP69" i="5"/>
  <c r="BO69" i="5"/>
  <c r="BM69" i="5"/>
  <c r="BL69" i="5"/>
  <c r="BK69" i="5"/>
  <c r="AY8" i="5"/>
  <c r="BX8" i="5"/>
  <c r="BE9" i="5"/>
  <c r="CD9" i="5"/>
  <c r="BE13" i="5"/>
  <c r="CE13" i="5"/>
  <c r="AW15" i="5"/>
  <c r="BZ15" i="5"/>
  <c r="AY22" i="5"/>
  <c r="CA23" i="5"/>
  <c r="BI28" i="5"/>
  <c r="AX30" i="5"/>
  <c r="CC35" i="5"/>
  <c r="BF39" i="5"/>
  <c r="BD40" i="5"/>
  <c r="BH46" i="5"/>
  <c r="AZ48" i="5"/>
  <c r="BN50" i="5"/>
  <c r="BM50" i="5"/>
  <c r="BL50" i="5"/>
  <c r="BK50" i="5"/>
  <c r="BS50" i="5"/>
  <c r="BR50" i="5"/>
  <c r="BQ50" i="5"/>
  <c r="BE50" i="5"/>
  <c r="BD50" i="5"/>
  <c r="BC50" i="5"/>
  <c r="BB50" i="5"/>
  <c r="CA50" i="5"/>
  <c r="BG54" i="5"/>
  <c r="BR57" i="5"/>
  <c r="AT57" i="5"/>
  <c r="BQ57" i="5"/>
  <c r="AS57" i="5"/>
  <c r="BP57" i="5"/>
  <c r="BO57" i="5"/>
  <c r="BY57" i="5"/>
  <c r="AW57" i="5"/>
  <c r="BX57" i="5"/>
  <c r="AV57" i="5"/>
  <c r="BW57" i="5"/>
  <c r="AU57" i="5"/>
  <c r="CA57" i="5"/>
  <c r="BZ57" i="5"/>
  <c r="BV57" i="5"/>
  <c r="BU57" i="5"/>
  <c r="CB63" i="5"/>
  <c r="AU69" i="5"/>
  <c r="AZ8" i="5"/>
  <c r="BY8" i="5"/>
  <c r="BF9" i="5"/>
  <c r="CE9" i="5"/>
  <c r="BF13" i="5"/>
  <c r="AY15" i="5"/>
  <c r="CA15" i="5"/>
  <c r="AZ22" i="5"/>
  <c r="BN26" i="5"/>
  <c r="BM26" i="5"/>
  <c r="BL26" i="5"/>
  <c r="CB26" i="5"/>
  <c r="BA26" i="5"/>
  <c r="CA26" i="5"/>
  <c r="AZ26" i="5"/>
  <c r="BZ26" i="5"/>
  <c r="AY26" i="5"/>
  <c r="BH26" i="5"/>
  <c r="BG26" i="5"/>
  <c r="BF26" i="5"/>
  <c r="BY26" i="5"/>
  <c r="BN28" i="5"/>
  <c r="AY30" i="5"/>
  <c r="BJ31" i="5"/>
  <c r="BI31" i="5"/>
  <c r="BH31" i="5"/>
  <c r="CA31" i="5"/>
  <c r="AZ31" i="5"/>
  <c r="BZ31" i="5"/>
  <c r="AY31" i="5"/>
  <c r="BY31" i="5"/>
  <c r="AX31" i="5"/>
  <c r="BG31" i="5"/>
  <c r="BF31" i="5"/>
  <c r="BE31" i="5"/>
  <c r="BD31" i="5"/>
  <c r="CC31" i="5"/>
  <c r="BG39" i="5"/>
  <c r="BE40" i="5"/>
  <c r="BJ43" i="5"/>
  <c r="BI43" i="5"/>
  <c r="BH43" i="5"/>
  <c r="CE43" i="5"/>
  <c r="BG43" i="5"/>
  <c r="BL43" i="5"/>
  <c r="BK43" i="5"/>
  <c r="BF43" i="5"/>
  <c r="BW43" i="5"/>
  <c r="BV43" i="5"/>
  <c r="BU43" i="5"/>
  <c r="BT43" i="5"/>
  <c r="CA43" i="5"/>
  <c r="BI46" i="5"/>
  <c r="BA48" i="5"/>
  <c r="BH54" i="5"/>
  <c r="AV69" i="5"/>
  <c r="BA8" i="5"/>
  <c r="BZ8" i="5"/>
  <c r="BG9" i="5"/>
  <c r="BG13" i="5"/>
  <c r="BA15" i="5"/>
  <c r="CC15" i="5"/>
  <c r="BD22" i="5"/>
  <c r="BZ23" i="5"/>
  <c r="BB23" i="5"/>
  <c r="BY23" i="5"/>
  <c r="BA23" i="5"/>
  <c r="BX23" i="5"/>
  <c r="AZ23" i="5"/>
  <c r="BV23" i="5"/>
  <c r="AU23" i="5"/>
  <c r="BT23" i="5"/>
  <c r="AS23" i="5"/>
  <c r="BQ23" i="5"/>
  <c r="BP23" i="5"/>
  <c r="BO23" i="5"/>
  <c r="CC23" i="5"/>
  <c r="BO28" i="5"/>
  <c r="AZ30" i="5"/>
  <c r="BZ35" i="5"/>
  <c r="BB35" i="5"/>
  <c r="BY35" i="5"/>
  <c r="BA35" i="5"/>
  <c r="BX35" i="5"/>
  <c r="AZ35" i="5"/>
  <c r="BW35" i="5"/>
  <c r="AY35" i="5"/>
  <c r="BQ35" i="5"/>
  <c r="BP35" i="5"/>
  <c r="BO35" i="5"/>
  <c r="BM35" i="5"/>
  <c r="BL35" i="5"/>
  <c r="BK35" i="5"/>
  <c r="BJ35" i="5"/>
  <c r="CE35" i="5"/>
  <c r="BH39" i="5"/>
  <c r="BF40" i="5"/>
  <c r="CD42" i="5"/>
  <c r="BF42" i="5"/>
  <c r="CC42" i="5"/>
  <c r="BE42" i="5"/>
  <c r="CB42" i="5"/>
  <c r="BD42" i="5"/>
  <c r="CA42" i="5"/>
  <c r="BC42" i="5"/>
  <c r="BX42" i="5"/>
  <c r="AV42" i="5"/>
  <c r="BW42" i="5"/>
  <c r="AU42" i="5"/>
  <c r="BV42" i="5"/>
  <c r="AT42" i="5"/>
  <c r="BA42" i="5"/>
  <c r="AZ42" i="5"/>
  <c r="AY42" i="5"/>
  <c r="AX42" i="5"/>
  <c r="BJ46" i="5"/>
  <c r="BB48" i="5"/>
  <c r="BI54" i="5"/>
  <c r="BN62" i="5"/>
  <c r="BM62" i="5"/>
  <c r="BL62" i="5"/>
  <c r="BK62" i="5"/>
  <c r="BE62" i="5"/>
  <c r="BD62" i="5"/>
  <c r="CE62" i="5"/>
  <c r="BC62" i="5"/>
  <c r="CB62" i="5"/>
  <c r="AW62" i="5"/>
  <c r="CA62" i="5"/>
  <c r="AV62" i="5"/>
  <c r="BZ62" i="5"/>
  <c r="AU62" i="5"/>
  <c r="BY62" i="5"/>
  <c r="AT62" i="5"/>
  <c r="BW62" i="5"/>
  <c r="BR63" i="5"/>
  <c r="AT63" i="5"/>
  <c r="BQ63" i="5"/>
  <c r="AS63" i="5"/>
  <c r="BP63" i="5"/>
  <c r="BO63" i="5"/>
  <c r="BT63" i="5"/>
  <c r="BS63" i="5"/>
  <c r="BN63" i="5"/>
  <c r="BU63" i="5"/>
  <c r="BM63" i="5"/>
  <c r="BL63" i="5"/>
  <c r="BK63" i="5"/>
  <c r="BI63" i="5"/>
  <c r="CD63" i="5"/>
  <c r="CD68" i="5"/>
  <c r="BF68" i="5"/>
  <c r="CC68" i="5"/>
  <c r="BE68" i="5"/>
  <c r="CB68" i="5"/>
  <c r="BD68" i="5"/>
  <c r="CA68" i="5"/>
  <c r="BC68" i="5"/>
  <c r="BT68" i="5"/>
  <c r="AV68" i="5"/>
  <c r="BI68" i="5"/>
  <c r="BH68" i="5"/>
  <c r="BG68" i="5"/>
  <c r="BA68" i="5"/>
  <c r="BY68" i="5"/>
  <c r="BX68" i="5"/>
  <c r="BW68" i="5"/>
  <c r="BV68" i="5"/>
  <c r="BS68" i="5"/>
  <c r="BR68" i="5"/>
  <c r="BQ68" i="5"/>
  <c r="AW69" i="5"/>
  <c r="BB8" i="5"/>
  <c r="CA8" i="5"/>
  <c r="BH9" i="5"/>
  <c r="BH13" i="5"/>
  <c r="BB15" i="5"/>
  <c r="CD15" i="5"/>
  <c r="BO21" i="5"/>
  <c r="BE22" i="5"/>
  <c r="AT23" i="5"/>
  <c r="CD23" i="5"/>
  <c r="AT26" i="5"/>
  <c r="CD26" i="5"/>
  <c r="BP28" i="5"/>
  <c r="BA30" i="5"/>
  <c r="AT31" i="5"/>
  <c r="CE31" i="5"/>
  <c r="AS35" i="5"/>
  <c r="BI39" i="5"/>
  <c r="BG40" i="5"/>
  <c r="AS42" i="5"/>
  <c r="AT43" i="5"/>
  <c r="CC43" i="5"/>
  <c r="BK46" i="5"/>
  <c r="BG48" i="5"/>
  <c r="AU50" i="5"/>
  <c r="CD50" i="5"/>
  <c r="BJ54" i="5"/>
  <c r="AZ57" i="5"/>
  <c r="AS62" i="5"/>
  <c r="AU63" i="5"/>
  <c r="CE63" i="5"/>
  <c r="AS68" i="5"/>
  <c r="CG68" i="5" s="1"/>
  <c r="CH68" i="5" s="1"/>
  <c r="AX69" i="5"/>
  <c r="BC8" i="5"/>
  <c r="CB8" i="5"/>
  <c r="BI9" i="5"/>
  <c r="BI13" i="5"/>
  <c r="BX14" i="5"/>
  <c r="AZ14" i="5"/>
  <c r="BS14" i="5"/>
  <c r="AT14" i="5"/>
  <c r="BQ14" i="5"/>
  <c r="BT14" i="5"/>
  <c r="BC15" i="5"/>
  <c r="CE15" i="5"/>
  <c r="BP21" i="5"/>
  <c r="BF22" i="5"/>
  <c r="AV23" i="5"/>
  <c r="CE23" i="5"/>
  <c r="AU26" i="5"/>
  <c r="CE26" i="5"/>
  <c r="BQ28" i="5"/>
  <c r="BB30" i="5"/>
  <c r="AU31" i="5"/>
  <c r="AT35" i="5"/>
  <c r="BX36" i="5"/>
  <c r="BM39" i="5"/>
  <c r="BH40" i="5"/>
  <c r="AW42" i="5"/>
  <c r="AU43" i="5"/>
  <c r="CD43" i="5"/>
  <c r="BL46" i="5"/>
  <c r="BH48" i="5"/>
  <c r="AV50" i="5"/>
  <c r="CE50" i="5"/>
  <c r="BK54" i="5"/>
  <c r="BA57" i="5"/>
  <c r="AX62" i="5"/>
  <c r="AV63" i="5"/>
  <c r="AT68" i="5"/>
  <c r="AY69" i="5"/>
  <c r="CJ68" i="5"/>
  <c r="BD8" i="5"/>
  <c r="CC8" i="5"/>
  <c r="BJ9" i="5"/>
  <c r="BJ13" i="5"/>
  <c r="AS14" i="5"/>
  <c r="BU14" i="5"/>
  <c r="BE15" i="5"/>
  <c r="BT21" i="5"/>
  <c r="BG22" i="5"/>
  <c r="AW23" i="5"/>
  <c r="AV26" i="5"/>
  <c r="BR28" i="5"/>
  <c r="BC30" i="5"/>
  <c r="AV31" i="5"/>
  <c r="AU35" i="5"/>
  <c r="BY36" i="5"/>
  <c r="BN39" i="5"/>
  <c r="BI40" i="5"/>
  <c r="BB42" i="5"/>
  <c r="AV43" i="5"/>
  <c r="BM46" i="5"/>
  <c r="BI48" i="5"/>
  <c r="AW50" i="5"/>
  <c r="BO54" i="5"/>
  <c r="BB57" i="5"/>
  <c r="AY62" i="5"/>
  <c r="AW63" i="5"/>
  <c r="AU68" i="5"/>
  <c r="BA69" i="5"/>
  <c r="BE8" i="5"/>
  <c r="CD8" i="5"/>
  <c r="BK9" i="5"/>
  <c r="BK13" i="5"/>
  <c r="AU14" i="5"/>
  <c r="BV14" i="5"/>
  <c r="BF15" i="5"/>
  <c r="BH22" i="5"/>
  <c r="AX23" i="5"/>
  <c r="AW26" i="5"/>
  <c r="BY28" i="5"/>
  <c r="BG30" i="5"/>
  <c r="AW31" i="5"/>
  <c r="AV35" i="5"/>
  <c r="BS39" i="5"/>
  <c r="BJ40" i="5"/>
  <c r="BG42" i="5"/>
  <c r="AW43" i="5"/>
  <c r="CJ43" i="5" s="1"/>
  <c r="BY46" i="5"/>
  <c r="BJ48" i="5"/>
  <c r="AX50" i="5"/>
  <c r="BP54" i="5"/>
  <c r="BC57" i="5"/>
  <c r="AZ62" i="5"/>
  <c r="AX63" i="5"/>
  <c r="BZ65" i="5"/>
  <c r="BB65" i="5"/>
  <c r="BY65" i="5"/>
  <c r="BA65" i="5"/>
  <c r="BX65" i="5"/>
  <c r="AZ65" i="5"/>
  <c r="BW65" i="5"/>
  <c r="AY65" i="5"/>
  <c r="BP65" i="5"/>
  <c r="BT65" i="5"/>
  <c r="BS65" i="5"/>
  <c r="BR65" i="5"/>
  <c r="BO65" i="5"/>
  <c r="AX65" i="5"/>
  <c r="AW65" i="5"/>
  <c r="AV65" i="5"/>
  <c r="AU65" i="5"/>
  <c r="CD65" i="5"/>
  <c r="AS65" i="5"/>
  <c r="CC65" i="5"/>
  <c r="CB65" i="5"/>
  <c r="AW68" i="5"/>
  <c r="BB69" i="5"/>
  <c r="CD21" i="5"/>
  <c r="BF21" i="5"/>
  <c r="CB21" i="5"/>
  <c r="BD21" i="5"/>
  <c r="BS21" i="5"/>
  <c r="AS21" i="5"/>
  <c r="BR21" i="5"/>
  <c r="BQ21" i="5"/>
  <c r="BV21" i="5"/>
  <c r="BI22" i="5"/>
  <c r="AY23" i="5"/>
  <c r="AX26" i="5"/>
  <c r="BZ28" i="5"/>
  <c r="BH30" i="5"/>
  <c r="BA31" i="5"/>
  <c r="AW35" i="5"/>
  <c r="CD36" i="5"/>
  <c r="BF36" i="5"/>
  <c r="CC36" i="5"/>
  <c r="BE36" i="5"/>
  <c r="CB36" i="5"/>
  <c r="BD36" i="5"/>
  <c r="CA36" i="5"/>
  <c r="BC36" i="5"/>
  <c r="BA36" i="5"/>
  <c r="AZ36" i="5"/>
  <c r="CE36" i="5"/>
  <c r="AY36" i="5"/>
  <c r="BG36" i="5"/>
  <c r="BB36" i="5"/>
  <c r="AX36" i="5"/>
  <c r="AW36" i="5"/>
  <c r="BT39" i="5"/>
  <c r="BK40" i="5"/>
  <c r="BH42" i="5"/>
  <c r="AX43" i="5"/>
  <c r="BZ46" i="5"/>
  <c r="BK48" i="5"/>
  <c r="AY50" i="5"/>
  <c r="BQ54" i="5"/>
  <c r="BD57" i="5"/>
  <c r="BA62" i="5"/>
  <c r="AY63" i="5"/>
  <c r="AT65" i="5"/>
  <c r="AX68" i="5"/>
  <c r="BC69" i="5"/>
  <c r="BG8" i="5"/>
  <c r="BM9" i="5"/>
  <c r="BN13" i="5"/>
  <c r="AW14" i="5"/>
  <c r="BY14" i="5"/>
  <c r="BH15" i="5"/>
  <c r="AT21" i="5"/>
  <c r="BW21" i="5"/>
  <c r="BK22" i="5"/>
  <c r="BC23" i="5"/>
  <c r="BB26" i="5"/>
  <c r="CA28" i="5"/>
  <c r="BI30" i="5"/>
  <c r="BB31" i="5"/>
  <c r="AX35" i="5"/>
  <c r="AS36" i="5"/>
  <c r="BJ37" i="5"/>
  <c r="BI37" i="5"/>
  <c r="BH37" i="5"/>
  <c r="CE37" i="5"/>
  <c r="BG37" i="5"/>
  <c r="BQ37" i="5"/>
  <c r="BP37" i="5"/>
  <c r="BO37" i="5"/>
  <c r="BY37" i="5"/>
  <c r="AT37" i="5"/>
  <c r="BX37" i="5"/>
  <c r="AS37" i="5"/>
  <c r="BW37" i="5"/>
  <c r="BV37" i="5"/>
  <c r="CC37" i="5"/>
  <c r="BU39" i="5"/>
  <c r="BL40" i="5"/>
  <c r="BI42" i="5"/>
  <c r="AY43" i="5"/>
  <c r="CA46" i="5"/>
  <c r="BL48" i="5"/>
  <c r="AZ50" i="5"/>
  <c r="BR54" i="5"/>
  <c r="BE57" i="5"/>
  <c r="BB62" i="5"/>
  <c r="AZ63" i="5"/>
  <c r="BC65" i="5"/>
  <c r="AY68" i="5"/>
  <c r="BD69" i="5"/>
  <c r="BH8" i="5"/>
  <c r="BN9" i="5"/>
  <c r="BO13" i="5"/>
  <c r="AX14" i="5"/>
  <c r="BZ14" i="5"/>
  <c r="BI15" i="5"/>
  <c r="AU21" i="5"/>
  <c r="BX21" i="5"/>
  <c r="BM22" i="5"/>
  <c r="BD23" i="5"/>
  <c r="BC26" i="5"/>
  <c r="CB28" i="5"/>
  <c r="BJ30" i="5"/>
  <c r="BC31" i="5"/>
  <c r="BC35" i="5"/>
  <c r="AT36" i="5"/>
  <c r="AU37" i="5"/>
  <c r="CD37" i="5"/>
  <c r="BV39" i="5"/>
  <c r="BM40" i="5"/>
  <c r="BJ42" i="5"/>
  <c r="AZ43" i="5"/>
  <c r="CB46" i="5"/>
  <c r="BM48" i="5"/>
  <c r="BA50" i="5"/>
  <c r="BS54" i="5"/>
  <c r="BF57" i="5"/>
  <c r="BF62" i="5"/>
  <c r="BA63" i="5"/>
  <c r="BD65" i="5"/>
  <c r="AZ68" i="5"/>
  <c r="BE69" i="5"/>
  <c r="BI8" i="5"/>
  <c r="BO9" i="5"/>
  <c r="BP13" i="5"/>
  <c r="AY14" i="5"/>
  <c r="CA14" i="5"/>
  <c r="BJ15" i="5"/>
  <c r="AV21" i="5"/>
  <c r="BY21" i="5"/>
  <c r="BN22" i="5"/>
  <c r="BE23" i="5"/>
  <c r="BD26" i="5"/>
  <c r="CC28" i="5"/>
  <c r="BK30" i="5"/>
  <c r="BK31" i="5"/>
  <c r="BD35" i="5"/>
  <c r="AU36" i="5"/>
  <c r="AV37" i="5"/>
  <c r="BW39" i="5"/>
  <c r="BN40" i="5"/>
  <c r="BK42" i="5"/>
  <c r="BA43" i="5"/>
  <c r="CC46" i="5"/>
  <c r="BN48" i="5"/>
  <c r="BF50" i="5"/>
  <c r="BT54" i="5"/>
  <c r="BG57" i="5"/>
  <c r="BG62" i="5"/>
  <c r="BB63" i="5"/>
  <c r="BE65" i="5"/>
  <c r="BB68" i="5"/>
  <c r="BF69" i="5"/>
  <c r="BL9" i="5"/>
  <c r="BL13" i="5"/>
  <c r="BJ8" i="5"/>
  <c r="BP9" i="5"/>
  <c r="BQ13" i="5"/>
  <c r="BA14" i="5"/>
  <c r="CB14" i="5"/>
  <c r="BK15" i="5"/>
  <c r="AW21" i="5"/>
  <c r="BZ21" i="5"/>
  <c r="BO22" i="5"/>
  <c r="BF23" i="5"/>
  <c r="BE26" i="5"/>
  <c r="CD28" i="5"/>
  <c r="BL30" i="5"/>
  <c r="BL31" i="5"/>
  <c r="BE35" i="5"/>
  <c r="AV36" i="5"/>
  <c r="AW37" i="5"/>
  <c r="BX39" i="5"/>
  <c r="BO40" i="5"/>
  <c r="BL42" i="5"/>
  <c r="BB43" i="5"/>
  <c r="BR45" i="5"/>
  <c r="AT45" i="5"/>
  <c r="BQ45" i="5"/>
  <c r="AS45" i="5"/>
  <c r="BP45" i="5"/>
  <c r="BO45" i="5"/>
  <c r="BG45" i="5"/>
  <c r="BF45" i="5"/>
  <c r="BE45" i="5"/>
  <c r="CE45" i="5"/>
  <c r="AZ45" i="5"/>
  <c r="CD45" i="5"/>
  <c r="AY45" i="5"/>
  <c r="CC45" i="5"/>
  <c r="AX45" i="5"/>
  <c r="CB45" i="5"/>
  <c r="AW45" i="5"/>
  <c r="CD46" i="5"/>
  <c r="BO48" i="5"/>
  <c r="BG50" i="5"/>
  <c r="BU54" i="5"/>
  <c r="BH57" i="5"/>
  <c r="BH62" i="5"/>
  <c r="BC63" i="5"/>
  <c r="BF65" i="5"/>
  <c r="BJ68" i="5"/>
  <c r="BN69" i="5"/>
  <c r="BR27" i="5"/>
  <c r="AT27" i="5"/>
  <c r="BQ27" i="5"/>
  <c r="AS27" i="5"/>
  <c r="BP27" i="5"/>
  <c r="BK27" i="5"/>
  <c r="BJ27" i="5"/>
  <c r="BI27" i="5"/>
  <c r="BX27" i="5"/>
  <c r="BW34" i="5"/>
  <c r="BW51" i="5"/>
  <c r="BR18" i="5"/>
  <c r="AT18" i="5"/>
  <c r="BP18" i="5"/>
  <c r="BS18" i="5"/>
  <c r="AU27" i="5"/>
  <c r="BY27" i="5"/>
  <c r="AV27" i="5"/>
  <c r="BZ27" i="5"/>
  <c r="BV34" i="5"/>
  <c r="AX34" i="5"/>
  <c r="BU34" i="5"/>
  <c r="AW34" i="5"/>
  <c r="BT34" i="5"/>
  <c r="AV34" i="5"/>
  <c r="BF34" i="5"/>
  <c r="BE34" i="5"/>
  <c r="CE34" i="5"/>
  <c r="BD34" i="5"/>
  <c r="BY34" i="5"/>
  <c r="BR51" i="5"/>
  <c r="AT51" i="5"/>
  <c r="BQ51" i="5"/>
  <c r="AS51" i="5"/>
  <c r="CJ51" i="5" s="1"/>
  <c r="BP51" i="5"/>
  <c r="BO51" i="5"/>
  <c r="CD51" i="5"/>
  <c r="BB51" i="5"/>
  <c r="CC51" i="5"/>
  <c r="BA51" i="5"/>
  <c r="CB51" i="5"/>
  <c r="AZ51" i="5"/>
  <c r="BY51" i="5"/>
  <c r="AU18" i="5"/>
  <c r="BU18" i="5"/>
  <c r="BJ25" i="5"/>
  <c r="BI25" i="5"/>
  <c r="BH25" i="5"/>
  <c r="CJ25" i="5" s="1"/>
  <c r="BR25" i="5"/>
  <c r="BQ25" i="5"/>
  <c r="BP25" i="5"/>
  <c r="BV25" i="5"/>
  <c r="AW27" i="5"/>
  <c r="CA27" i="5"/>
  <c r="AS34" i="5"/>
  <c r="BZ34" i="5"/>
  <c r="AU51" i="5"/>
  <c r="BZ51" i="5"/>
  <c r="BR33" i="5"/>
  <c r="AT33" i="5"/>
  <c r="BQ33" i="5"/>
  <c r="AS33" i="5"/>
  <c r="BP33" i="5"/>
  <c r="BU33" i="5"/>
  <c r="BZ59" i="5"/>
  <c r="BB59" i="5"/>
  <c r="BY59" i="5"/>
  <c r="BA59" i="5"/>
  <c r="BX59" i="5"/>
  <c r="AZ59" i="5"/>
  <c r="BW59" i="5"/>
  <c r="AY59" i="5"/>
  <c r="BT59" i="5"/>
  <c r="BJ61" i="5"/>
  <c r="BI61" i="5"/>
  <c r="BH61" i="5"/>
  <c r="CE61" i="5"/>
  <c r="BG61" i="5"/>
  <c r="BT61" i="5"/>
  <c r="AS59" i="5"/>
  <c r="BU59" i="5"/>
  <c r="AS61" i="5"/>
  <c r="BU61" i="5"/>
  <c r="CB7" i="4"/>
  <c r="BD7" i="4"/>
  <c r="BI7" i="4"/>
  <c r="BH7" i="4"/>
  <c r="BG7" i="4"/>
  <c r="CE7" i="4"/>
  <c r="BF7" i="4"/>
  <c r="CD7" i="4"/>
  <c r="BE7" i="4"/>
  <c r="CC7" i="4"/>
  <c r="BC7" i="4"/>
  <c r="CA7" i="4"/>
  <c r="BB7" i="4"/>
  <c r="BZ7" i="4"/>
  <c r="BA7" i="4"/>
  <c r="BY7" i="4"/>
  <c r="AZ7" i="4"/>
  <c r="BX7" i="4"/>
  <c r="AY7" i="4"/>
  <c r="BW7" i="4"/>
  <c r="AX7" i="4"/>
  <c r="BJ7" i="4"/>
  <c r="BV7" i="4"/>
  <c r="AW7" i="4"/>
  <c r="BU7" i="4"/>
  <c r="AV7" i="4"/>
  <c r="BT7" i="4"/>
  <c r="AU7" i="4"/>
  <c r="BS7" i="4"/>
  <c r="AT7" i="4"/>
  <c r="BR7" i="4"/>
  <c r="AS7" i="4"/>
  <c r="BQ7" i="4"/>
  <c r="BP7" i="4"/>
  <c r="BO7" i="4"/>
  <c r="BK7" i="4"/>
  <c r="BN7" i="4"/>
  <c r="BM7" i="4"/>
  <c r="BL7" i="4"/>
  <c r="BY12" i="4"/>
  <c r="BA12" i="4"/>
  <c r="BX12" i="4"/>
  <c r="AZ12" i="4"/>
  <c r="BW12" i="4"/>
  <c r="AY12" i="4"/>
  <c r="CB12" i="4"/>
  <c r="AX12" i="4"/>
  <c r="CA12" i="4"/>
  <c r="AW12" i="4"/>
  <c r="CD12" i="4"/>
  <c r="BB12" i="4"/>
  <c r="BZ12" i="4"/>
  <c r="AV12" i="4"/>
  <c r="BV12" i="4"/>
  <c r="AU12" i="4"/>
  <c r="BU12" i="4"/>
  <c r="AT12" i="4"/>
  <c r="BC12" i="4"/>
  <c r="BT12" i="4"/>
  <c r="AS12" i="4"/>
  <c r="BS12" i="4"/>
  <c r="BR12" i="4"/>
  <c r="BQ12" i="4"/>
  <c r="BP12" i="4"/>
  <c r="CC12" i="4"/>
  <c r="BO12" i="4"/>
  <c r="BN12" i="4"/>
  <c r="BM12" i="4"/>
  <c r="BL12" i="4"/>
  <c r="BK12" i="4"/>
  <c r="BJ12" i="4"/>
  <c r="BI12" i="4"/>
  <c r="BH12" i="4"/>
  <c r="BG12" i="4"/>
  <c r="BF12" i="4"/>
  <c r="BE12" i="4"/>
  <c r="CE12" i="4"/>
  <c r="BD12" i="4"/>
  <c r="CD17" i="4"/>
  <c r="BF17" i="4"/>
  <c r="CC17" i="4"/>
  <c r="BE17" i="4"/>
  <c r="CB17" i="4"/>
  <c r="BB17" i="4"/>
  <c r="CA17" i="4"/>
  <c r="BA17" i="4"/>
  <c r="BZ17" i="4"/>
  <c r="AZ17" i="4"/>
  <c r="BG17" i="4"/>
  <c r="BD17" i="4"/>
  <c r="BC17" i="4"/>
  <c r="AY17" i="4"/>
  <c r="BI17" i="4"/>
  <c r="AX17" i="4"/>
  <c r="CE17" i="4"/>
  <c r="AW17" i="4"/>
  <c r="BY17" i="4"/>
  <c r="AV17" i="4"/>
  <c r="BX17" i="4"/>
  <c r="AU17" i="4"/>
  <c r="BW17" i="4"/>
  <c r="AT17" i="4"/>
  <c r="BV17" i="4"/>
  <c r="AS17" i="4"/>
  <c r="BU17" i="4"/>
  <c r="BT17" i="4"/>
  <c r="BS17" i="4"/>
  <c r="BH17" i="4"/>
  <c r="BR17" i="4"/>
  <c r="BQ17" i="4"/>
  <c r="BP17" i="4"/>
  <c r="BO17" i="4"/>
  <c r="BN17" i="4"/>
  <c r="BM17" i="4"/>
  <c r="BL17" i="4"/>
  <c r="BK17" i="4"/>
  <c r="BJ17" i="4"/>
  <c r="CE37" i="4"/>
  <c r="BG37" i="4"/>
  <c r="CD37" i="4"/>
  <c r="BF37" i="4"/>
  <c r="CC37" i="4"/>
  <c r="BE37" i="4"/>
  <c r="BL37" i="4"/>
  <c r="BK37" i="4"/>
  <c r="AZ37" i="4"/>
  <c r="CB37" i="4"/>
  <c r="AY37" i="4"/>
  <c r="CA37" i="4"/>
  <c r="AX37" i="4"/>
  <c r="BZ37" i="4"/>
  <c r="AT37" i="4"/>
  <c r="BY37" i="4"/>
  <c r="AS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AU37" i="4"/>
  <c r="BJ37" i="4"/>
  <c r="BI37" i="4"/>
  <c r="BH37" i="4"/>
  <c r="BD37" i="4"/>
  <c r="BC37" i="4"/>
  <c r="BB37" i="4"/>
  <c r="BA37" i="4"/>
  <c r="AW37" i="4"/>
  <c r="AV37" i="4"/>
  <c r="BW65" i="4"/>
  <c r="AY65" i="4"/>
  <c r="BV65" i="4"/>
  <c r="AX65" i="4"/>
  <c r="BU65" i="4"/>
  <c r="AW65" i="4"/>
  <c r="BH65" i="4"/>
  <c r="BG65" i="4"/>
  <c r="BF65" i="4"/>
  <c r="BE65" i="4"/>
  <c r="BO65" i="4"/>
  <c r="BN65" i="4"/>
  <c r="BM65" i="4"/>
  <c r="BL65" i="4"/>
  <c r="BK65" i="4"/>
  <c r="BJ65" i="4"/>
  <c r="BI65" i="4"/>
  <c r="BC65" i="4"/>
  <c r="AZ65" i="4"/>
  <c r="AV65" i="4"/>
  <c r="AU65" i="4"/>
  <c r="BA65" i="4"/>
  <c r="AT65" i="4"/>
  <c r="AS65" i="4"/>
  <c r="CE65" i="4"/>
  <c r="CD65" i="4"/>
  <c r="CC65" i="4"/>
  <c r="CB65" i="4"/>
  <c r="BB65" i="4"/>
  <c r="CA65" i="4"/>
  <c r="BZ65" i="4"/>
  <c r="BY65" i="4"/>
  <c r="BX65" i="4"/>
  <c r="BT65" i="4"/>
  <c r="BS65" i="4"/>
  <c r="BR65" i="4"/>
  <c r="BQ65" i="4"/>
  <c r="BP65" i="4"/>
  <c r="BD65" i="4"/>
  <c r="BH8" i="4"/>
  <c r="BO8" i="4"/>
  <c r="BN8" i="4"/>
  <c r="BM8" i="4"/>
  <c r="BL8" i="4"/>
  <c r="BK8" i="4"/>
  <c r="BJ8" i="4"/>
  <c r="BI8" i="4"/>
  <c r="BG8" i="4"/>
  <c r="CE8" i="4"/>
  <c r="BF8" i="4"/>
  <c r="CD8" i="4"/>
  <c r="BE8" i="4"/>
  <c r="CC8" i="4"/>
  <c r="BD8" i="4"/>
  <c r="CB8" i="4"/>
  <c r="BC8" i="4"/>
  <c r="CA8" i="4"/>
  <c r="BB8" i="4"/>
  <c r="BZ8" i="4"/>
  <c r="BA8" i="4"/>
  <c r="BY8" i="4"/>
  <c r="AZ8" i="4"/>
  <c r="BX8" i="4"/>
  <c r="AY8" i="4"/>
  <c r="BQ8" i="4"/>
  <c r="BW8" i="4"/>
  <c r="AX8" i="4"/>
  <c r="BV8" i="4"/>
  <c r="AW8" i="4"/>
  <c r="BU8" i="4"/>
  <c r="AV8" i="4"/>
  <c r="BT8" i="4"/>
  <c r="AU8" i="4"/>
  <c r="BS8" i="4"/>
  <c r="AT8" i="4"/>
  <c r="BR8" i="4"/>
  <c r="AS8" i="4"/>
  <c r="BP8" i="4"/>
  <c r="CC13" i="4"/>
  <c r="BE13" i="4"/>
  <c r="CB13" i="4"/>
  <c r="BD13" i="4"/>
  <c r="CA13" i="4"/>
  <c r="BC13" i="4"/>
  <c r="BK13" i="4"/>
  <c r="BJ13" i="4"/>
  <c r="BI13" i="4"/>
  <c r="BH13" i="4"/>
  <c r="BG13" i="4"/>
  <c r="BF13" i="4"/>
  <c r="BB13" i="4"/>
  <c r="CE13" i="4"/>
  <c r="BA13" i="4"/>
  <c r="CD13" i="4"/>
  <c r="AZ13" i="4"/>
  <c r="BZ13" i="4"/>
  <c r="AY13" i="4"/>
  <c r="BY13" i="4"/>
  <c r="AX13" i="4"/>
  <c r="BX13" i="4"/>
  <c r="AW13" i="4"/>
  <c r="BW13" i="4"/>
  <c r="AV13" i="4"/>
  <c r="BV13" i="4"/>
  <c r="AU13" i="4"/>
  <c r="BU13" i="4"/>
  <c r="AT13" i="4"/>
  <c r="BT13" i="4"/>
  <c r="AS13" i="4"/>
  <c r="BS13" i="4"/>
  <c r="BR13" i="4"/>
  <c r="BQ13" i="4"/>
  <c r="BP13" i="4"/>
  <c r="BO13" i="4"/>
  <c r="BN13" i="4"/>
  <c r="BM13" i="4"/>
  <c r="BL13" i="4"/>
  <c r="BJ18" i="4"/>
  <c r="BI18" i="4"/>
  <c r="BL18" i="4"/>
  <c r="BK18" i="4"/>
  <c r="BH18" i="4"/>
  <c r="BU18" i="4"/>
  <c r="BT18" i="4"/>
  <c r="BS18" i="4"/>
  <c r="AT18" i="4"/>
  <c r="BR18" i="4"/>
  <c r="BQ18" i="4"/>
  <c r="BP18" i="4"/>
  <c r="BO18" i="4"/>
  <c r="BN18" i="4"/>
  <c r="BM18" i="4"/>
  <c r="BG18" i="4"/>
  <c r="AS18" i="4"/>
  <c r="BF18" i="4"/>
  <c r="BE18" i="4"/>
  <c r="BD18" i="4"/>
  <c r="BC18" i="4"/>
  <c r="CE18" i="4"/>
  <c r="BB18" i="4"/>
  <c r="CD18" i="4"/>
  <c r="BA18" i="4"/>
  <c r="CJ18" i="4" s="1"/>
  <c r="CC18" i="4"/>
  <c r="AZ18" i="4"/>
  <c r="CB18" i="4"/>
  <c r="AY18" i="4"/>
  <c r="CA18" i="4"/>
  <c r="AX18" i="4"/>
  <c r="BZ18" i="4"/>
  <c r="AW18" i="4"/>
  <c r="BY18" i="4"/>
  <c r="AV18" i="4"/>
  <c r="BX18" i="4"/>
  <c r="AU18" i="4"/>
  <c r="BW18" i="4"/>
  <c r="BV18" i="4"/>
  <c r="BK38" i="4"/>
  <c r="BJ38" i="4"/>
  <c r="BI38" i="4"/>
  <c r="BV38" i="4"/>
  <c r="AU38" i="4"/>
  <c r="BU38" i="4"/>
  <c r="AT38" i="4"/>
  <c r="BQ38" i="4"/>
  <c r="BP38" i="4"/>
  <c r="BO38" i="4"/>
  <c r="BT38" i="4"/>
  <c r="BS38" i="4"/>
  <c r="BR38" i="4"/>
  <c r="BN38" i="4"/>
  <c r="BM38" i="4"/>
  <c r="BL38" i="4"/>
  <c r="BH38" i="4"/>
  <c r="BG38" i="4"/>
  <c r="BF38" i="4"/>
  <c r="BE38" i="4"/>
  <c r="BW38" i="4"/>
  <c r="BD38" i="4"/>
  <c r="BC38" i="4"/>
  <c r="BB38" i="4"/>
  <c r="BA38" i="4"/>
  <c r="AZ38" i="4"/>
  <c r="CE38" i="4"/>
  <c r="AY38" i="4"/>
  <c r="CD38" i="4"/>
  <c r="AX38" i="4"/>
  <c r="CC38" i="4"/>
  <c r="AW38" i="4"/>
  <c r="CB38" i="4"/>
  <c r="AV38" i="4"/>
  <c r="CA38" i="4"/>
  <c r="AS38" i="4"/>
  <c r="BZ38" i="4"/>
  <c r="BY38" i="4"/>
  <c r="BX38" i="4"/>
  <c r="BI14" i="4"/>
  <c r="BH14" i="4"/>
  <c r="CE14" i="4"/>
  <c r="BG14" i="4"/>
  <c r="BU14" i="4"/>
  <c r="AT14" i="4"/>
  <c r="BT14" i="4"/>
  <c r="AS14" i="4"/>
  <c r="BS14" i="4"/>
  <c r="BR14" i="4"/>
  <c r="BQ14" i="4"/>
  <c r="BP14" i="4"/>
  <c r="BO14" i="4"/>
  <c r="BN14" i="4"/>
  <c r="BM14" i="4"/>
  <c r="BL14" i="4"/>
  <c r="BK14" i="4"/>
  <c r="BV14" i="4"/>
  <c r="BJ14" i="4"/>
  <c r="BF14" i="4"/>
  <c r="BW14" i="4"/>
  <c r="BE14" i="4"/>
  <c r="AV14" i="4"/>
  <c r="AU14" i="4"/>
  <c r="BD14" i="4"/>
  <c r="CD14" i="4"/>
  <c r="BC14" i="4"/>
  <c r="CC14" i="4"/>
  <c r="BB14" i="4"/>
  <c r="CB14" i="4"/>
  <c r="BA14" i="4"/>
  <c r="CA14" i="4"/>
  <c r="AZ14" i="4"/>
  <c r="BZ14" i="4"/>
  <c r="AY14" i="4"/>
  <c r="BY14" i="4"/>
  <c r="AX14" i="4"/>
  <c r="BX14" i="4"/>
  <c r="AW14" i="4"/>
  <c r="BX6" i="4"/>
  <c r="CB6" i="4"/>
  <c r="BC6" i="4"/>
  <c r="BE6" i="4"/>
  <c r="CA6" i="4"/>
  <c r="BB6" i="4"/>
  <c r="BD6" i="4"/>
  <c r="BZ6" i="4"/>
  <c r="BA6" i="4"/>
  <c r="BY6" i="4"/>
  <c r="AZ6" i="4"/>
  <c r="BW6" i="4"/>
  <c r="AY6" i="4"/>
  <c r="BV6" i="4"/>
  <c r="AX6" i="4"/>
  <c r="BU6" i="4"/>
  <c r="AW6" i="4"/>
  <c r="BT6" i="4"/>
  <c r="AV6" i="4"/>
  <c r="BS6" i="4"/>
  <c r="AU6" i="4"/>
  <c r="BR6" i="4"/>
  <c r="AT6" i="4"/>
  <c r="BQ6" i="4"/>
  <c r="AS6" i="4"/>
  <c r="CD6" i="4"/>
  <c r="BP6" i="4"/>
  <c r="BO6" i="4"/>
  <c r="CC6" i="4"/>
  <c r="BN6" i="4"/>
  <c r="BM6" i="4"/>
  <c r="BL6" i="4"/>
  <c r="BK6" i="4"/>
  <c r="BJ6" i="4"/>
  <c r="BI6" i="4"/>
  <c r="BH6" i="4"/>
  <c r="BG6" i="4"/>
  <c r="CE6" i="4"/>
  <c r="BF6" i="4"/>
  <c r="BS34" i="4"/>
  <c r="AU34" i="4"/>
  <c r="BR34" i="4"/>
  <c r="AT34" i="4"/>
  <c r="BQ34" i="4"/>
  <c r="AS34" i="4"/>
  <c r="BF34" i="4"/>
  <c r="BE34" i="4"/>
  <c r="BM34" i="4"/>
  <c r="BL34" i="4"/>
  <c r="BK34" i="4"/>
  <c r="BY34" i="4"/>
  <c r="BX34" i="4"/>
  <c r="BW34" i="4"/>
  <c r="BV34" i="4"/>
  <c r="BU34" i="4"/>
  <c r="BT34" i="4"/>
  <c r="BP34" i="4"/>
  <c r="BO34" i="4"/>
  <c r="BN34" i="4"/>
  <c r="BJ34" i="4"/>
  <c r="BI34" i="4"/>
  <c r="BZ34" i="4"/>
  <c r="BH34" i="4"/>
  <c r="BG34" i="4"/>
  <c r="BD34" i="4"/>
  <c r="BC34" i="4"/>
  <c r="BB34" i="4"/>
  <c r="BA34" i="4"/>
  <c r="AZ34" i="4"/>
  <c r="CE34" i="4"/>
  <c r="AY34" i="4"/>
  <c r="CD34" i="4"/>
  <c r="AX34" i="4"/>
  <c r="CC34" i="4"/>
  <c r="AW34" i="4"/>
  <c r="CB34" i="4"/>
  <c r="AV34" i="4"/>
  <c r="CA34" i="4"/>
  <c r="BW53" i="4"/>
  <c r="AY53" i="4"/>
  <c r="BV53" i="4"/>
  <c r="AX53" i="4"/>
  <c r="BU53" i="4"/>
  <c r="AW53" i="4"/>
  <c r="BP53" i="4"/>
  <c r="BO53" i="4"/>
  <c r="BJ53" i="4"/>
  <c r="BI53" i="4"/>
  <c r="BH53" i="4"/>
  <c r="BG53" i="4"/>
  <c r="BF53" i="4"/>
  <c r="BE53" i="4"/>
  <c r="BR53" i="4"/>
  <c r="BQ53" i="4"/>
  <c r="BN53" i="4"/>
  <c r="BM53" i="4"/>
  <c r="BL53" i="4"/>
  <c r="BK53" i="4"/>
  <c r="BD53" i="4"/>
  <c r="BC53" i="4"/>
  <c r="BB53" i="4"/>
  <c r="BA53" i="4"/>
  <c r="AZ53" i="4"/>
  <c r="AV53" i="4"/>
  <c r="AU53" i="4"/>
  <c r="AT53" i="4"/>
  <c r="CE53" i="4"/>
  <c r="AS53" i="4"/>
  <c r="CD53" i="4"/>
  <c r="BT53" i="4"/>
  <c r="CC53" i="4"/>
  <c r="CB53" i="4"/>
  <c r="CA53" i="4"/>
  <c r="BS53" i="4"/>
  <c r="BZ53" i="4"/>
  <c r="BY53" i="4"/>
  <c r="BX53" i="4"/>
  <c r="BU11" i="4"/>
  <c r="AW11" i="4"/>
  <c r="BT11" i="4"/>
  <c r="AV11" i="4"/>
  <c r="BS11" i="4"/>
  <c r="AU11" i="4"/>
  <c r="BO11" i="4"/>
  <c r="BN11" i="4"/>
  <c r="BM11" i="4"/>
  <c r="BL11" i="4"/>
  <c r="BK11" i="4"/>
  <c r="BJ11" i="4"/>
  <c r="BI11" i="4"/>
  <c r="BH11" i="4"/>
  <c r="BG11" i="4"/>
  <c r="BQ11" i="4"/>
  <c r="BF11" i="4"/>
  <c r="BE11" i="4"/>
  <c r="CE11" i="4"/>
  <c r="BD11" i="4"/>
  <c r="CD11" i="4"/>
  <c r="BC11" i="4"/>
  <c r="BP11" i="4"/>
  <c r="CC11" i="4"/>
  <c r="BB11" i="4"/>
  <c r="CB11" i="4"/>
  <c r="BA11" i="4"/>
  <c r="CA11" i="4"/>
  <c r="AZ11" i="4"/>
  <c r="BZ11" i="4"/>
  <c r="AY11" i="4"/>
  <c r="BY11" i="4"/>
  <c r="AX11" i="4"/>
  <c r="BX11" i="4"/>
  <c r="AT11" i="4"/>
  <c r="BW11" i="4"/>
  <c r="AS11" i="4"/>
  <c r="BV11" i="4"/>
  <c r="BR11" i="4"/>
  <c r="BS46" i="4"/>
  <c r="AU46" i="4"/>
  <c r="BR46" i="4"/>
  <c r="AT46" i="4"/>
  <c r="BQ46" i="4"/>
  <c r="AS46" i="4"/>
  <c r="BY46" i="4"/>
  <c r="AX46" i="4"/>
  <c r="BX46" i="4"/>
  <c r="AW46" i="4"/>
  <c r="BV46" i="4"/>
  <c r="BU46" i="4"/>
  <c r="BT46" i="4"/>
  <c r="BE46" i="4"/>
  <c r="BF46" i="4"/>
  <c r="BD46" i="4"/>
  <c r="BC46" i="4"/>
  <c r="BB46" i="4"/>
  <c r="BA46" i="4"/>
  <c r="AZ46" i="4"/>
  <c r="CE46" i="4"/>
  <c r="AY46" i="4"/>
  <c r="CD46" i="4"/>
  <c r="AV46" i="4"/>
  <c r="CC46" i="4"/>
  <c r="CB46" i="4"/>
  <c r="CA46" i="4"/>
  <c r="BZ46" i="4"/>
  <c r="BW46" i="4"/>
  <c r="BP46" i="4"/>
  <c r="BO46" i="4"/>
  <c r="BN46" i="4"/>
  <c r="BM46" i="4"/>
  <c r="BL46" i="4"/>
  <c r="BK46" i="4"/>
  <c r="BJ46" i="4"/>
  <c r="BI46" i="4"/>
  <c r="BH46" i="4"/>
  <c r="BG46" i="4"/>
  <c r="BW47" i="4"/>
  <c r="AY47" i="4"/>
  <c r="BV47" i="4"/>
  <c r="AX47" i="4"/>
  <c r="BU47" i="4"/>
  <c r="AW47" i="4"/>
  <c r="BH47" i="4"/>
  <c r="BG47" i="4"/>
  <c r="BI47" i="4"/>
  <c r="BF47" i="4"/>
  <c r="BE47" i="4"/>
  <c r="CB47" i="4"/>
  <c r="AS47" i="4"/>
  <c r="CA47" i="4"/>
  <c r="BZ47" i="4"/>
  <c r="BY47" i="4"/>
  <c r="AU47" i="4"/>
  <c r="BX47" i="4"/>
  <c r="BT47" i="4"/>
  <c r="BS47" i="4"/>
  <c r="AT47" i="4"/>
  <c r="BR47" i="4"/>
  <c r="CD47" i="4"/>
  <c r="BQ47" i="4"/>
  <c r="BP47" i="4"/>
  <c r="BO47" i="4"/>
  <c r="BN47" i="4"/>
  <c r="BM47" i="4"/>
  <c r="BL47" i="4"/>
  <c r="BK47" i="4"/>
  <c r="BJ47" i="4"/>
  <c r="BD47" i="4"/>
  <c r="BC47" i="4"/>
  <c r="CC47" i="4"/>
  <c r="BB47" i="4"/>
  <c r="BA47" i="4"/>
  <c r="AZ47" i="4"/>
  <c r="CE47" i="4"/>
  <c r="AV47" i="4"/>
  <c r="BS58" i="4"/>
  <c r="AU58" i="4"/>
  <c r="BR58" i="4"/>
  <c r="AT58" i="4"/>
  <c r="BQ58" i="4"/>
  <c r="AS58" i="4"/>
  <c r="BN58" i="4"/>
  <c r="BM58" i="4"/>
  <c r="BK58" i="4"/>
  <c r="BB58" i="4"/>
  <c r="CE58" i="4"/>
  <c r="BA58" i="4"/>
  <c r="CD58" i="4"/>
  <c r="AZ58" i="4"/>
  <c r="CC58" i="4"/>
  <c r="AY58" i="4"/>
  <c r="CB58" i="4"/>
  <c r="AX58" i="4"/>
  <c r="CA58" i="4"/>
  <c r="AW58" i="4"/>
  <c r="BC58" i="4"/>
  <c r="BZ58" i="4"/>
  <c r="BY58" i="4"/>
  <c r="BX58" i="4"/>
  <c r="BW58" i="4"/>
  <c r="BV58" i="4"/>
  <c r="BU58" i="4"/>
  <c r="BT58" i="4"/>
  <c r="BP58" i="4"/>
  <c r="BO58" i="4"/>
  <c r="BL58" i="4"/>
  <c r="AV58" i="4"/>
  <c r="BJ58" i="4"/>
  <c r="BI58" i="4"/>
  <c r="BH58" i="4"/>
  <c r="BG58" i="4"/>
  <c r="BF58" i="4"/>
  <c r="BE58" i="4"/>
  <c r="BD58" i="4"/>
  <c r="BK2" i="4"/>
  <c r="BJ2" i="4"/>
  <c r="BI2" i="4"/>
  <c r="BH2" i="4"/>
  <c r="CE2" i="4"/>
  <c r="BG2" i="4"/>
  <c r="CD2" i="4"/>
  <c r="BF2" i="4"/>
  <c r="CC2" i="4"/>
  <c r="BE2" i="4"/>
  <c r="CB2" i="4"/>
  <c r="BD2" i="4"/>
  <c r="CA2" i="4"/>
  <c r="BC2" i="4"/>
  <c r="BZ2" i="4"/>
  <c r="BB2" i="4"/>
  <c r="BY2" i="4"/>
  <c r="BA2" i="4"/>
  <c r="BX2" i="4"/>
  <c r="AZ2" i="4"/>
  <c r="BW2" i="4"/>
  <c r="AY2" i="4"/>
  <c r="BV2" i="4"/>
  <c r="AX2" i="4"/>
  <c r="BM2" i="4"/>
  <c r="BU2" i="4"/>
  <c r="AW2" i="4"/>
  <c r="BT2" i="4"/>
  <c r="AV2" i="4"/>
  <c r="BS2" i="4"/>
  <c r="AU2" i="4"/>
  <c r="BR2" i="4"/>
  <c r="AT2" i="4"/>
  <c r="BL2" i="4"/>
  <c r="BQ2" i="4"/>
  <c r="AS2" i="4"/>
  <c r="BP2" i="4"/>
  <c r="BO2" i="4"/>
  <c r="BN2" i="4"/>
  <c r="BW59" i="4"/>
  <c r="AY59" i="4"/>
  <c r="BV59" i="4"/>
  <c r="AX59" i="4"/>
  <c r="BU59" i="4"/>
  <c r="AW59" i="4"/>
  <c r="CA59" i="4"/>
  <c r="AZ59" i="4"/>
  <c r="BZ59" i="4"/>
  <c r="AV59" i="4"/>
  <c r="BX59" i="4"/>
  <c r="AT59" i="4"/>
  <c r="BR59" i="4"/>
  <c r="BQ59" i="4"/>
  <c r="BP59" i="4"/>
  <c r="BO59" i="4"/>
  <c r="BN59" i="4"/>
  <c r="BM59" i="4"/>
  <c r="AS59" i="4"/>
  <c r="AU59" i="4"/>
  <c r="BA59" i="4"/>
  <c r="CE59" i="4"/>
  <c r="CD59" i="4"/>
  <c r="CC59" i="4"/>
  <c r="CB59" i="4"/>
  <c r="BY59" i="4"/>
  <c r="BT59" i="4"/>
  <c r="BS59" i="4"/>
  <c r="BL59" i="4"/>
  <c r="BK59" i="4"/>
  <c r="BJ59" i="4"/>
  <c r="BI59" i="4"/>
  <c r="BH59" i="4"/>
  <c r="BG59" i="4"/>
  <c r="BF59" i="4"/>
  <c r="BE59" i="4"/>
  <c r="BD59" i="4"/>
  <c r="BC59" i="4"/>
  <c r="BB59" i="4"/>
  <c r="CE25" i="4"/>
  <c r="BG25" i="4"/>
  <c r="CC25" i="4"/>
  <c r="BE25" i="4"/>
  <c r="CD25" i="4"/>
  <c r="BC25" i="4"/>
  <c r="CB25" i="4"/>
  <c r="BB25" i="4"/>
  <c r="BF25" i="4"/>
  <c r="BD25" i="4"/>
  <c r="BA25" i="4"/>
  <c r="BW25" i="4"/>
  <c r="BV25" i="4"/>
  <c r="BX25" i="4"/>
  <c r="BU25" i="4"/>
  <c r="AT25" i="4"/>
  <c r="BT25" i="4"/>
  <c r="BS25" i="4"/>
  <c r="BR25" i="4"/>
  <c r="BQ25" i="4"/>
  <c r="BP25" i="4"/>
  <c r="BO25" i="4"/>
  <c r="BN25" i="4"/>
  <c r="BM25" i="4"/>
  <c r="BL25" i="4"/>
  <c r="BK25" i="4"/>
  <c r="BY25" i="4"/>
  <c r="BJ25" i="4"/>
  <c r="AS25" i="4"/>
  <c r="BI25" i="4"/>
  <c r="BH25" i="4"/>
  <c r="AZ25" i="4"/>
  <c r="AY25" i="4"/>
  <c r="AX25" i="4"/>
  <c r="AW25" i="4"/>
  <c r="CA25" i="4"/>
  <c r="AV25" i="4"/>
  <c r="BZ25" i="4"/>
  <c r="AU25" i="4"/>
  <c r="BS4" i="4"/>
  <c r="AU4" i="4"/>
  <c r="BR4" i="4"/>
  <c r="AT4" i="4"/>
  <c r="BQ4" i="4"/>
  <c r="AS4" i="4"/>
  <c r="AV4" i="4"/>
  <c r="BP4" i="4"/>
  <c r="BO4" i="4"/>
  <c r="BN4" i="4"/>
  <c r="BM4" i="4"/>
  <c r="BL4" i="4"/>
  <c r="BK4" i="4"/>
  <c r="BJ4" i="4"/>
  <c r="AW4" i="4"/>
  <c r="BI4" i="4"/>
  <c r="BH4" i="4"/>
  <c r="CE4" i="4"/>
  <c r="BG4" i="4"/>
  <c r="CD4" i="4"/>
  <c r="BF4" i="4"/>
  <c r="CC4" i="4"/>
  <c r="BE4" i="4"/>
  <c r="CB4" i="4"/>
  <c r="BD4" i="4"/>
  <c r="CA4" i="4"/>
  <c r="BC4" i="4"/>
  <c r="BZ4" i="4"/>
  <c r="BB4" i="4"/>
  <c r="BY4" i="4"/>
  <c r="BA4" i="4"/>
  <c r="BT4" i="4"/>
  <c r="BX4" i="4"/>
  <c r="AZ4" i="4"/>
  <c r="BW4" i="4"/>
  <c r="AY4" i="4"/>
  <c r="BV4" i="4"/>
  <c r="AX4" i="4"/>
  <c r="BU4" i="4"/>
  <c r="BS40" i="4"/>
  <c r="AU40" i="4"/>
  <c r="BR40" i="4"/>
  <c r="AT40" i="4"/>
  <c r="BQ40" i="4"/>
  <c r="AS40" i="4"/>
  <c r="BN40" i="4"/>
  <c r="BM40" i="4"/>
  <c r="BT40" i="4"/>
  <c r="BP40" i="4"/>
  <c r="BO40" i="4"/>
  <c r="AZ40" i="4"/>
  <c r="BA40" i="4"/>
  <c r="CE40" i="4"/>
  <c r="AY40" i="4"/>
  <c r="CD40" i="4"/>
  <c r="AX40" i="4"/>
  <c r="CC40" i="4"/>
  <c r="AW40" i="4"/>
  <c r="CB40" i="4"/>
  <c r="AV40" i="4"/>
  <c r="CA40" i="4"/>
  <c r="BZ40" i="4"/>
  <c r="BY40" i="4"/>
  <c r="BX40" i="4"/>
  <c r="BW40" i="4"/>
  <c r="BB40" i="4"/>
  <c r="BV40" i="4"/>
  <c r="BU40" i="4"/>
  <c r="BL40" i="4"/>
  <c r="BK40" i="4"/>
  <c r="BJ40" i="4"/>
  <c r="BI40" i="4"/>
  <c r="BH40" i="4"/>
  <c r="BG40" i="4"/>
  <c r="BF40" i="4"/>
  <c r="BE40" i="4"/>
  <c r="BD40" i="4"/>
  <c r="BC40" i="4"/>
  <c r="CE55" i="4"/>
  <c r="BG55" i="4"/>
  <c r="CD55" i="4"/>
  <c r="BF55" i="4"/>
  <c r="CC55" i="4"/>
  <c r="BE55" i="4"/>
  <c r="BL55" i="4"/>
  <c r="BK55" i="4"/>
  <c r="BN55" i="4"/>
  <c r="BM55" i="4"/>
  <c r="BJ55" i="4"/>
  <c r="BI55" i="4"/>
  <c r="BH55" i="4"/>
  <c r="BD55" i="4"/>
  <c r="BB55" i="4"/>
  <c r="BA55" i="4"/>
  <c r="AZ55" i="4"/>
  <c r="AY55" i="4"/>
  <c r="AX55" i="4"/>
  <c r="AW55" i="4"/>
  <c r="AV55" i="4"/>
  <c r="AU55" i="4"/>
  <c r="BC55" i="4"/>
  <c r="AT55" i="4"/>
  <c r="CB55" i="4"/>
  <c r="AS55" i="4"/>
  <c r="CA55" i="4"/>
  <c r="BZ55" i="4"/>
  <c r="BY55" i="4"/>
  <c r="BX55" i="4"/>
  <c r="BW55" i="4"/>
  <c r="BV55" i="4"/>
  <c r="BU55" i="4"/>
  <c r="BT55" i="4"/>
  <c r="BS55" i="4"/>
  <c r="BR55" i="4"/>
  <c r="BO55" i="4"/>
  <c r="BQ55" i="4"/>
  <c r="BP55" i="4"/>
  <c r="BS28" i="4"/>
  <c r="AU28" i="4"/>
  <c r="BQ28" i="4"/>
  <c r="AS28" i="4"/>
  <c r="CB28" i="4"/>
  <c r="BB28" i="4"/>
  <c r="CA28" i="4"/>
  <c r="BA28" i="4"/>
  <c r="BN28" i="4"/>
  <c r="BM28" i="4"/>
  <c r="BL28" i="4"/>
  <c r="BV28" i="4"/>
  <c r="BU28" i="4"/>
  <c r="BT28" i="4"/>
  <c r="BW28" i="4"/>
  <c r="BR28" i="4"/>
  <c r="BP28" i="4"/>
  <c r="BO28" i="4"/>
  <c r="BK28" i="4"/>
  <c r="BJ28" i="4"/>
  <c r="BI28" i="4"/>
  <c r="BH28" i="4"/>
  <c r="BG28" i="4"/>
  <c r="BF28" i="4"/>
  <c r="BE28" i="4"/>
  <c r="BD28" i="4"/>
  <c r="BC28" i="4"/>
  <c r="AZ28" i="4"/>
  <c r="AY28" i="4"/>
  <c r="CE28" i="4"/>
  <c r="AX28" i="4"/>
  <c r="CD28" i="4"/>
  <c r="AW28" i="4"/>
  <c r="CC28" i="4"/>
  <c r="AV28" i="4"/>
  <c r="BZ28" i="4"/>
  <c r="AT28" i="4"/>
  <c r="BY28" i="4"/>
  <c r="BX28" i="4"/>
  <c r="BW41" i="4"/>
  <c r="AY41" i="4"/>
  <c r="BV41" i="4"/>
  <c r="AX41" i="4"/>
  <c r="BU41" i="4"/>
  <c r="AW41" i="4"/>
  <c r="CA41" i="4"/>
  <c r="AZ41" i="4"/>
  <c r="BZ41" i="4"/>
  <c r="AV41" i="4"/>
  <c r="BE41" i="4"/>
  <c r="BD41" i="4"/>
  <c r="BC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B41" i="4"/>
  <c r="BA41" i="4"/>
  <c r="AU41" i="4"/>
  <c r="CE41" i="4"/>
  <c r="AT41" i="4"/>
  <c r="CD41" i="4"/>
  <c r="AS41" i="4"/>
  <c r="CC41" i="4"/>
  <c r="CB41" i="4"/>
  <c r="BY41" i="4"/>
  <c r="BX41" i="4"/>
  <c r="BW29" i="4"/>
  <c r="AY29" i="4"/>
  <c r="BU29" i="4"/>
  <c r="AW29" i="4"/>
  <c r="BJ29" i="4"/>
  <c r="BI29" i="4"/>
  <c r="CB29" i="4"/>
  <c r="AZ29" i="4"/>
  <c r="CA29" i="4"/>
  <c r="AX29" i="4"/>
  <c r="BZ29" i="4"/>
  <c r="AV29" i="4"/>
  <c r="BK29" i="4"/>
  <c r="BH29" i="4"/>
  <c r="BM29" i="4"/>
  <c r="BG29" i="4"/>
  <c r="BF29" i="4"/>
  <c r="BE29" i="4"/>
  <c r="BD29" i="4"/>
  <c r="BC29" i="4"/>
  <c r="BB29" i="4"/>
  <c r="BA29" i="4"/>
  <c r="CE29" i="4"/>
  <c r="AU29" i="4"/>
  <c r="CD29" i="4"/>
  <c r="AT29" i="4"/>
  <c r="CC29" i="4"/>
  <c r="AS29" i="4"/>
  <c r="BY29" i="4"/>
  <c r="BX29" i="4"/>
  <c r="BV29" i="4"/>
  <c r="BT29" i="4"/>
  <c r="BS29" i="4"/>
  <c r="BR29" i="4"/>
  <c r="BQ29" i="4"/>
  <c r="BP29" i="4"/>
  <c r="BO29" i="4"/>
  <c r="BN29" i="4"/>
  <c r="BL29" i="4"/>
  <c r="CE31" i="4"/>
  <c r="BG31" i="4"/>
  <c r="CD31" i="4"/>
  <c r="BF31" i="4"/>
  <c r="CC31" i="4"/>
  <c r="BE31" i="4"/>
  <c r="CB31" i="4"/>
  <c r="BA31" i="4"/>
  <c r="CA31" i="4"/>
  <c r="AZ31" i="4"/>
  <c r="BY31" i="4"/>
  <c r="AV31" i="4"/>
  <c r="BX31" i="4"/>
  <c r="AU31" i="4"/>
  <c r="BW31" i="4"/>
  <c r="AT31" i="4"/>
  <c r="BS31" i="4"/>
  <c r="BR31" i="4"/>
  <c r="BT31" i="4"/>
  <c r="BQ31" i="4"/>
  <c r="BP31" i="4"/>
  <c r="BO31" i="4"/>
  <c r="BN31" i="4"/>
  <c r="BM31" i="4"/>
  <c r="BL31" i="4"/>
  <c r="BK31" i="4"/>
  <c r="BJ31" i="4"/>
  <c r="BI31" i="4"/>
  <c r="BH31" i="4"/>
  <c r="BD31" i="4"/>
  <c r="BC31" i="4"/>
  <c r="BB31" i="4"/>
  <c r="AY31" i="4"/>
  <c r="AX31" i="4"/>
  <c r="AW31" i="4"/>
  <c r="AS31" i="4"/>
  <c r="BZ31" i="4"/>
  <c r="BV31" i="4"/>
  <c r="BU31" i="4"/>
  <c r="CA42" i="4"/>
  <c r="BC42" i="4"/>
  <c r="BZ42" i="4"/>
  <c r="BB42" i="4"/>
  <c r="BY42" i="4"/>
  <c r="BA42" i="4"/>
  <c r="BJ42" i="4"/>
  <c r="BI42" i="4"/>
  <c r="BS42" i="4"/>
  <c r="BR42" i="4"/>
  <c r="BQ42" i="4"/>
  <c r="BM42" i="4"/>
  <c r="BL42" i="4"/>
  <c r="BN42" i="4"/>
  <c r="BK42" i="4"/>
  <c r="BH42" i="4"/>
  <c r="BG42" i="4"/>
  <c r="BF42" i="4"/>
  <c r="BE42" i="4"/>
  <c r="BD42" i="4"/>
  <c r="AZ42" i="4"/>
  <c r="AY42" i="4"/>
  <c r="AX42" i="4"/>
  <c r="AW42" i="4"/>
  <c r="CE42" i="4"/>
  <c r="AV42" i="4"/>
  <c r="CD42" i="4"/>
  <c r="AU42" i="4"/>
  <c r="CC42" i="4"/>
  <c r="AT42" i="4"/>
  <c r="CB42" i="4"/>
  <c r="AS42" i="4"/>
  <c r="BX42" i="4"/>
  <c r="BW42" i="4"/>
  <c r="BV42" i="4"/>
  <c r="BU42" i="4"/>
  <c r="BT42" i="4"/>
  <c r="BP42" i="4"/>
  <c r="BO42" i="4"/>
  <c r="BO21" i="4"/>
  <c r="BW21" i="4"/>
  <c r="AX21" i="4"/>
  <c r="BV21" i="4"/>
  <c r="AW21" i="4"/>
  <c r="BJ21" i="4"/>
  <c r="BI21" i="4"/>
  <c r="BH21" i="4"/>
  <c r="BG21" i="4"/>
  <c r="BF21" i="4"/>
  <c r="BE21" i="4"/>
  <c r="BD21" i="4"/>
  <c r="BC21" i="4"/>
  <c r="BB21" i="4"/>
  <c r="CE21" i="4"/>
  <c r="BA21" i="4"/>
  <c r="CD21" i="4"/>
  <c r="AZ21" i="4"/>
  <c r="CC21" i="4"/>
  <c r="AY21" i="4"/>
  <c r="CB21" i="4"/>
  <c r="AV21" i="4"/>
  <c r="CA21" i="4"/>
  <c r="AU21" i="4"/>
  <c r="BZ21" i="4"/>
  <c r="AT21" i="4"/>
  <c r="BY21" i="4"/>
  <c r="AS21" i="4"/>
  <c r="BX21" i="4"/>
  <c r="BU21" i="4"/>
  <c r="BL21" i="4"/>
  <c r="BK21" i="4"/>
  <c r="BT21" i="4"/>
  <c r="BS21" i="4"/>
  <c r="BR21" i="4"/>
  <c r="BQ21" i="4"/>
  <c r="BP21" i="4"/>
  <c r="BN21" i="4"/>
  <c r="BM21" i="4"/>
  <c r="BW23" i="4"/>
  <c r="AY23" i="4"/>
  <c r="BU23" i="4"/>
  <c r="AW23" i="4"/>
  <c r="BM23" i="4"/>
  <c r="BL23" i="4"/>
  <c r="BG23" i="4"/>
  <c r="BF23" i="4"/>
  <c r="BE23" i="4"/>
  <c r="BQ23" i="4"/>
  <c r="BP23" i="4"/>
  <c r="BO23" i="4"/>
  <c r="BN23" i="4"/>
  <c r="BK23" i="4"/>
  <c r="BJ23" i="4"/>
  <c r="BI23" i="4"/>
  <c r="BH23" i="4"/>
  <c r="BD23" i="4"/>
  <c r="BC23" i="4"/>
  <c r="BB23" i="4"/>
  <c r="BA23" i="4"/>
  <c r="CE23" i="4"/>
  <c r="AZ23" i="4"/>
  <c r="CD23" i="4"/>
  <c r="AX23" i="4"/>
  <c r="CC23" i="4"/>
  <c r="AV23" i="4"/>
  <c r="CB23" i="4"/>
  <c r="AU23" i="4"/>
  <c r="CA23" i="4"/>
  <c r="AT23" i="4"/>
  <c r="BZ23" i="4"/>
  <c r="AS23" i="4"/>
  <c r="BY23" i="4"/>
  <c r="BX23" i="4"/>
  <c r="BV23" i="4"/>
  <c r="BT23" i="4"/>
  <c r="BS23" i="4"/>
  <c r="BR23" i="4"/>
  <c r="AT3" i="4"/>
  <c r="BR3" i="4"/>
  <c r="BZ16" i="4"/>
  <c r="BB16" i="4"/>
  <c r="BY16" i="4"/>
  <c r="BA16" i="4"/>
  <c r="BT16" i="4"/>
  <c r="AT16" i="4"/>
  <c r="BS16" i="4"/>
  <c r="AS16" i="4"/>
  <c r="BR16" i="4"/>
  <c r="BW16" i="4"/>
  <c r="AV20" i="4"/>
  <c r="BY20" i="4"/>
  <c r="AS51" i="4"/>
  <c r="CC51" i="4"/>
  <c r="AT60" i="4"/>
  <c r="AT62" i="4"/>
  <c r="AU3" i="4"/>
  <c r="BS3" i="4"/>
  <c r="BC5" i="4"/>
  <c r="CA5" i="4"/>
  <c r="AU16" i="4"/>
  <c r="BX16" i="4"/>
  <c r="AW20" i="4"/>
  <c r="CC20" i="4"/>
  <c r="AT51" i="4"/>
  <c r="CD51" i="4"/>
  <c r="AU60" i="4"/>
  <c r="AU62" i="4"/>
  <c r="AV3" i="4"/>
  <c r="BT3" i="4"/>
  <c r="BD5" i="4"/>
  <c r="CB5" i="4"/>
  <c r="AV16" i="4"/>
  <c r="CA16" i="4"/>
  <c r="AX20" i="4"/>
  <c r="CD20" i="4"/>
  <c r="BU26" i="4"/>
  <c r="BT32" i="4"/>
  <c r="BT35" i="4"/>
  <c r="BV45" i="4"/>
  <c r="AW51" i="4"/>
  <c r="CE51" i="4"/>
  <c r="AW60" i="4"/>
  <c r="AV62" i="4"/>
  <c r="AW3" i="4"/>
  <c r="BU3" i="4"/>
  <c r="BE5" i="4"/>
  <c r="CC5" i="4"/>
  <c r="AW16" i="4"/>
  <c r="CB16" i="4"/>
  <c r="AY20" i="4"/>
  <c r="CE20" i="4"/>
  <c r="BU32" i="4"/>
  <c r="BX35" i="4"/>
  <c r="AX51" i="4"/>
  <c r="BS52" i="4"/>
  <c r="AU52" i="4"/>
  <c r="BR52" i="4"/>
  <c r="AT52" i="4"/>
  <c r="BQ52" i="4"/>
  <c r="AS52" i="4"/>
  <c r="BF52" i="4"/>
  <c r="BE52" i="4"/>
  <c r="BY52" i="4"/>
  <c r="AV52" i="4"/>
  <c r="BX52" i="4"/>
  <c r="BW52" i="4"/>
  <c r="BV52" i="4"/>
  <c r="BU52" i="4"/>
  <c r="BT52" i="4"/>
  <c r="CE52" i="4"/>
  <c r="AX60" i="4"/>
  <c r="AW62" i="4"/>
  <c r="BQ3" i="4"/>
  <c r="AX3" i="4"/>
  <c r="BV3" i="4"/>
  <c r="BF5" i="4"/>
  <c r="CD5" i="4"/>
  <c r="AX16" i="4"/>
  <c r="CC16" i="4"/>
  <c r="BC20" i="4"/>
  <c r="BK26" i="4"/>
  <c r="BI26" i="4"/>
  <c r="BM26" i="4"/>
  <c r="BL26" i="4"/>
  <c r="BS26" i="4"/>
  <c r="BR26" i="4"/>
  <c r="BQ26" i="4"/>
  <c r="BW26" i="4"/>
  <c r="BV32" i="4"/>
  <c r="BY35" i="4"/>
  <c r="BO45" i="4"/>
  <c r="BN45" i="4"/>
  <c r="BM45" i="4"/>
  <c r="BL45" i="4"/>
  <c r="BK45" i="4"/>
  <c r="BE45" i="4"/>
  <c r="BD45" i="4"/>
  <c r="BC45" i="4"/>
  <c r="BX45" i="4"/>
  <c r="AY51" i="4"/>
  <c r="AW52" i="4"/>
  <c r="BK60" i="4"/>
  <c r="AX62" i="4"/>
  <c r="CB51" i="4"/>
  <c r="AY3" i="4"/>
  <c r="BW3" i="4"/>
  <c r="BG5" i="4"/>
  <c r="CE5" i="4"/>
  <c r="AY16" i="4"/>
  <c r="CD16" i="4"/>
  <c r="BD20" i="4"/>
  <c r="AS26" i="4"/>
  <c r="BX26" i="4"/>
  <c r="AS45" i="4"/>
  <c r="BY45" i="4"/>
  <c r="AZ51" i="4"/>
  <c r="AX52" i="4"/>
  <c r="BL60" i="4"/>
  <c r="AY62" i="4"/>
  <c r="AZ3" i="4"/>
  <c r="BX3" i="4"/>
  <c r="AZ16" i="4"/>
  <c r="CE16" i="4"/>
  <c r="BE20" i="4"/>
  <c r="BY26" i="4"/>
  <c r="BK32" i="4"/>
  <c r="BJ32" i="4"/>
  <c r="BI32" i="4"/>
  <c r="BN32" i="4"/>
  <c r="BM32" i="4"/>
  <c r="BO32" i="4"/>
  <c r="BL32" i="4"/>
  <c r="BH32" i="4"/>
  <c r="BX32" i="4"/>
  <c r="BW35" i="4"/>
  <c r="AY35" i="4"/>
  <c r="BV35" i="4"/>
  <c r="AX35" i="4"/>
  <c r="BU35" i="4"/>
  <c r="AW35" i="4"/>
  <c r="BP35" i="4"/>
  <c r="BO35" i="4"/>
  <c r="CD35" i="4"/>
  <c r="BA35" i="4"/>
  <c r="CC35" i="4"/>
  <c r="AZ35" i="4"/>
  <c r="CB35" i="4"/>
  <c r="AV35" i="4"/>
  <c r="CA35" i="4"/>
  <c r="AT45" i="4"/>
  <c r="BZ45" i="4"/>
  <c r="BA51" i="4"/>
  <c r="AY52" i="4"/>
  <c r="BM60" i="4"/>
  <c r="BD62" i="4"/>
  <c r="BA3" i="4"/>
  <c r="BY3" i="4"/>
  <c r="BI5" i="4"/>
  <c r="BC16" i="4"/>
  <c r="BF20" i="4"/>
  <c r="AU26" i="4"/>
  <c r="BZ26" i="4"/>
  <c r="AS32" i="4"/>
  <c r="BY32" i="4"/>
  <c r="AS35" i="4"/>
  <c r="CE35" i="4"/>
  <c r="AU45" i="4"/>
  <c r="CA45" i="4"/>
  <c r="BS49" i="4"/>
  <c r="BB51" i="4"/>
  <c r="AZ52" i="4"/>
  <c r="BN60" i="4"/>
  <c r="BP3" i="4"/>
  <c r="BK62" i="4"/>
  <c r="BJ62" i="4"/>
  <c r="BI62" i="4"/>
  <c r="CD62" i="4"/>
  <c r="BC62" i="4"/>
  <c r="CC62" i="4"/>
  <c r="BB62" i="4"/>
  <c r="CB62" i="4"/>
  <c r="BA62" i="4"/>
  <c r="CA62" i="4"/>
  <c r="AZ62" i="4"/>
  <c r="BQ62" i="4"/>
  <c r="BP62" i="4"/>
  <c r="BO62" i="4"/>
  <c r="BN62" i="4"/>
  <c r="BM62" i="4"/>
  <c r="BL62" i="4"/>
  <c r="BH62" i="4"/>
  <c r="BF62" i="4"/>
  <c r="BB3" i="4"/>
  <c r="BZ3" i="4"/>
  <c r="BJ5" i="4"/>
  <c r="BD16" i="4"/>
  <c r="BG20" i="4"/>
  <c r="BP24" i="4"/>
  <c r="AV26" i="4"/>
  <c r="CA26" i="4"/>
  <c r="AT32" i="4"/>
  <c r="BZ32" i="4"/>
  <c r="AT35" i="4"/>
  <c r="BT36" i="4"/>
  <c r="AV45" i="4"/>
  <c r="CB45" i="4"/>
  <c r="BT49" i="4"/>
  <c r="BC51" i="4"/>
  <c r="BA52" i="4"/>
  <c r="BO60" i="4"/>
  <c r="BG62" i="4"/>
  <c r="BX20" i="4"/>
  <c r="AS62" i="4"/>
  <c r="BC3" i="4"/>
  <c r="CA3" i="4"/>
  <c r="BK5" i="4"/>
  <c r="BQ10" i="4"/>
  <c r="AS10" i="4"/>
  <c r="BP10" i="4"/>
  <c r="BO10" i="4"/>
  <c r="BT10" i="4"/>
  <c r="BV15" i="4"/>
  <c r="BM15" i="4"/>
  <c r="BL15" i="4"/>
  <c r="BK15" i="4"/>
  <c r="BS15" i="4"/>
  <c r="BE16" i="4"/>
  <c r="BN19" i="4"/>
  <c r="BM19" i="4"/>
  <c r="BT19" i="4"/>
  <c r="AT19" i="4"/>
  <c r="BS19" i="4"/>
  <c r="AS19" i="4"/>
  <c r="BR19" i="4"/>
  <c r="BW19" i="4"/>
  <c r="BV24" i="4"/>
  <c r="AW26" i="4"/>
  <c r="CB26" i="4"/>
  <c r="AU32" i="4"/>
  <c r="CA32" i="4"/>
  <c r="AU35" i="4"/>
  <c r="BU36" i="4"/>
  <c r="BO39" i="4"/>
  <c r="BN39" i="4"/>
  <c r="BM39" i="4"/>
  <c r="CE39" i="4"/>
  <c r="BD39" i="4"/>
  <c r="CD39" i="4"/>
  <c r="BC39" i="4"/>
  <c r="BA39" i="4"/>
  <c r="CC39" i="4"/>
  <c r="AZ39" i="4"/>
  <c r="CB39" i="4"/>
  <c r="AY39" i="4"/>
  <c r="BX39" i="4"/>
  <c r="AW45" i="4"/>
  <c r="CC45" i="4"/>
  <c r="BU49" i="4"/>
  <c r="BI51" i="4"/>
  <c r="BB52" i="4"/>
  <c r="BP60" i="4"/>
  <c r="BR62" i="4"/>
  <c r="CE69" i="4"/>
  <c r="BG69" i="4"/>
  <c r="CD69" i="4"/>
  <c r="BF69" i="4"/>
  <c r="CC69" i="4"/>
  <c r="BE69" i="4"/>
  <c r="CB69" i="4"/>
  <c r="BA69" i="4"/>
  <c r="CA69" i="4"/>
  <c r="AZ69" i="4"/>
  <c r="BZ69" i="4"/>
  <c r="AY69" i="4"/>
  <c r="BY69" i="4"/>
  <c r="AX69" i="4"/>
  <c r="BT69" i="4"/>
  <c r="BS69" i="4"/>
  <c r="BX69" i="4"/>
  <c r="BW69" i="4"/>
  <c r="BV69" i="4"/>
  <c r="BU69" i="4"/>
  <c r="BR69" i="4"/>
  <c r="BQ69" i="4"/>
  <c r="BP69" i="4"/>
  <c r="BN69" i="4"/>
  <c r="BM69" i="4"/>
  <c r="BL69" i="4"/>
  <c r="BK69" i="4"/>
  <c r="BR20" i="4"/>
  <c r="AT20" i="4"/>
  <c r="BQ20" i="4"/>
  <c r="AS20" i="4"/>
  <c r="CB20" i="4"/>
  <c r="BB20" i="4"/>
  <c r="CA20" i="4"/>
  <c r="BA20" i="4"/>
  <c r="BZ20" i="4"/>
  <c r="AZ20" i="4"/>
  <c r="BD3" i="4"/>
  <c r="CB3" i="4"/>
  <c r="BL5" i="4"/>
  <c r="AT10" i="4"/>
  <c r="BU10" i="4"/>
  <c r="AS15" i="4"/>
  <c r="BT15" i="4"/>
  <c r="BF16" i="4"/>
  <c r="AU19" i="4"/>
  <c r="BX19" i="4"/>
  <c r="BI20" i="4"/>
  <c r="BW24" i="4"/>
  <c r="AX26" i="4"/>
  <c r="CC26" i="4"/>
  <c r="AV32" i="4"/>
  <c r="CB32" i="4"/>
  <c r="BB35" i="4"/>
  <c r="BV36" i="4"/>
  <c r="AS39" i="4"/>
  <c r="BY39" i="4"/>
  <c r="AX45" i="4"/>
  <c r="CD45" i="4"/>
  <c r="BV49" i="4"/>
  <c r="BJ51" i="4"/>
  <c r="BC52" i="4"/>
  <c r="CA54" i="4"/>
  <c r="BC54" i="4"/>
  <c r="BZ54" i="4"/>
  <c r="BB54" i="4"/>
  <c r="BY54" i="4"/>
  <c r="BA54" i="4"/>
  <c r="CC54" i="4"/>
  <c r="AY54" i="4"/>
  <c r="CB54" i="4"/>
  <c r="AX54" i="4"/>
  <c r="BX54" i="4"/>
  <c r="AU54" i="4"/>
  <c r="BW54" i="4"/>
  <c r="AT54" i="4"/>
  <c r="BV54" i="4"/>
  <c r="AS54" i="4"/>
  <c r="BU54" i="4"/>
  <c r="BT54" i="4"/>
  <c r="BS54" i="4"/>
  <c r="BS62" i="4"/>
  <c r="AS69" i="4"/>
  <c r="CG69" i="4" s="1"/>
  <c r="CH69" i="4" s="1"/>
  <c r="CA60" i="4"/>
  <c r="BC60" i="4"/>
  <c r="BZ60" i="4"/>
  <c r="BB60" i="4"/>
  <c r="BY60" i="4"/>
  <c r="BA60" i="4"/>
  <c r="BJ60" i="4"/>
  <c r="BI60" i="4"/>
  <c r="BG60" i="4"/>
  <c r="BH60" i="4"/>
  <c r="BF60" i="4"/>
  <c r="BE60" i="4"/>
  <c r="BD60" i="4"/>
  <c r="AZ60" i="4"/>
  <c r="AY60" i="4"/>
  <c r="CC60" i="4"/>
  <c r="AV60" i="4"/>
  <c r="BE3" i="4"/>
  <c r="CC3" i="4"/>
  <c r="BM5" i="4"/>
  <c r="AU10" i="4"/>
  <c r="BV10" i="4"/>
  <c r="AT15" i="4"/>
  <c r="BU15" i="4"/>
  <c r="BG16" i="4"/>
  <c r="AV19" i="4"/>
  <c r="BY19" i="4"/>
  <c r="BJ20" i="4"/>
  <c r="AY26" i="4"/>
  <c r="CD26" i="4"/>
  <c r="AW32" i="4"/>
  <c r="CC32" i="4"/>
  <c r="BC35" i="4"/>
  <c r="AT39" i="4"/>
  <c r="BZ39" i="4"/>
  <c r="AY45" i="4"/>
  <c r="CE45" i="4"/>
  <c r="BW49" i="4"/>
  <c r="BK51" i="4"/>
  <c r="BD52" i="4"/>
  <c r="AV54" i="4"/>
  <c r="BR60" i="4"/>
  <c r="BT62" i="4"/>
  <c r="AT69" i="4"/>
  <c r="AS60" i="4"/>
  <c r="BF3" i="4"/>
  <c r="CD3" i="4"/>
  <c r="BN5" i="4"/>
  <c r="BH16" i="4"/>
  <c r="BK20" i="4"/>
  <c r="CA24" i="4"/>
  <c r="BC24" i="4"/>
  <c r="BY24" i="4"/>
  <c r="BA24" i="4"/>
  <c r="BU24" i="4"/>
  <c r="AU24" i="4"/>
  <c r="BT24" i="4"/>
  <c r="AT24" i="4"/>
  <c r="BS24" i="4"/>
  <c r="BR24" i="4"/>
  <c r="BQ24" i="4"/>
  <c r="BZ24" i="4"/>
  <c r="AZ26" i="4"/>
  <c r="CE26" i="4"/>
  <c r="AX32" i="4"/>
  <c r="CD32" i="4"/>
  <c r="BD35" i="4"/>
  <c r="CA36" i="4"/>
  <c r="BC36" i="4"/>
  <c r="BZ36" i="4"/>
  <c r="BB36" i="4"/>
  <c r="BY36" i="4"/>
  <c r="BA36" i="4"/>
  <c r="CC36" i="4"/>
  <c r="AY36" i="4"/>
  <c r="CB36" i="4"/>
  <c r="AX36" i="4"/>
  <c r="BO36" i="4"/>
  <c r="BN36" i="4"/>
  <c r="BM36" i="4"/>
  <c r="BX36" i="4"/>
  <c r="AZ45" i="4"/>
  <c r="BX49" i="4"/>
  <c r="BL51" i="4"/>
  <c r="BG52" i="4"/>
  <c r="AW54" i="4"/>
  <c r="BS60" i="4"/>
  <c r="BU62" i="4"/>
  <c r="AU69" i="4"/>
  <c r="BG3" i="4"/>
  <c r="CE3" i="4"/>
  <c r="BO5" i="4"/>
  <c r="AW10" i="4"/>
  <c r="BX10" i="4"/>
  <c r="AV15" i="4"/>
  <c r="BX15" i="4"/>
  <c r="BI16" i="4"/>
  <c r="AX19" i="4"/>
  <c r="CA19" i="4"/>
  <c r="BL20" i="4"/>
  <c r="AS24" i="4"/>
  <c r="CB24" i="4"/>
  <c r="BA26" i="4"/>
  <c r="AY32" i="4"/>
  <c r="CE32" i="4"/>
  <c r="BE35" i="4"/>
  <c r="AS36" i="4"/>
  <c r="CD36" i="4"/>
  <c r="AV39" i="4"/>
  <c r="CE43" i="4"/>
  <c r="BG43" i="4"/>
  <c r="CD43" i="4"/>
  <c r="BF43" i="4"/>
  <c r="CC43" i="4"/>
  <c r="BE43" i="4"/>
  <c r="BT43" i="4"/>
  <c r="AS43" i="4"/>
  <c r="BS43" i="4"/>
  <c r="BD43" i="4"/>
  <c r="BC43" i="4"/>
  <c r="BB43" i="4"/>
  <c r="BY43" i="4"/>
  <c r="BA45" i="4"/>
  <c r="BP51" i="4"/>
  <c r="BH52" i="4"/>
  <c r="AZ54" i="4"/>
  <c r="BT60" i="4"/>
  <c r="BV62" i="4"/>
  <c r="AV69" i="4"/>
  <c r="BH3" i="4"/>
  <c r="BP5" i="4"/>
  <c r="BJ16" i="4"/>
  <c r="BM20" i="4"/>
  <c r="AZ32" i="4"/>
  <c r="BF35" i="4"/>
  <c r="BB45" i="4"/>
  <c r="CE49" i="4"/>
  <c r="BG49" i="4"/>
  <c r="CD49" i="4"/>
  <c r="BF49" i="4"/>
  <c r="CC49" i="4"/>
  <c r="BE49" i="4"/>
  <c r="CB49" i="4"/>
  <c r="BA49" i="4"/>
  <c r="CA49" i="4"/>
  <c r="AZ49" i="4"/>
  <c r="BJ49" i="4"/>
  <c r="BI49" i="4"/>
  <c r="BH49" i="4"/>
  <c r="BD49" i="4"/>
  <c r="BC49" i="4"/>
  <c r="BZ49" i="4"/>
  <c r="BQ51" i="4"/>
  <c r="BI52" i="4"/>
  <c r="BU60" i="4"/>
  <c r="BW62" i="4"/>
  <c r="BI3" i="4"/>
  <c r="AS5" i="4"/>
  <c r="BQ5" i="4"/>
  <c r="BK16" i="4"/>
  <c r="BN20" i="4"/>
  <c r="AW24" i="4"/>
  <c r="CD24" i="4"/>
  <c r="BC26" i="4"/>
  <c r="BA32" i="4"/>
  <c r="BG35" i="4"/>
  <c r="AU36" i="4"/>
  <c r="BF45" i="4"/>
  <c r="AS49" i="4"/>
  <c r="BJ52" i="4"/>
  <c r="BV60" i="4"/>
  <c r="BX62" i="4"/>
  <c r="BB69" i="4"/>
  <c r="BO51" i="4"/>
  <c r="BN51" i="4"/>
  <c r="BM51" i="4"/>
  <c r="BW51" i="4"/>
  <c r="AV51" i="4"/>
  <c r="BV51" i="4"/>
  <c r="AU51" i="4"/>
  <c r="BH51" i="4"/>
  <c r="BG51" i="4"/>
  <c r="BF51" i="4"/>
  <c r="BE51" i="4"/>
  <c r="BD51" i="4"/>
  <c r="BJ3" i="4"/>
  <c r="AT5" i="4"/>
  <c r="BR5" i="4"/>
  <c r="AZ10" i="4"/>
  <c r="CA10" i="4"/>
  <c r="AY15" i="4"/>
  <c r="CA15" i="4"/>
  <c r="BL16" i="4"/>
  <c r="BA19" i="4"/>
  <c r="CD19" i="4"/>
  <c r="BO20" i="4"/>
  <c r="AX24" i="4"/>
  <c r="CE24" i="4"/>
  <c r="BD26" i="4"/>
  <c r="BO27" i="4"/>
  <c r="BM27" i="4"/>
  <c r="BT27" i="4"/>
  <c r="AT27" i="4"/>
  <c r="BS27" i="4"/>
  <c r="AS27" i="4"/>
  <c r="CD27" i="4"/>
  <c r="BB27" i="4"/>
  <c r="CC27" i="4"/>
  <c r="BA27" i="4"/>
  <c r="CB27" i="4"/>
  <c r="AZ27" i="4"/>
  <c r="BY27" i="4"/>
  <c r="CA30" i="4"/>
  <c r="BC30" i="4"/>
  <c r="BZ30" i="4"/>
  <c r="BY30" i="4"/>
  <c r="BA30" i="4"/>
  <c r="BR30" i="4"/>
  <c r="BQ30" i="4"/>
  <c r="BK30" i="4"/>
  <c r="BJ30" i="4"/>
  <c r="BI30" i="4"/>
  <c r="BW30" i="4"/>
  <c r="BB32" i="4"/>
  <c r="BO33" i="4"/>
  <c r="BN33" i="4"/>
  <c r="BM33" i="4"/>
  <c r="BW33" i="4"/>
  <c r="AV33" i="4"/>
  <c r="BV33" i="4"/>
  <c r="AU33" i="4"/>
  <c r="CB33" i="4"/>
  <c r="AY33" i="4"/>
  <c r="CA33" i="4"/>
  <c r="AX33" i="4"/>
  <c r="BZ33" i="4"/>
  <c r="AW33" i="4"/>
  <c r="CC33" i="4"/>
  <c r="BH35" i="4"/>
  <c r="AV36" i="4"/>
  <c r="BB39" i="4"/>
  <c r="AV43" i="4"/>
  <c r="CB43" i="4"/>
  <c r="BG45" i="4"/>
  <c r="AT49" i="4"/>
  <c r="CA50" i="4"/>
  <c r="BS51" i="4"/>
  <c r="BK52" i="4"/>
  <c r="BF54" i="4"/>
  <c r="BK56" i="4"/>
  <c r="BJ56" i="4"/>
  <c r="BI56" i="4"/>
  <c r="BV56" i="4"/>
  <c r="AU56" i="4"/>
  <c r="BU56" i="4"/>
  <c r="AT56" i="4"/>
  <c r="CB56" i="4"/>
  <c r="AY56" i="4"/>
  <c r="CA56" i="4"/>
  <c r="AX56" i="4"/>
  <c r="BZ56" i="4"/>
  <c r="AW56" i="4"/>
  <c r="BY56" i="4"/>
  <c r="AV56" i="4"/>
  <c r="BX56" i="4"/>
  <c r="AS56" i="4"/>
  <c r="BW56" i="4"/>
  <c r="BO57" i="4"/>
  <c r="BN57" i="4"/>
  <c r="BM57" i="4"/>
  <c r="CE57" i="4"/>
  <c r="BD57" i="4"/>
  <c r="CD57" i="4"/>
  <c r="BC57" i="4"/>
  <c r="CB57" i="4"/>
  <c r="BA57" i="4"/>
  <c r="BP57" i="4"/>
  <c r="BL57" i="4"/>
  <c r="BK57" i="4"/>
  <c r="BJ57" i="4"/>
  <c r="BI57" i="4"/>
  <c r="BH57" i="4"/>
  <c r="CC57" i="4"/>
  <c r="BW60" i="4"/>
  <c r="BY62" i="4"/>
  <c r="BC69" i="4"/>
  <c r="BK3" i="4"/>
  <c r="AU5" i="4"/>
  <c r="BS5" i="4"/>
  <c r="BM9" i="4"/>
  <c r="BL9" i="4"/>
  <c r="BK9" i="4"/>
  <c r="BS9" i="4"/>
  <c r="BA10" i="4"/>
  <c r="CB10" i="4"/>
  <c r="AZ15" i="4"/>
  <c r="CB15" i="4"/>
  <c r="BM16" i="4"/>
  <c r="BB19" i="4"/>
  <c r="CE19" i="4"/>
  <c r="BP20" i="4"/>
  <c r="AY24" i="4"/>
  <c r="BE26" i="4"/>
  <c r="BZ27" i="4"/>
  <c r="BC32" i="4"/>
  <c r="BI35" i="4"/>
  <c r="AW36" i="4"/>
  <c r="BE39" i="4"/>
  <c r="AW43" i="4"/>
  <c r="BH45" i="4"/>
  <c r="AU49" i="4"/>
  <c r="BT51" i="4"/>
  <c r="BL52" i="4"/>
  <c r="BG54" i="4"/>
  <c r="AZ56" i="4"/>
  <c r="AS57" i="4"/>
  <c r="BX60" i="4"/>
  <c r="BZ62" i="4"/>
  <c r="BS64" i="4"/>
  <c r="AU64" i="4"/>
  <c r="BR64" i="4"/>
  <c r="AT64" i="4"/>
  <c r="BQ64" i="4"/>
  <c r="AS64" i="4"/>
  <c r="BY64" i="4"/>
  <c r="AX64" i="4"/>
  <c r="BX64" i="4"/>
  <c r="AW64" i="4"/>
  <c r="BW64" i="4"/>
  <c r="AV64" i="4"/>
  <c r="BV64" i="4"/>
  <c r="CB64" i="4"/>
  <c r="CA64" i="4"/>
  <c r="BZ64" i="4"/>
  <c r="BU64" i="4"/>
  <c r="BT64" i="4"/>
  <c r="BP64" i="4"/>
  <c r="BO64" i="4"/>
  <c r="BM64" i="4"/>
  <c r="BD69" i="4"/>
  <c r="BL3" i="4"/>
  <c r="AV5" i="4"/>
  <c r="BT5" i="4"/>
  <c r="AS9" i="4"/>
  <c r="BT9" i="4"/>
  <c r="BB10" i="4"/>
  <c r="CC10" i="4"/>
  <c r="BA15" i="4"/>
  <c r="CC15" i="4"/>
  <c r="BN16" i="4"/>
  <c r="BC19" i="4"/>
  <c r="BS20" i="4"/>
  <c r="AZ24" i="4"/>
  <c r="BF26" i="4"/>
  <c r="CA27" i="4"/>
  <c r="BD32" i="4"/>
  <c r="BJ35" i="4"/>
  <c r="AZ36" i="4"/>
  <c r="BF39" i="4"/>
  <c r="AX43" i="4"/>
  <c r="BI45" i="4"/>
  <c r="AV49" i="4"/>
  <c r="BK50" i="4"/>
  <c r="BJ50" i="4"/>
  <c r="BI50" i="4"/>
  <c r="BN50" i="4"/>
  <c r="BM50" i="4"/>
  <c r="BX50" i="4"/>
  <c r="AU50" i="4"/>
  <c r="BW50" i="4"/>
  <c r="AT50" i="4"/>
  <c r="BV50" i="4"/>
  <c r="AS50" i="4"/>
  <c r="BU50" i="4"/>
  <c r="BT50" i="4"/>
  <c r="CC50" i="4"/>
  <c r="BU51" i="4"/>
  <c r="BM52" i="4"/>
  <c r="BH54" i="4"/>
  <c r="BA56" i="4"/>
  <c r="CB60" i="4"/>
  <c r="CE62" i="4"/>
  <c r="AY64" i="4"/>
  <c r="BH69" i="4"/>
  <c r="BM3" i="4"/>
  <c r="AW5" i="4"/>
  <c r="BU5" i="4"/>
  <c r="AT9" i="4"/>
  <c r="BU9" i="4"/>
  <c r="BC10" i="4"/>
  <c r="CD10" i="4"/>
  <c r="BB15" i="4"/>
  <c r="CD15" i="4"/>
  <c r="BO16" i="4"/>
  <c r="BD19" i="4"/>
  <c r="BT20" i="4"/>
  <c r="BS22" i="4"/>
  <c r="AU22" i="4"/>
  <c r="BQ22" i="4"/>
  <c r="AS22" i="4"/>
  <c r="CE22" i="4"/>
  <c r="BE22" i="4"/>
  <c r="CD22" i="4"/>
  <c r="BD22" i="4"/>
  <c r="BW22" i="4"/>
  <c r="AT22" i="4"/>
  <c r="BV22" i="4"/>
  <c r="BU22" i="4"/>
  <c r="BZ22" i="4"/>
  <c r="BB24" i="4"/>
  <c r="BG26" i="4"/>
  <c r="AW27" i="4"/>
  <c r="CE27" i="4"/>
  <c r="AU30" i="4"/>
  <c r="CC30" i="4"/>
  <c r="BE32" i="4"/>
  <c r="AZ33" i="4"/>
  <c r="BK35" i="4"/>
  <c r="BD36" i="4"/>
  <c r="BG39" i="4"/>
  <c r="AY43" i="4"/>
  <c r="BJ45" i="4"/>
  <c r="AW49" i="4"/>
  <c r="AV50" i="4"/>
  <c r="CD50" i="4"/>
  <c r="BX51" i="4"/>
  <c r="BN52" i="4"/>
  <c r="BI54" i="4"/>
  <c r="BB56" i="4"/>
  <c r="AU57" i="4"/>
  <c r="CD60" i="4"/>
  <c r="AZ64" i="4"/>
  <c r="BI69" i="4"/>
  <c r="BW20" i="4"/>
  <c r="AS3" i="4"/>
  <c r="AU20" i="4"/>
  <c r="BN3" i="4"/>
  <c r="AX5" i="4"/>
  <c r="BV5" i="4"/>
  <c r="AU9" i="4"/>
  <c r="BV9" i="4"/>
  <c r="BD10" i="4"/>
  <c r="CE10" i="4"/>
  <c r="BC15" i="4"/>
  <c r="CE15" i="4"/>
  <c r="BP16" i="4"/>
  <c r="BE19" i="4"/>
  <c r="BU20" i="4"/>
  <c r="AV22" i="4"/>
  <c r="CA22" i="4"/>
  <c r="BD24" i="4"/>
  <c r="BH26" i="4"/>
  <c r="AX27" i="4"/>
  <c r="AV30" i="4"/>
  <c r="CD30" i="4"/>
  <c r="BF32" i="4"/>
  <c r="BA33" i="4"/>
  <c r="BL35" i="4"/>
  <c r="BE36" i="4"/>
  <c r="BH39" i="4"/>
  <c r="AZ43" i="4"/>
  <c r="BP45" i="4"/>
  <c r="AX49" i="4"/>
  <c r="AW50" i="4"/>
  <c r="CE50" i="4"/>
  <c r="BY51" i="4"/>
  <c r="BO52" i="4"/>
  <c r="BJ54" i="4"/>
  <c r="BC56" i="4"/>
  <c r="AV57" i="4"/>
  <c r="CE60" i="4"/>
  <c r="BA64" i="4"/>
  <c r="BJ69" i="4"/>
  <c r="AY5" i="4"/>
  <c r="AV9" i="4"/>
  <c r="BW9" i="4"/>
  <c r="BE10" i="4"/>
  <c r="BD15" i="4"/>
  <c r="BQ16" i="4"/>
  <c r="BF19" i="4"/>
  <c r="BV20" i="4"/>
  <c r="AW22" i="4"/>
  <c r="CB22" i="4"/>
  <c r="BE24" i="4"/>
  <c r="BJ26" i="4"/>
  <c r="AY27" i="4"/>
  <c r="AW30" i="4"/>
  <c r="CE30" i="4"/>
  <c r="BG32" i="4"/>
  <c r="BB33" i="4"/>
  <c r="BM35" i="4"/>
  <c r="BF36" i="4"/>
  <c r="BI39" i="4"/>
  <c r="BA43" i="4"/>
  <c r="BQ45" i="4"/>
  <c r="AY49" i="4"/>
  <c r="AX50" i="4"/>
  <c r="BZ51" i="4"/>
  <c r="BP52" i="4"/>
  <c r="BK54" i="4"/>
  <c r="BD56" i="4"/>
  <c r="AW57" i="4"/>
  <c r="BO63" i="4"/>
  <c r="BN63" i="4"/>
  <c r="BM63" i="4"/>
  <c r="BL63" i="4"/>
  <c r="BK63" i="4"/>
  <c r="BJ63" i="4"/>
  <c r="BI63" i="4"/>
  <c r="BC63" i="4"/>
  <c r="BB63" i="4"/>
  <c r="BA63" i="4"/>
  <c r="CE63" i="4"/>
  <c r="AZ63" i="4"/>
  <c r="CD63" i="4"/>
  <c r="AY63" i="4"/>
  <c r="CC63" i="4"/>
  <c r="AX63" i="4"/>
  <c r="CB63" i="4"/>
  <c r="AW63" i="4"/>
  <c r="BZ63" i="4"/>
  <c r="AU63" i="4"/>
  <c r="BB64" i="4"/>
  <c r="BO69" i="4"/>
  <c r="CA68" i="4"/>
  <c r="BC68" i="4"/>
  <c r="BZ68" i="4"/>
  <c r="BB68" i="4"/>
  <c r="BY68" i="4"/>
  <c r="BA68" i="4"/>
  <c r="BR68" i="4"/>
  <c r="BQ68" i="4"/>
  <c r="BP68" i="4"/>
  <c r="BO68" i="4"/>
  <c r="BW68" i="4"/>
  <c r="AS68" i="4"/>
  <c r="CG68" i="4" s="1"/>
  <c r="CH68" i="4" s="1"/>
  <c r="BX68" i="4"/>
  <c r="AU68" i="4"/>
  <c r="CC68" i="4"/>
  <c r="AV68" i="4"/>
  <c r="CD68" i="4"/>
  <c r="AW68" i="4"/>
  <c r="CE68" i="4"/>
  <c r="CE61" i="4"/>
  <c r="BG61" i="4"/>
  <c r="CD61" i="4"/>
  <c r="BF61" i="4"/>
  <c r="CC61" i="4"/>
  <c r="BE61" i="4"/>
  <c r="BT61" i="4"/>
  <c r="AS61" i="4"/>
  <c r="BS61" i="4"/>
  <c r="BR61" i="4"/>
  <c r="BQ61" i="4"/>
  <c r="BX61" i="4"/>
  <c r="AX68" i="4"/>
  <c r="BS44" i="4"/>
  <c r="AT61" i="4"/>
  <c r="BY61" i="4"/>
  <c r="AY68" i="4"/>
  <c r="CA48" i="4"/>
  <c r="BC48" i="4"/>
  <c r="BZ48" i="4"/>
  <c r="BB48" i="4"/>
  <c r="BY48" i="4"/>
  <c r="BA48" i="4"/>
  <c r="BR48" i="4"/>
  <c r="BQ48" i="4"/>
  <c r="BU48" i="4"/>
  <c r="AU61" i="4"/>
  <c r="BZ61" i="4"/>
  <c r="AZ68" i="4"/>
  <c r="BK44" i="4"/>
  <c r="BJ44" i="4"/>
  <c r="BI44" i="4"/>
  <c r="CD44" i="4"/>
  <c r="BC44" i="4"/>
  <c r="CC44" i="4"/>
  <c r="BB44" i="4"/>
  <c r="BU44" i="4"/>
  <c r="BV48" i="4"/>
  <c r="AV61" i="4"/>
  <c r="CA61" i="4"/>
  <c r="BD68" i="4"/>
  <c r="BI69" i="3"/>
  <c r="BH69" i="3"/>
  <c r="CE69" i="3"/>
  <c r="BG69" i="3"/>
  <c r="CD69" i="3"/>
  <c r="BF69" i="3"/>
  <c r="CC69" i="3"/>
  <c r="BE69" i="3"/>
  <c r="CB69" i="3"/>
  <c r="BD69" i="3"/>
  <c r="CA69" i="3"/>
  <c r="BC69" i="3"/>
  <c r="BZ69" i="3"/>
  <c r="BB69" i="3"/>
  <c r="BY69" i="3"/>
  <c r="BA69" i="3"/>
  <c r="BX69" i="3"/>
  <c r="AZ69" i="3"/>
  <c r="BW69" i="3"/>
  <c r="AY69" i="3"/>
  <c r="BV69" i="3"/>
  <c r="AX69" i="3"/>
  <c r="BU69" i="3"/>
  <c r="AW69" i="3"/>
  <c r="BT69" i="3"/>
  <c r="AV69" i="3"/>
  <c r="BS69" i="3"/>
  <c r="AU69" i="3"/>
  <c r="BR69" i="3"/>
  <c r="AT69" i="3"/>
  <c r="BQ69" i="3"/>
  <c r="AS69" i="3"/>
  <c r="BP69" i="3"/>
  <c r="BO69" i="3"/>
  <c r="BN69" i="3"/>
  <c r="BM69" i="3"/>
  <c r="BL69" i="3"/>
  <c r="BK69" i="3"/>
  <c r="BJ69" i="3"/>
  <c r="BJ68" i="3"/>
  <c r="BI68" i="3"/>
  <c r="BH68" i="3"/>
  <c r="CE68" i="3"/>
  <c r="BG68" i="3"/>
  <c r="CD68" i="3"/>
  <c r="BF68" i="3"/>
  <c r="CC68" i="3"/>
  <c r="BE68" i="3"/>
  <c r="CB68" i="3"/>
  <c r="BD68" i="3"/>
  <c r="CA68" i="3"/>
  <c r="BC68" i="3"/>
  <c r="BZ68" i="3"/>
  <c r="BB68" i="3"/>
  <c r="BY68" i="3"/>
  <c r="BA68" i="3"/>
  <c r="BX68" i="3"/>
  <c r="AZ68" i="3"/>
  <c r="BW68" i="3"/>
  <c r="AY68" i="3"/>
  <c r="BV68" i="3"/>
  <c r="AX68" i="3"/>
  <c r="BU68" i="3"/>
  <c r="AW68" i="3"/>
  <c r="BT68" i="3"/>
  <c r="AV68" i="3"/>
  <c r="BS68" i="3"/>
  <c r="AU68" i="3"/>
  <c r="BR68" i="3"/>
  <c r="AT68" i="3"/>
  <c r="BQ68" i="3"/>
  <c r="AS68" i="3"/>
  <c r="BP68" i="3"/>
  <c r="BO68" i="3"/>
  <c r="BN68" i="3"/>
  <c r="BM68" i="3"/>
  <c r="BL68" i="3"/>
  <c r="BK68" i="3"/>
  <c r="CJ57" i="6" l="1"/>
  <c r="CJ41" i="6"/>
  <c r="CJ64" i="6"/>
  <c r="CJ59" i="6"/>
  <c r="CJ46" i="6"/>
  <c r="CJ50" i="5"/>
  <c r="CJ61" i="5"/>
  <c r="CG43" i="5"/>
  <c r="CH43" i="5" s="1"/>
  <c r="CJ58" i="5"/>
  <c r="CJ47" i="5"/>
  <c r="CJ44" i="5"/>
  <c r="CJ59" i="5"/>
  <c r="CJ56" i="5"/>
  <c r="CG49" i="5"/>
  <c r="CH49" i="5" s="1"/>
  <c r="CJ55" i="5"/>
  <c r="CJ63" i="5"/>
  <c r="CJ62" i="4"/>
  <c r="CJ41" i="4"/>
  <c r="CJ56" i="4"/>
  <c r="CJ47" i="4"/>
  <c r="CG61" i="4"/>
  <c r="CH61" i="4" s="1"/>
  <c r="CG44" i="4"/>
  <c r="CH44" i="4" s="1"/>
  <c r="CJ57" i="4"/>
  <c r="CJ43" i="4"/>
  <c r="CG63" i="4"/>
  <c r="CH63" i="4" s="1"/>
  <c r="CJ53" i="4"/>
  <c r="CJ59" i="4"/>
  <c r="CJ58" i="4"/>
  <c r="CJ50" i="4"/>
  <c r="CG48" i="4"/>
  <c r="CH48" i="4" s="1"/>
  <c r="CG14" i="6"/>
  <c r="CH14" i="6" s="1"/>
  <c r="CG8" i="6"/>
  <c r="CH8" i="6" s="1"/>
  <c r="CJ20" i="6"/>
  <c r="CG21" i="6"/>
  <c r="CH21" i="6" s="1"/>
  <c r="CG32" i="6"/>
  <c r="CH32" i="6" s="1"/>
  <c r="CG28" i="6"/>
  <c r="CH28" i="6" s="1"/>
  <c r="CJ17" i="6"/>
  <c r="CG18" i="6"/>
  <c r="CH18" i="6" s="1"/>
  <c r="CJ34" i="6"/>
  <c r="CJ30" i="6"/>
  <c r="CG2" i="6"/>
  <c r="CH2" i="6" s="1"/>
  <c r="CJ3" i="5"/>
  <c r="CJ24" i="5"/>
  <c r="CJ31" i="5"/>
  <c r="CJ12" i="5"/>
  <c r="CJ29" i="5"/>
  <c r="CJ32" i="5"/>
  <c r="CJ30" i="5"/>
  <c r="CJ21" i="5"/>
  <c r="CG26" i="5"/>
  <c r="CH26" i="5" s="1"/>
  <c r="CG30" i="5"/>
  <c r="CH30" i="5" s="1"/>
  <c r="CG22" i="5"/>
  <c r="CH22" i="5" s="1"/>
  <c r="CJ33" i="5"/>
  <c r="CJ18" i="5"/>
  <c r="CJ37" i="5"/>
  <c r="CJ8" i="5"/>
  <c r="CG31" i="5"/>
  <c r="CH31" i="5" s="1"/>
  <c r="CJ34" i="5"/>
  <c r="CJ33" i="4"/>
  <c r="CJ38" i="4"/>
  <c r="CJ22" i="4"/>
  <c r="CJ17" i="4"/>
  <c r="CJ7" i="4"/>
  <c r="CG33" i="4"/>
  <c r="CH33" i="4" s="1"/>
  <c r="CJ24" i="4"/>
  <c r="CJ25" i="4"/>
  <c r="CG32" i="4"/>
  <c r="CH32" i="4" s="1"/>
  <c r="CG30" i="4"/>
  <c r="CH30" i="4" s="1"/>
  <c r="CJ10" i="4"/>
  <c r="CJ27" i="4"/>
  <c r="CJ2" i="4"/>
  <c r="CG24" i="6"/>
  <c r="CH24" i="6" s="1"/>
  <c r="CG3" i="6"/>
  <c r="CH3" i="6" s="1"/>
  <c r="CJ29" i="6"/>
  <c r="CG29" i="6"/>
  <c r="CH29" i="6" s="1"/>
  <c r="CG6" i="6"/>
  <c r="CH6" i="6" s="1"/>
  <c r="CJ6" i="6"/>
  <c r="CJ23" i="6"/>
  <c r="CG23" i="6"/>
  <c r="CH23" i="6" s="1"/>
  <c r="CG39" i="6"/>
  <c r="CH39" i="6" s="1"/>
  <c r="CJ39" i="6"/>
  <c r="CJ19" i="6"/>
  <c r="CG19" i="6"/>
  <c r="CH19" i="6" s="1"/>
  <c r="CG44" i="6"/>
  <c r="CH44" i="6" s="1"/>
  <c r="CG47" i="6"/>
  <c r="CH47" i="6" s="1"/>
  <c r="CJ16" i="6"/>
  <c r="CG16" i="6"/>
  <c r="CH16" i="6" s="1"/>
  <c r="CJ47" i="6"/>
  <c r="CJ18" i="6"/>
  <c r="CJ10" i="6"/>
  <c r="CG10" i="6"/>
  <c r="CH10" i="6" s="1"/>
  <c r="CJ54" i="6"/>
  <c r="CG54" i="6"/>
  <c r="CH54" i="6" s="1"/>
  <c r="CG41" i="6"/>
  <c r="CH41" i="6" s="1"/>
  <c r="CG51" i="6"/>
  <c r="CH51" i="6" s="1"/>
  <c r="CJ38" i="6"/>
  <c r="CG38" i="6"/>
  <c r="CH38" i="6" s="1"/>
  <c r="CG31" i="6"/>
  <c r="CH31" i="6" s="1"/>
  <c r="CJ65" i="6"/>
  <c r="CG65" i="6"/>
  <c r="CH65" i="6" s="1"/>
  <c r="CJ9" i="6"/>
  <c r="CG9" i="6"/>
  <c r="CH9" i="6" s="1"/>
  <c r="CJ44" i="6"/>
  <c r="CG61" i="6"/>
  <c r="CH61" i="6" s="1"/>
  <c r="CJ35" i="6"/>
  <c r="CG35" i="6"/>
  <c r="CH35" i="6" s="1"/>
  <c r="CG27" i="6"/>
  <c r="CH27" i="6" s="1"/>
  <c r="CJ27" i="6"/>
  <c r="CG20" i="6"/>
  <c r="CH20" i="6" s="1"/>
  <c r="CJ11" i="6"/>
  <c r="CG11" i="6"/>
  <c r="CH11" i="6" s="1"/>
  <c r="CJ69" i="6"/>
  <c r="CJ50" i="6"/>
  <c r="CG50" i="6"/>
  <c r="CH50" i="6" s="1"/>
  <c r="CG55" i="6"/>
  <c r="CH55" i="6" s="1"/>
  <c r="CG37" i="6"/>
  <c r="CH37" i="6" s="1"/>
  <c r="CJ40" i="6"/>
  <c r="CG40" i="6"/>
  <c r="CH40" i="6" s="1"/>
  <c r="CJ32" i="6"/>
  <c r="CG17" i="6"/>
  <c r="CH17" i="6" s="1"/>
  <c r="CJ63" i="6"/>
  <c r="CG63" i="6"/>
  <c r="CH63" i="6" s="1"/>
  <c r="CJ22" i="6"/>
  <c r="CG22" i="6"/>
  <c r="CH22" i="6" s="1"/>
  <c r="CG25" i="6"/>
  <c r="CH25" i="6" s="1"/>
  <c r="CJ13" i="6"/>
  <c r="CG13" i="6"/>
  <c r="CH13" i="6" s="1"/>
  <c r="CJ36" i="6"/>
  <c r="CG36" i="6"/>
  <c r="CH36" i="6" s="1"/>
  <c r="CJ51" i="6"/>
  <c r="CJ53" i="6"/>
  <c r="CG53" i="6"/>
  <c r="CH53" i="6" s="1"/>
  <c r="CJ60" i="6"/>
  <c r="CG60" i="6"/>
  <c r="CH60" i="6" s="1"/>
  <c r="CJ24" i="6"/>
  <c r="CJ5" i="6"/>
  <c r="CG5" i="6"/>
  <c r="CH5" i="6" s="1"/>
  <c r="CJ58" i="6"/>
  <c r="CG58" i="6"/>
  <c r="CH58" i="6" s="1"/>
  <c r="CG64" i="6"/>
  <c r="CH64" i="6" s="1"/>
  <c r="CG49" i="6"/>
  <c r="CH49" i="6" s="1"/>
  <c r="CJ42" i="6"/>
  <c r="CG42" i="6"/>
  <c r="CH42" i="6" s="1"/>
  <c r="CG59" i="6"/>
  <c r="CH59" i="6" s="1"/>
  <c r="CJ45" i="6"/>
  <c r="CG45" i="6"/>
  <c r="CH45" i="6" s="1"/>
  <c r="CG34" i="6"/>
  <c r="CH34" i="6" s="1"/>
  <c r="CJ25" i="6"/>
  <c r="CJ26" i="6"/>
  <c r="CG26" i="6"/>
  <c r="CH26" i="6" s="1"/>
  <c r="CJ15" i="6"/>
  <c r="CG15" i="6"/>
  <c r="CH15" i="6" s="1"/>
  <c r="CG30" i="6"/>
  <c r="CH30" i="6" s="1"/>
  <c r="CJ31" i="6"/>
  <c r="CG12" i="6"/>
  <c r="CH12" i="6" s="1"/>
  <c r="CJ12" i="6"/>
  <c r="CJ37" i="6"/>
  <c r="CJ33" i="6"/>
  <c r="CG33" i="6"/>
  <c r="CH33" i="6" s="1"/>
  <c r="CJ48" i="6"/>
  <c r="CG48" i="6"/>
  <c r="CH48" i="6" s="1"/>
  <c r="CG43" i="6"/>
  <c r="CH43" i="6" s="1"/>
  <c r="CJ43" i="6"/>
  <c r="CJ62" i="6"/>
  <c r="CG62" i="6"/>
  <c r="CH62" i="6" s="1"/>
  <c r="CJ14" i="6"/>
  <c r="CG52" i="6"/>
  <c r="CH52" i="6" s="1"/>
  <c r="CJ52" i="6"/>
  <c r="CJ49" i="6"/>
  <c r="CJ55" i="6"/>
  <c r="CJ7" i="6"/>
  <c r="CG7" i="6"/>
  <c r="CH7" i="6" s="1"/>
  <c r="CJ3" i="6"/>
  <c r="CG57" i="6"/>
  <c r="CH57" i="6" s="1"/>
  <c r="CJ4" i="6"/>
  <c r="CG4" i="6"/>
  <c r="CH4" i="6" s="1"/>
  <c r="CJ8" i="6"/>
  <c r="CJ61" i="6"/>
  <c r="CJ56" i="6"/>
  <c r="CG56" i="6"/>
  <c r="CH56" i="6" s="1"/>
  <c r="CG46" i="6"/>
  <c r="CH46" i="6" s="1"/>
  <c r="CJ46" i="5"/>
  <c r="CG46" i="5"/>
  <c r="CH46" i="5" s="1"/>
  <c r="CG27" i="5"/>
  <c r="CH27" i="5" s="1"/>
  <c r="CJ49" i="5"/>
  <c r="CG57" i="5"/>
  <c r="CH57" i="5" s="1"/>
  <c r="CG52" i="5"/>
  <c r="CH52" i="5" s="1"/>
  <c r="CJ52" i="5"/>
  <c r="CJ7" i="5"/>
  <c r="CG7" i="5"/>
  <c r="CH7" i="5" s="1"/>
  <c r="CJ5" i="5"/>
  <c r="CG5" i="5"/>
  <c r="CH5" i="5" s="1"/>
  <c r="CJ22" i="5"/>
  <c r="CJ15" i="5"/>
  <c r="CJ13" i="5"/>
  <c r="CG13" i="5"/>
  <c r="CH13" i="5" s="1"/>
  <c r="CJ20" i="5"/>
  <c r="CG20" i="5"/>
  <c r="CH20" i="5" s="1"/>
  <c r="CG55" i="5"/>
  <c r="CH55" i="5" s="1"/>
  <c r="CG58" i="5"/>
  <c r="CH58" i="5" s="1"/>
  <c r="CG45" i="5"/>
  <c r="CH45" i="5" s="1"/>
  <c r="CG14" i="5"/>
  <c r="CH14" i="5" s="1"/>
  <c r="CJ69" i="5"/>
  <c r="CJ54" i="5"/>
  <c r="CG54" i="5"/>
  <c r="CH54" i="5" s="1"/>
  <c r="CG65" i="5"/>
  <c r="CH65" i="5" s="1"/>
  <c r="CJ9" i="5"/>
  <c r="CG9" i="5"/>
  <c r="CH9" i="5" s="1"/>
  <c r="CG29" i="5"/>
  <c r="CH29" i="5" s="1"/>
  <c r="CJ2" i="5"/>
  <c r="CG2" i="5"/>
  <c r="CH2" i="5" s="1"/>
  <c r="CJ40" i="5"/>
  <c r="CG40" i="5"/>
  <c r="CH40" i="5" s="1"/>
  <c r="CG32" i="5"/>
  <c r="CH32" i="5" s="1"/>
  <c r="CJ60" i="5"/>
  <c r="CG60" i="5"/>
  <c r="CH60" i="5" s="1"/>
  <c r="CJ17" i="5"/>
  <c r="CG17" i="5"/>
  <c r="CH17" i="5" s="1"/>
  <c r="CG16" i="5"/>
  <c r="CH16" i="5" s="1"/>
  <c r="CJ16" i="5"/>
  <c r="CG47" i="5"/>
  <c r="CH47" i="5" s="1"/>
  <c r="CG42" i="5"/>
  <c r="CH42" i="5" s="1"/>
  <c r="CJ19" i="5"/>
  <c r="CG19" i="5"/>
  <c r="CH19" i="5" s="1"/>
  <c r="CG24" i="5"/>
  <c r="CH24" i="5" s="1"/>
  <c r="CG50" i="5"/>
  <c r="CH50" i="5" s="1"/>
  <c r="CG56" i="5"/>
  <c r="CH56" i="5" s="1"/>
  <c r="CJ4" i="5"/>
  <c r="CG4" i="5"/>
  <c r="CH4" i="5" s="1"/>
  <c r="CG36" i="5"/>
  <c r="CH36" i="5" s="1"/>
  <c r="CJ36" i="5"/>
  <c r="CJ57" i="5"/>
  <c r="CJ23" i="5"/>
  <c r="CG23" i="5"/>
  <c r="CH23" i="5" s="1"/>
  <c r="CG12" i="5"/>
  <c r="CH12" i="5" s="1"/>
  <c r="CJ26" i="5"/>
  <c r="CJ42" i="5"/>
  <c r="CJ35" i="5"/>
  <c r="CG35" i="5"/>
  <c r="CH35" i="5" s="1"/>
  <c r="CG18" i="5"/>
  <c r="CH18" i="5" s="1"/>
  <c r="CG6" i="5"/>
  <c r="CH6" i="5" s="1"/>
  <c r="CJ6" i="5"/>
  <c r="CG44" i="5"/>
  <c r="CH44" i="5" s="1"/>
  <c r="CJ65" i="5"/>
  <c r="CG63" i="5"/>
  <c r="CH63" i="5" s="1"/>
  <c r="CJ28" i="5"/>
  <c r="CG28" i="5"/>
  <c r="CH28" i="5" s="1"/>
  <c r="CG64" i="5"/>
  <c r="CH64" i="5" s="1"/>
  <c r="CG48" i="5"/>
  <c r="CH48" i="5" s="1"/>
  <c r="CJ48" i="5"/>
  <c r="CG33" i="5"/>
  <c r="CH33" i="5" s="1"/>
  <c r="CG8" i="5"/>
  <c r="CH8" i="5" s="1"/>
  <c r="CG39" i="5"/>
  <c r="CH39" i="5" s="1"/>
  <c r="CJ39" i="5"/>
  <c r="CJ45" i="5"/>
  <c r="CG3" i="5"/>
  <c r="CH3" i="5" s="1"/>
  <c r="CJ41" i="5"/>
  <c r="CG41" i="5"/>
  <c r="CH41" i="5" s="1"/>
  <c r="CJ27" i="5"/>
  <c r="CJ10" i="5"/>
  <c r="CG10" i="5"/>
  <c r="CH10" i="5" s="1"/>
  <c r="CG61" i="5"/>
  <c r="CH61" i="5" s="1"/>
  <c r="CG51" i="5"/>
  <c r="CH51" i="5" s="1"/>
  <c r="CG21" i="5"/>
  <c r="CH21" i="5" s="1"/>
  <c r="CJ64" i="5"/>
  <c r="CJ14" i="5"/>
  <c r="CG25" i="5"/>
  <c r="CH25" i="5" s="1"/>
  <c r="CG59" i="5"/>
  <c r="CH59" i="5" s="1"/>
  <c r="CG37" i="5"/>
  <c r="CH37" i="5" s="1"/>
  <c r="CJ53" i="5"/>
  <c r="CG53" i="5"/>
  <c r="CH53" i="5" s="1"/>
  <c r="CG34" i="5"/>
  <c r="CH34" i="5" s="1"/>
  <c r="CG62" i="5"/>
  <c r="CH62" i="5" s="1"/>
  <c r="CJ62" i="5"/>
  <c r="CJ11" i="5"/>
  <c r="CG11" i="5"/>
  <c r="CH11" i="5" s="1"/>
  <c r="CJ38" i="5"/>
  <c r="CG38" i="5"/>
  <c r="CH38" i="5" s="1"/>
  <c r="CG15" i="5"/>
  <c r="CH15" i="5" s="1"/>
  <c r="CJ55" i="4"/>
  <c r="CG55" i="4"/>
  <c r="CH55" i="4" s="1"/>
  <c r="CG9" i="4"/>
  <c r="CH9" i="4" s="1"/>
  <c r="CJ32" i="4"/>
  <c r="CG19" i="4"/>
  <c r="CH19" i="4" s="1"/>
  <c r="CJ21" i="4"/>
  <c r="CG21" i="4"/>
  <c r="CH21" i="4" s="1"/>
  <c r="CJ31" i="4"/>
  <c r="CG31" i="4"/>
  <c r="CH31" i="4" s="1"/>
  <c r="CJ3" i="4"/>
  <c r="CG3" i="4"/>
  <c r="CH3" i="4" s="1"/>
  <c r="CJ36" i="4"/>
  <c r="CG36" i="4"/>
  <c r="CH36" i="4" s="1"/>
  <c r="CG45" i="4"/>
  <c r="CH45" i="4" s="1"/>
  <c r="CJ4" i="4"/>
  <c r="CG4" i="4"/>
  <c r="CH4" i="4" s="1"/>
  <c r="CJ48" i="4"/>
  <c r="CJ44" i="4"/>
  <c r="CJ26" i="4"/>
  <c r="CG26" i="4"/>
  <c r="CH26" i="4" s="1"/>
  <c r="CG53" i="4"/>
  <c r="CH53" i="4" s="1"/>
  <c r="CG57" i="4"/>
  <c r="CH57" i="4" s="1"/>
  <c r="CG23" i="4"/>
  <c r="CH23" i="4" s="1"/>
  <c r="CG15" i="4"/>
  <c r="CH15" i="4" s="1"/>
  <c r="CJ28" i="4"/>
  <c r="CG28" i="4"/>
  <c r="CH28" i="4" s="1"/>
  <c r="CJ11" i="4"/>
  <c r="CG11" i="4"/>
  <c r="CH11" i="4" s="1"/>
  <c r="CG8" i="4"/>
  <c r="CH8" i="4" s="1"/>
  <c r="CJ8" i="4"/>
  <c r="CG56" i="4"/>
  <c r="CH56" i="4" s="1"/>
  <c r="CG24" i="4"/>
  <c r="CH24" i="4" s="1"/>
  <c r="CG52" i="4"/>
  <c r="CH52" i="4" s="1"/>
  <c r="CJ52" i="4"/>
  <c r="CG51" i="4"/>
  <c r="CH51" i="4" s="1"/>
  <c r="CG41" i="4"/>
  <c r="CH41" i="4" s="1"/>
  <c r="CG49" i="4"/>
  <c r="CH49" i="4" s="1"/>
  <c r="CG37" i="4"/>
  <c r="CH37" i="4" s="1"/>
  <c r="CJ37" i="4"/>
  <c r="CJ61" i="4"/>
  <c r="CJ49" i="4"/>
  <c r="CJ9" i="4"/>
  <c r="CG40" i="4"/>
  <c r="CH40" i="4" s="1"/>
  <c r="CJ40" i="4"/>
  <c r="CG38" i="4"/>
  <c r="CH38" i="4" s="1"/>
  <c r="CG65" i="4"/>
  <c r="CH65" i="4" s="1"/>
  <c r="CJ12" i="4"/>
  <c r="CG12" i="4"/>
  <c r="CH12" i="4" s="1"/>
  <c r="CJ19" i="4"/>
  <c r="CJ51" i="4"/>
  <c r="CJ20" i="4"/>
  <c r="CG20" i="4"/>
  <c r="CH20" i="4" s="1"/>
  <c r="CJ16" i="4"/>
  <c r="CG16" i="4"/>
  <c r="CH16" i="4" s="1"/>
  <c r="CJ42" i="4"/>
  <c r="CG42" i="4"/>
  <c r="CH42" i="4" s="1"/>
  <c r="CG22" i="4"/>
  <c r="CH22" i="4" s="1"/>
  <c r="CJ23" i="4"/>
  <c r="CG58" i="4"/>
  <c r="CH58" i="4" s="1"/>
  <c r="CG17" i="4"/>
  <c r="CH17" i="4" s="1"/>
  <c r="CG7" i="4"/>
  <c r="CH7" i="4" s="1"/>
  <c r="CG43" i="4"/>
  <c r="CH43" i="4" s="1"/>
  <c r="CG10" i="4"/>
  <c r="CH10" i="4" s="1"/>
  <c r="CJ6" i="4"/>
  <c r="CG6" i="4"/>
  <c r="CH6" i="4" s="1"/>
  <c r="CG60" i="4"/>
  <c r="CH60" i="4" s="1"/>
  <c r="CG39" i="4"/>
  <c r="CH39" i="4" s="1"/>
  <c r="CJ68" i="4"/>
  <c r="CG25" i="4"/>
  <c r="CH25" i="4" s="1"/>
  <c r="CG2" i="4"/>
  <c r="CH2" i="4" s="1"/>
  <c r="CG14" i="4"/>
  <c r="CH14" i="4" s="1"/>
  <c r="CJ14" i="4"/>
  <c r="CJ54" i="4"/>
  <c r="CG54" i="4"/>
  <c r="CH54" i="4" s="1"/>
  <c r="CJ45" i="4"/>
  <c r="CJ29" i="4"/>
  <c r="CG29" i="4"/>
  <c r="CH29" i="4" s="1"/>
  <c r="CJ69" i="4"/>
  <c r="CG50" i="4"/>
  <c r="CH50" i="4" s="1"/>
  <c r="CJ5" i="4"/>
  <c r="CG5" i="4"/>
  <c r="CH5" i="4" s="1"/>
  <c r="CJ63" i="4"/>
  <c r="CG59" i="4"/>
  <c r="CH59" i="4" s="1"/>
  <c r="CG34" i="4"/>
  <c r="CH34" i="4" s="1"/>
  <c r="CJ34" i="4"/>
  <c r="CG64" i="4"/>
  <c r="CH64" i="4" s="1"/>
  <c r="CG27" i="4"/>
  <c r="CH27" i="4" s="1"/>
  <c r="CJ39" i="4"/>
  <c r="CJ60" i="4"/>
  <c r="CG62" i="4"/>
  <c r="CH62" i="4" s="1"/>
  <c r="CG18" i="4"/>
  <c r="CH18" i="4" s="1"/>
  <c r="CJ15" i="4"/>
  <c r="CJ35" i="4"/>
  <c r="CG35" i="4"/>
  <c r="CH35" i="4" s="1"/>
  <c r="CJ46" i="4"/>
  <c r="CG46" i="4"/>
  <c r="CH46" i="4" s="1"/>
  <c r="CJ13" i="4"/>
  <c r="CG13" i="4"/>
  <c r="CH13" i="4" s="1"/>
  <c r="CJ64" i="4"/>
  <c r="CJ65" i="4"/>
  <c r="CG47" i="4"/>
  <c r="CH47" i="4" s="1"/>
  <c r="CJ30" i="4"/>
  <c r="CG69" i="3"/>
  <c r="CH69" i="3" s="1"/>
  <c r="CJ68" i="3"/>
  <c r="CG68" i="3"/>
  <c r="CH68" i="3" s="1"/>
  <c r="CE1" i="3" l="1"/>
  <c r="CD1" i="3"/>
  <c r="CC1" i="3"/>
  <c r="CB1" i="3"/>
  <c r="CA1" i="3"/>
  <c r="BZ1" i="3"/>
  <c r="BY1" i="3"/>
  <c r="BX1" i="3"/>
  <c r="BW1" i="3"/>
  <c r="BV1" i="3"/>
  <c r="BU1" i="3"/>
  <c r="BT1" i="3"/>
  <c r="BS1" i="3"/>
  <c r="BR1" i="3"/>
  <c r="BQ1" i="3"/>
  <c r="BP1" i="3"/>
  <c r="BO1" i="3"/>
  <c r="BN1" i="3"/>
  <c r="BM1" i="3"/>
  <c r="BL1" i="3"/>
  <c r="BK1" i="3"/>
  <c r="BJ1" i="3"/>
  <c r="BI1" i="3"/>
  <c r="BH1" i="3"/>
  <c r="BG1" i="3"/>
  <c r="BF1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G61" i="7"/>
  <c r="G60" i="7"/>
  <c r="G59" i="7"/>
  <c r="G58" i="7"/>
  <c r="G57" i="7"/>
  <c r="G56" i="7"/>
  <c r="G55" i="7"/>
  <c r="G54" i="7"/>
  <c r="G52" i="7"/>
  <c r="G51" i="7"/>
  <c r="G50" i="7"/>
  <c r="G49" i="7"/>
  <c r="G48" i="7"/>
  <c r="G47" i="7"/>
  <c r="G46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13" i="7"/>
  <c r="G12" i="7"/>
  <c r="G11" i="7"/>
  <c r="G10" i="7"/>
  <c r="G9" i="7"/>
  <c r="G8" i="7"/>
  <c r="G7" i="7"/>
  <c r="G6" i="7"/>
  <c r="G5" i="7"/>
  <c r="G4" i="7"/>
  <c r="G3" i="7"/>
  <c r="G2" i="7"/>
  <c r="F65" i="7"/>
  <c r="G65" i="7" s="1"/>
  <c r="F64" i="7"/>
  <c r="G64" i="7" s="1"/>
  <c r="F63" i="7"/>
  <c r="G63" i="7" s="1"/>
  <c r="F62" i="7"/>
  <c r="G62" i="7" s="1"/>
  <c r="F61" i="7"/>
  <c r="F60" i="7"/>
  <c r="F59" i="7"/>
  <c r="F58" i="7"/>
  <c r="F57" i="7"/>
  <c r="F56" i="7"/>
  <c r="F55" i="7"/>
  <c r="F54" i="7"/>
  <c r="F52" i="7"/>
  <c r="F51" i="7"/>
  <c r="F50" i="7"/>
  <c r="F49" i="7"/>
  <c r="F48" i="7"/>
  <c r="F47" i="7"/>
  <c r="F46" i="7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4" i="7"/>
  <c r="G14" i="7" s="1"/>
  <c r="F13" i="7"/>
  <c r="F12" i="7"/>
  <c r="F11" i="7"/>
  <c r="F10" i="7"/>
  <c r="F9" i="7"/>
  <c r="F8" i="7"/>
  <c r="F7" i="7"/>
  <c r="F6" i="7"/>
  <c r="F5" i="7"/>
  <c r="F4" i="7"/>
  <c r="F3" i="7"/>
  <c r="F2" i="7"/>
  <c r="AP65" i="3"/>
  <c r="AQ65" i="3" s="1"/>
  <c r="AP64" i="3"/>
  <c r="AQ64" i="3" s="1"/>
  <c r="AP63" i="3"/>
  <c r="AQ63" i="3" s="1"/>
  <c r="BD63" i="3" s="1"/>
  <c r="AP62" i="3"/>
  <c r="AQ62" i="3" s="1"/>
  <c r="BW62" i="3" s="1"/>
  <c r="AP61" i="3"/>
  <c r="AQ61" i="3" s="1"/>
  <c r="AP60" i="3"/>
  <c r="AQ60" i="3" s="1"/>
  <c r="BE60" i="3" s="1"/>
  <c r="AP59" i="3"/>
  <c r="AQ59" i="3" s="1"/>
  <c r="AP58" i="3"/>
  <c r="AQ58" i="3" s="1"/>
  <c r="BN57" i="3"/>
  <c r="AP57" i="3"/>
  <c r="AQ57" i="3" s="1"/>
  <c r="BL57" i="3" s="1"/>
  <c r="AP56" i="3"/>
  <c r="AQ56" i="3" s="1"/>
  <c r="AP55" i="3"/>
  <c r="AQ55" i="3" s="1"/>
  <c r="CB55" i="3" s="1"/>
  <c r="AP54" i="3"/>
  <c r="AQ54" i="3" s="1"/>
  <c r="AP53" i="3"/>
  <c r="AQ53" i="3" s="1"/>
  <c r="AP52" i="3"/>
  <c r="AQ52" i="3" s="1"/>
  <c r="CE52" i="3" s="1"/>
  <c r="AP51" i="3"/>
  <c r="AQ51" i="3" s="1"/>
  <c r="BU51" i="3" s="1"/>
  <c r="AP50" i="3"/>
  <c r="AQ50" i="3" s="1"/>
  <c r="CA50" i="3" s="1"/>
  <c r="AP49" i="3"/>
  <c r="AQ49" i="3" s="1"/>
  <c r="AP48" i="3"/>
  <c r="AQ48" i="3" s="1"/>
  <c r="AP47" i="3"/>
  <c r="AQ47" i="3" s="1"/>
  <c r="AP46" i="3"/>
  <c r="AQ46" i="3" s="1"/>
  <c r="AP45" i="3"/>
  <c r="AQ45" i="3" s="1"/>
  <c r="AP44" i="3"/>
  <c r="AQ44" i="3" s="1"/>
  <c r="AP43" i="3"/>
  <c r="AQ43" i="3" s="1"/>
  <c r="AP42" i="3"/>
  <c r="AQ42" i="3" s="1"/>
  <c r="AP41" i="3"/>
  <c r="AQ41" i="3" s="1"/>
  <c r="CB41" i="3" s="1"/>
  <c r="AP40" i="3"/>
  <c r="AQ40" i="3" s="1"/>
  <c r="AP39" i="3"/>
  <c r="AQ39" i="3" s="1"/>
  <c r="CC38" i="3"/>
  <c r="CA38" i="3"/>
  <c r="BY38" i="3"/>
  <c r="BX38" i="3"/>
  <c r="BW38" i="3"/>
  <c r="BV38" i="3"/>
  <c r="BU38" i="3"/>
  <c r="BT38" i="3"/>
  <c r="BS38" i="3"/>
  <c r="BO38" i="3"/>
  <c r="BN38" i="3"/>
  <c r="BM38" i="3"/>
  <c r="AP38" i="3"/>
  <c r="AQ38" i="3" s="1"/>
  <c r="BJ38" i="3" s="1"/>
  <c r="AP37" i="3"/>
  <c r="AQ37" i="3" s="1"/>
  <c r="AP36" i="3"/>
  <c r="AQ36" i="3" s="1"/>
  <c r="AP35" i="3"/>
  <c r="AQ35" i="3" s="1"/>
  <c r="AP34" i="3"/>
  <c r="AQ34" i="3" s="1"/>
  <c r="CE33" i="3"/>
  <c r="CD33" i="3"/>
  <c r="CC33" i="3"/>
  <c r="BW33" i="3"/>
  <c r="BV33" i="3"/>
  <c r="BU33" i="3"/>
  <c r="BT33" i="3"/>
  <c r="BS33" i="3"/>
  <c r="BR33" i="3"/>
  <c r="BN33" i="3"/>
  <c r="BM33" i="3"/>
  <c r="BI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P33" i="3"/>
  <c r="AQ33" i="3" s="1"/>
  <c r="BX33" i="3" s="1"/>
  <c r="AP32" i="3"/>
  <c r="AQ32" i="3" s="1"/>
  <c r="AP31" i="3"/>
  <c r="AQ31" i="3" s="1"/>
  <c r="AP30" i="3"/>
  <c r="AQ30" i="3" s="1"/>
  <c r="BW30" i="3" s="1"/>
  <c r="AP29" i="3"/>
  <c r="AQ29" i="3" s="1"/>
  <c r="CC28" i="3"/>
  <c r="CB28" i="3"/>
  <c r="CA28" i="3"/>
  <c r="BY28" i="3"/>
  <c r="BU28" i="3"/>
  <c r="BQ28" i="3"/>
  <c r="BM28" i="3"/>
  <c r="BL28" i="3"/>
  <c r="BK28" i="3"/>
  <c r="BJ28" i="3"/>
  <c r="BI28" i="3"/>
  <c r="BH28" i="3"/>
  <c r="BG28" i="3"/>
  <c r="BF28" i="3"/>
  <c r="BC28" i="3"/>
  <c r="AW28" i="3"/>
  <c r="AP28" i="3"/>
  <c r="AQ28" i="3" s="1"/>
  <c r="BW28" i="3" s="1"/>
  <c r="AP27" i="3"/>
  <c r="AQ27" i="3" s="1"/>
  <c r="AP26" i="3"/>
  <c r="AQ26" i="3" s="1"/>
  <c r="AP25" i="3"/>
  <c r="AQ25" i="3" s="1"/>
  <c r="AQ24" i="3"/>
  <c r="BZ24" i="3" s="1"/>
  <c r="AP24" i="3"/>
  <c r="AP23" i="3"/>
  <c r="AQ23" i="3" s="1"/>
  <c r="AP22" i="3"/>
  <c r="AQ22" i="3" s="1"/>
  <c r="AP21" i="3"/>
  <c r="AQ21" i="3" s="1"/>
  <c r="AP20" i="3"/>
  <c r="AQ20" i="3" s="1"/>
  <c r="AP19" i="3"/>
  <c r="AQ19" i="3" s="1"/>
  <c r="CD19" i="3" s="1"/>
  <c r="AP18" i="3"/>
  <c r="AQ18" i="3" s="1"/>
  <c r="AP17" i="3"/>
  <c r="AQ17" i="3" s="1"/>
  <c r="AP16" i="3"/>
  <c r="AQ16" i="3" s="1"/>
  <c r="AP15" i="3"/>
  <c r="AQ15" i="3" s="1"/>
  <c r="AP14" i="3"/>
  <c r="AQ14" i="3" s="1"/>
  <c r="CC14" i="3" s="1"/>
  <c r="AP13" i="3"/>
  <c r="AQ13" i="3" s="1"/>
  <c r="AP12" i="3"/>
  <c r="AQ12" i="3" s="1"/>
  <c r="AP11" i="3"/>
  <c r="AQ11" i="3" s="1"/>
  <c r="AP10" i="3"/>
  <c r="AQ10" i="3" s="1"/>
  <c r="AP9" i="3"/>
  <c r="AQ9" i="3" s="1"/>
  <c r="BH9" i="3" s="1"/>
  <c r="AP8" i="3"/>
  <c r="AQ8" i="3" s="1"/>
  <c r="CB7" i="3"/>
  <c r="AP7" i="3"/>
  <c r="AQ7" i="3" s="1"/>
  <c r="CA7" i="3" s="1"/>
  <c r="AT6" i="3"/>
  <c r="AP6" i="3"/>
  <c r="AQ6" i="3" s="1"/>
  <c r="AP5" i="3"/>
  <c r="AQ5" i="3" s="1"/>
  <c r="AQ4" i="3"/>
  <c r="BS4" i="3" s="1"/>
  <c r="AP4" i="3"/>
  <c r="BN3" i="3"/>
  <c r="AQ3" i="3"/>
  <c r="BP3" i="3" s="1"/>
  <c r="AP3" i="3"/>
  <c r="AP2" i="3"/>
  <c r="AQ2" i="3" s="1"/>
  <c r="AS60" i="2"/>
  <c r="CE59" i="2"/>
  <c r="BG59" i="2"/>
  <c r="BR57" i="2"/>
  <c r="BQ57" i="2"/>
  <c r="BP57" i="2"/>
  <c r="BO57" i="2"/>
  <c r="CA53" i="2"/>
  <c r="BZ53" i="2"/>
  <c r="AS52" i="2"/>
  <c r="CE51" i="2"/>
  <c r="AY50" i="2"/>
  <c r="AX50" i="2"/>
  <c r="BA45" i="2"/>
  <c r="BR40" i="2"/>
  <c r="BQ40" i="2"/>
  <c r="AT40" i="2"/>
  <c r="BQ39" i="2"/>
  <c r="BP39" i="2"/>
  <c r="BO39" i="2"/>
  <c r="BN39" i="2"/>
  <c r="BM39" i="2"/>
  <c r="BL39" i="2"/>
  <c r="BK39" i="2"/>
  <c r="BJ39" i="2"/>
  <c r="BI39" i="2"/>
  <c r="BH39" i="2"/>
  <c r="AS39" i="2"/>
  <c r="CE38" i="2"/>
  <c r="CD38" i="2"/>
  <c r="CC38" i="2"/>
  <c r="CB38" i="2"/>
  <c r="CA38" i="2"/>
  <c r="BZ38" i="2"/>
  <c r="BY38" i="2"/>
  <c r="BX38" i="2"/>
  <c r="BW38" i="2"/>
  <c r="BH38" i="2"/>
  <c r="BG38" i="2"/>
  <c r="BF38" i="2"/>
  <c r="BE38" i="2"/>
  <c r="BD38" i="2"/>
  <c r="BC38" i="2"/>
  <c r="BB38" i="2"/>
  <c r="BA38" i="2"/>
  <c r="AZ38" i="2"/>
  <c r="AY38" i="2"/>
  <c r="CE36" i="2"/>
  <c r="CD36" i="2"/>
  <c r="CC36" i="2"/>
  <c r="BM36" i="2"/>
  <c r="BI36" i="2"/>
  <c r="BH36" i="2"/>
  <c r="BG36" i="2"/>
  <c r="BF36" i="2"/>
  <c r="BE36" i="2"/>
  <c r="BU35" i="2"/>
  <c r="BT35" i="2"/>
  <c r="AW35" i="2"/>
  <c r="AV35" i="2"/>
  <c r="BS34" i="2"/>
  <c r="BO34" i="2"/>
  <c r="BN34" i="2"/>
  <c r="BM34" i="2"/>
  <c r="BL34" i="2"/>
  <c r="BK34" i="2"/>
  <c r="AU34" i="2"/>
  <c r="CC33" i="2"/>
  <c r="CB33" i="2"/>
  <c r="CA33" i="2"/>
  <c r="BZ33" i="2"/>
  <c r="BJ33" i="2"/>
  <c r="BE33" i="2"/>
  <c r="BD33" i="2"/>
  <c r="BC33" i="2"/>
  <c r="BB33" i="2"/>
  <c r="BK31" i="2"/>
  <c r="BJ31" i="2"/>
  <c r="BI31" i="2"/>
  <c r="BH31" i="2"/>
  <c r="BW30" i="2"/>
  <c r="BP29" i="2"/>
  <c r="BO29" i="2"/>
  <c r="BN29" i="2"/>
  <c r="CD28" i="2"/>
  <c r="CC28" i="2"/>
  <c r="BF28" i="2"/>
  <c r="BE28" i="2"/>
  <c r="BU27" i="2"/>
  <c r="BT27" i="2"/>
  <c r="AW27" i="2"/>
  <c r="AV27" i="2"/>
  <c r="BL26" i="2"/>
  <c r="BK26" i="2"/>
  <c r="BR24" i="2"/>
  <c r="BQ24" i="2"/>
  <c r="AT24" i="2"/>
  <c r="AS24" i="2"/>
  <c r="CE22" i="2"/>
  <c r="CD22" i="2"/>
  <c r="CC22" i="2"/>
  <c r="CB22" i="2"/>
  <c r="CA22" i="2"/>
  <c r="BZ22" i="2"/>
  <c r="BY22" i="2"/>
  <c r="BX22" i="2"/>
  <c r="BW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CC19" i="2"/>
  <c r="CB19" i="2"/>
  <c r="CA19" i="2"/>
  <c r="BZ19" i="2"/>
  <c r="BY19" i="2"/>
  <c r="BX19" i="2"/>
  <c r="BW19" i="2"/>
  <c r="BV19" i="2"/>
  <c r="BU19" i="2"/>
  <c r="BT19" i="2"/>
  <c r="BE19" i="2"/>
  <c r="BD19" i="2"/>
  <c r="BC19" i="2"/>
  <c r="BB19" i="2"/>
  <c r="BA19" i="2"/>
  <c r="AZ19" i="2"/>
  <c r="AY19" i="2"/>
  <c r="AX19" i="2"/>
  <c r="AW19" i="2"/>
  <c r="AV19" i="2"/>
  <c r="BT18" i="2"/>
  <c r="BS18" i="2"/>
  <c r="BR18" i="2"/>
  <c r="BQ18" i="2"/>
  <c r="BP18" i="2"/>
  <c r="BO18" i="2"/>
  <c r="BN18" i="2"/>
  <c r="BM18" i="2"/>
  <c r="BL18" i="2"/>
  <c r="BK18" i="2"/>
  <c r="AV18" i="2"/>
  <c r="AU18" i="2"/>
  <c r="AT18" i="2"/>
  <c r="AS18" i="2"/>
  <c r="CE17" i="2"/>
  <c r="CD17" i="2"/>
  <c r="CC17" i="2"/>
  <c r="CB17" i="2"/>
  <c r="CA17" i="2"/>
  <c r="BZ17" i="2"/>
  <c r="BK17" i="2"/>
  <c r="BJ17" i="2"/>
  <c r="BI17" i="2"/>
  <c r="BH17" i="2"/>
  <c r="BG17" i="2"/>
  <c r="BF17" i="2"/>
  <c r="BE17" i="2"/>
  <c r="BD17" i="2"/>
  <c r="BC17" i="2"/>
  <c r="BB17" i="2"/>
  <c r="BZ16" i="2"/>
  <c r="BY16" i="2"/>
  <c r="BX16" i="2"/>
  <c r="BW16" i="2"/>
  <c r="BV16" i="2"/>
  <c r="BU16" i="2"/>
  <c r="BT16" i="2"/>
  <c r="BS16" i="2"/>
  <c r="BR16" i="2"/>
  <c r="BQ16" i="2"/>
  <c r="BB16" i="2"/>
  <c r="BA16" i="2"/>
  <c r="AZ16" i="2"/>
  <c r="AY16" i="2"/>
  <c r="AX16" i="2"/>
  <c r="AW16" i="2"/>
  <c r="AV16" i="2"/>
  <c r="AU16" i="2"/>
  <c r="AT16" i="2"/>
  <c r="AS16" i="2"/>
  <c r="BP15" i="2"/>
  <c r="BO15" i="2"/>
  <c r="BN15" i="2"/>
  <c r="BM15" i="2"/>
  <c r="BL15" i="2"/>
  <c r="BK15" i="2"/>
  <c r="BJ15" i="2"/>
  <c r="BI15" i="2"/>
  <c r="BH15" i="2"/>
  <c r="CE14" i="2"/>
  <c r="CD14" i="2"/>
  <c r="CC14" i="2"/>
  <c r="CB14" i="2"/>
  <c r="CA14" i="2"/>
  <c r="BZ14" i="2"/>
  <c r="BY14" i="2"/>
  <c r="BX14" i="2"/>
  <c r="BW14" i="2"/>
  <c r="BG14" i="2"/>
  <c r="BF14" i="2"/>
  <c r="BE14" i="2"/>
  <c r="BD14" i="2"/>
  <c r="BC14" i="2"/>
  <c r="BB14" i="2"/>
  <c r="BA14" i="2"/>
  <c r="AZ14" i="2"/>
  <c r="AY14" i="2"/>
  <c r="CE12" i="2"/>
  <c r="CD12" i="2"/>
  <c r="CC12" i="2"/>
  <c r="BM12" i="2"/>
  <c r="BL12" i="2"/>
  <c r="BK12" i="2"/>
  <c r="BJ12" i="2"/>
  <c r="BI12" i="2"/>
  <c r="BH12" i="2"/>
  <c r="BG12" i="2"/>
  <c r="BF12" i="2"/>
  <c r="BE12" i="2"/>
  <c r="BQ10" i="2"/>
  <c r="BP10" i="2"/>
  <c r="BO7" i="2"/>
  <c r="BN7" i="2"/>
  <c r="BM7" i="2"/>
  <c r="BL7" i="2"/>
  <c r="BK7" i="2"/>
  <c r="BJ7" i="2"/>
  <c r="BI7" i="2"/>
  <c r="BH7" i="2"/>
  <c r="BU5" i="2"/>
  <c r="BT5" i="2"/>
  <c r="BS5" i="2"/>
  <c r="BR5" i="2"/>
  <c r="BQ5" i="2"/>
  <c r="BP5" i="2"/>
  <c r="BO5" i="2"/>
  <c r="BN5" i="2"/>
  <c r="AW5" i="2"/>
  <c r="AV5" i="2"/>
  <c r="AU5" i="2"/>
  <c r="CE4" i="2"/>
  <c r="CD4" i="2"/>
  <c r="CC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A4" i="2"/>
  <c r="AZ4" i="2"/>
  <c r="AY4" i="2"/>
  <c r="AX4" i="2"/>
  <c r="AW4" i="2"/>
  <c r="AV4" i="2"/>
  <c r="AU4" i="2"/>
  <c r="AT4" i="2"/>
  <c r="AS4" i="2"/>
  <c r="CE3" i="2"/>
  <c r="CD3" i="2"/>
  <c r="CC3" i="2"/>
  <c r="CB3" i="2"/>
  <c r="CA3" i="2"/>
  <c r="BZ3" i="2"/>
  <c r="BY3" i="2"/>
  <c r="BX3" i="2"/>
  <c r="BW3" i="2"/>
  <c r="BV3" i="2"/>
  <c r="BU3" i="2"/>
  <c r="BT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BS2" i="2"/>
  <c r="BR2" i="2"/>
  <c r="BQ2" i="2"/>
  <c r="BP2" i="2"/>
  <c r="AS2" i="2"/>
  <c r="AP65" i="2"/>
  <c r="AQ65" i="2" s="1"/>
  <c r="AP64" i="2"/>
  <c r="AQ64" i="2" s="1"/>
  <c r="AP63" i="2"/>
  <c r="AQ63" i="2" s="1"/>
  <c r="BT63" i="2" s="1"/>
  <c r="AP62" i="2"/>
  <c r="AQ62" i="2" s="1"/>
  <c r="AQ61" i="2"/>
  <c r="AP61" i="2"/>
  <c r="AP60" i="2"/>
  <c r="AQ60" i="2" s="1"/>
  <c r="BO60" i="2" s="1"/>
  <c r="AP59" i="2"/>
  <c r="AQ59" i="2" s="1"/>
  <c r="CD59" i="2" s="1"/>
  <c r="AP58" i="2"/>
  <c r="AQ58" i="2" s="1"/>
  <c r="BU58" i="2" s="1"/>
  <c r="AP57" i="2"/>
  <c r="AQ57" i="2" s="1"/>
  <c r="BL57" i="2" s="1"/>
  <c r="AP56" i="2"/>
  <c r="AQ56" i="2" s="1"/>
  <c r="AP55" i="2"/>
  <c r="AQ55" i="2" s="1"/>
  <c r="BR55" i="2" s="1"/>
  <c r="AP54" i="2"/>
  <c r="AQ54" i="2" s="1"/>
  <c r="AP53" i="2"/>
  <c r="AQ53" i="2" s="1"/>
  <c r="BX53" i="2" s="1"/>
  <c r="AP52" i="2"/>
  <c r="AQ52" i="2" s="1"/>
  <c r="BO52" i="2" s="1"/>
  <c r="AP51" i="2"/>
  <c r="AQ51" i="2" s="1"/>
  <c r="CD51" i="2" s="1"/>
  <c r="AP50" i="2"/>
  <c r="AQ50" i="2" s="1"/>
  <c r="BU50" i="2" s="1"/>
  <c r="AP49" i="2"/>
  <c r="AQ49" i="2" s="1"/>
  <c r="AP48" i="2"/>
  <c r="AQ48" i="2" s="1"/>
  <c r="CA48" i="2" s="1"/>
  <c r="AP47" i="2"/>
  <c r="AQ47" i="2" s="1"/>
  <c r="AP46" i="2"/>
  <c r="AQ46" i="2" s="1"/>
  <c r="AP45" i="2"/>
  <c r="AQ45" i="2" s="1"/>
  <c r="AP44" i="2"/>
  <c r="AQ44" i="2" s="1"/>
  <c r="AP43" i="2"/>
  <c r="AQ43" i="2" s="1"/>
  <c r="AP42" i="2"/>
  <c r="AQ42" i="2" s="1"/>
  <c r="AP41" i="2"/>
  <c r="AQ41" i="2" s="1"/>
  <c r="BL41" i="2" s="1"/>
  <c r="AP40" i="2"/>
  <c r="AQ40" i="2" s="1"/>
  <c r="AP39" i="2"/>
  <c r="AQ39" i="2" s="1"/>
  <c r="CE39" i="2" s="1"/>
  <c r="AP38" i="2"/>
  <c r="AQ38" i="2" s="1"/>
  <c r="BV38" i="2" s="1"/>
  <c r="AP37" i="2"/>
  <c r="AQ37" i="2" s="1"/>
  <c r="BO37" i="2" s="1"/>
  <c r="AP36" i="2"/>
  <c r="AQ36" i="2" s="1"/>
  <c r="CB36" i="2" s="1"/>
  <c r="AP35" i="2"/>
  <c r="AQ35" i="2" s="1"/>
  <c r="AP34" i="2"/>
  <c r="AQ34" i="2" s="1"/>
  <c r="BJ34" i="2" s="1"/>
  <c r="AP33" i="2"/>
  <c r="AQ33" i="2" s="1"/>
  <c r="BY33" i="2" s="1"/>
  <c r="AP32" i="2"/>
  <c r="AQ32" i="2" s="1"/>
  <c r="AS32" i="2" s="1"/>
  <c r="AP31" i="2"/>
  <c r="AQ31" i="2" s="1"/>
  <c r="CE31" i="2" s="1"/>
  <c r="AP30" i="2"/>
  <c r="AQ30" i="2" s="1"/>
  <c r="AP29" i="2"/>
  <c r="AQ29" i="2" s="1"/>
  <c r="BM29" i="2" s="1"/>
  <c r="AP28" i="2"/>
  <c r="AQ28" i="2" s="1"/>
  <c r="AP27" i="2"/>
  <c r="AQ27" i="2" s="1"/>
  <c r="AP26" i="2"/>
  <c r="AQ26" i="2" s="1"/>
  <c r="AP25" i="2"/>
  <c r="AQ25" i="2" s="1"/>
  <c r="AP24" i="2"/>
  <c r="AQ24" i="2" s="1"/>
  <c r="AP23" i="2"/>
  <c r="AQ23" i="2" s="1"/>
  <c r="AP22" i="2"/>
  <c r="AQ22" i="2" s="1"/>
  <c r="BV22" i="2" s="1"/>
  <c r="AP21" i="2"/>
  <c r="AQ21" i="2" s="1"/>
  <c r="BM21" i="2" s="1"/>
  <c r="AP20" i="2"/>
  <c r="AQ20" i="2" s="1"/>
  <c r="BG20" i="2" s="1"/>
  <c r="AP19" i="2"/>
  <c r="AQ19" i="2" s="1"/>
  <c r="BS19" i="2" s="1"/>
  <c r="AP18" i="2"/>
  <c r="AQ18" i="2" s="1"/>
  <c r="BJ18" i="2" s="1"/>
  <c r="AP17" i="2"/>
  <c r="AQ17" i="2" s="1"/>
  <c r="BY17" i="2" s="1"/>
  <c r="AP16" i="2"/>
  <c r="AQ16" i="2" s="1"/>
  <c r="BP16" i="2" s="1"/>
  <c r="AP15" i="2"/>
  <c r="AQ15" i="2" s="1"/>
  <c r="CE15" i="2" s="1"/>
  <c r="AP14" i="2"/>
  <c r="AQ14" i="2" s="1"/>
  <c r="BV14" i="2" s="1"/>
  <c r="AP13" i="2"/>
  <c r="AQ13" i="2" s="1"/>
  <c r="AS13" i="2" s="1"/>
  <c r="AP12" i="2"/>
  <c r="AQ12" i="2" s="1"/>
  <c r="CB12" i="2" s="1"/>
  <c r="AP11" i="2"/>
  <c r="AQ11" i="2" s="1"/>
  <c r="BW11" i="2" s="1"/>
  <c r="AP10" i="2"/>
  <c r="AQ10" i="2" s="1"/>
  <c r="BR10" i="2" s="1"/>
  <c r="AP9" i="2"/>
  <c r="AQ9" i="2" s="1"/>
  <c r="BE9" i="2" s="1"/>
  <c r="AQ8" i="2"/>
  <c r="BW8" i="2" s="1"/>
  <c r="AP8" i="2"/>
  <c r="AP7" i="2"/>
  <c r="AQ7" i="2" s="1"/>
  <c r="AP6" i="2"/>
  <c r="AQ6" i="2" s="1"/>
  <c r="AP5" i="2"/>
  <c r="AQ5" i="2" s="1"/>
  <c r="AP4" i="2"/>
  <c r="AQ4" i="2" s="1"/>
  <c r="CB4" i="2" s="1"/>
  <c r="AP3" i="2"/>
  <c r="AQ3" i="2" s="1"/>
  <c r="BS3" i="2" s="1"/>
  <c r="AP2" i="2"/>
  <c r="AQ2" i="2" s="1"/>
  <c r="BO44" i="2" l="1"/>
  <c r="BQ44" i="2"/>
  <c r="BP44" i="2"/>
  <c r="AT44" i="2"/>
  <c r="AS44" i="2"/>
  <c r="BR44" i="2"/>
  <c r="BY25" i="2"/>
  <c r="BA25" i="2"/>
  <c r="BX25" i="2"/>
  <c r="AZ25" i="2"/>
  <c r="BW25" i="2"/>
  <c r="AY25" i="2"/>
  <c r="BV25" i="2"/>
  <c r="AX25" i="2"/>
  <c r="BU25" i="2"/>
  <c r="AW25" i="2"/>
  <c r="BT25" i="2"/>
  <c r="AV25" i="2"/>
  <c r="BS25" i="2"/>
  <c r="AU25" i="2"/>
  <c r="BR25" i="2"/>
  <c r="AT25" i="2"/>
  <c r="BQ25" i="2"/>
  <c r="AS25" i="2"/>
  <c r="BP25" i="2"/>
  <c r="BJ25" i="2"/>
  <c r="BO25" i="2"/>
  <c r="BN25" i="2"/>
  <c r="BM25" i="2"/>
  <c r="BL25" i="2"/>
  <c r="BK25" i="2"/>
  <c r="BI25" i="2"/>
  <c r="BH25" i="2"/>
  <c r="CE25" i="2"/>
  <c r="BG25" i="2"/>
  <c r="CD25" i="2"/>
  <c r="BF25" i="2"/>
  <c r="CC25" i="2"/>
  <c r="BE25" i="2"/>
  <c r="CB25" i="2"/>
  <c r="BD25" i="2"/>
  <c r="CA25" i="2"/>
  <c r="BZ25" i="2"/>
  <c r="BB25" i="2"/>
  <c r="BC25" i="2"/>
  <c r="BV6" i="2"/>
  <c r="AX6" i="2"/>
  <c r="AU6" i="2"/>
  <c r="BU6" i="2"/>
  <c r="AW6" i="2"/>
  <c r="BS6" i="2"/>
  <c r="BG6" i="2"/>
  <c r="BT6" i="2"/>
  <c r="AV6" i="2"/>
  <c r="AT6" i="2"/>
  <c r="CE6" i="2"/>
  <c r="BR6" i="2"/>
  <c r="BH6" i="2"/>
  <c r="BQ6" i="2"/>
  <c r="AS6" i="2"/>
  <c r="BP6" i="2"/>
  <c r="BO6" i="2"/>
  <c r="BN6" i="2"/>
  <c r="BM6" i="2"/>
  <c r="BL6" i="2"/>
  <c r="BK6" i="2"/>
  <c r="BJ6" i="2"/>
  <c r="BI6" i="2"/>
  <c r="CA6" i="2"/>
  <c r="BY6" i="2"/>
  <c r="BX6" i="2"/>
  <c r="BW6" i="2"/>
  <c r="BZ6" i="2"/>
  <c r="BE6" i="2"/>
  <c r="BC6" i="2"/>
  <c r="BB6" i="2"/>
  <c r="BD6" i="2"/>
  <c r="BA6" i="2"/>
  <c r="BF6" i="2"/>
  <c r="AZ6" i="2"/>
  <c r="AY6" i="2"/>
  <c r="CB6" i="2"/>
  <c r="CD6" i="2"/>
  <c r="CC6" i="2"/>
  <c r="CE23" i="2"/>
  <c r="BG23" i="2"/>
  <c r="CD23" i="2"/>
  <c r="BF23" i="2"/>
  <c r="CC23" i="2"/>
  <c r="BE23" i="2"/>
  <c r="BP23" i="2"/>
  <c r="CB23" i="2"/>
  <c r="BD23" i="2"/>
  <c r="CA23" i="2"/>
  <c r="BC23" i="2"/>
  <c r="BZ23" i="2"/>
  <c r="BB23" i="2"/>
  <c r="BY23" i="2"/>
  <c r="BA23" i="2"/>
  <c r="BX23" i="2"/>
  <c r="AZ23" i="2"/>
  <c r="BW23" i="2"/>
  <c r="AY23" i="2"/>
  <c r="BV23" i="2"/>
  <c r="AX23" i="2"/>
  <c r="BU23" i="2"/>
  <c r="AW23" i="2"/>
  <c r="BT23" i="2"/>
  <c r="AV23" i="2"/>
  <c r="BS23" i="2"/>
  <c r="AU23" i="2"/>
  <c r="BR23" i="2"/>
  <c r="AT23" i="2"/>
  <c r="BQ23" i="2"/>
  <c r="AS23" i="2"/>
  <c r="BO23" i="2"/>
  <c r="BN23" i="2"/>
  <c r="BM23" i="2"/>
  <c r="BL23" i="2"/>
  <c r="BK23" i="2"/>
  <c r="BJ23" i="2"/>
  <c r="BH23" i="2"/>
  <c r="BI23" i="2"/>
  <c r="AV11" i="2"/>
  <c r="BV30" i="2"/>
  <c r="AX30" i="2"/>
  <c r="BU30" i="2"/>
  <c r="AW30" i="2"/>
  <c r="BT30" i="2"/>
  <c r="AV30" i="2"/>
  <c r="BS30" i="2"/>
  <c r="AU30" i="2"/>
  <c r="BR30" i="2"/>
  <c r="AT30" i="2"/>
  <c r="BQ30" i="2"/>
  <c r="AS30" i="2"/>
  <c r="BP30" i="2"/>
  <c r="BO30" i="2"/>
  <c r="BN30" i="2"/>
  <c r="BM30" i="2"/>
  <c r="BL30" i="2"/>
  <c r="BK30" i="2"/>
  <c r="BJ30" i="2"/>
  <c r="BI30" i="2"/>
  <c r="BH30" i="2"/>
  <c r="CE30" i="2"/>
  <c r="BG30" i="2"/>
  <c r="CD30" i="2"/>
  <c r="BF30" i="2"/>
  <c r="CC30" i="2"/>
  <c r="BE30" i="2"/>
  <c r="CB30" i="2"/>
  <c r="BD30" i="2"/>
  <c r="CA30" i="2"/>
  <c r="BC30" i="2"/>
  <c r="BZ30" i="2"/>
  <c r="BB30" i="2"/>
  <c r="BY30" i="2"/>
  <c r="BA30" i="2"/>
  <c r="BP8" i="2"/>
  <c r="BO8" i="2"/>
  <c r="BM8" i="2"/>
  <c r="BN8" i="2"/>
  <c r="CE8" i="2"/>
  <c r="BB8" i="2"/>
  <c r="BL8" i="2"/>
  <c r="BG8" i="2"/>
  <c r="BK8" i="2"/>
  <c r="BA8" i="2"/>
  <c r="BJ8" i="2"/>
  <c r="BI8" i="2"/>
  <c r="BH8" i="2"/>
  <c r="BY8" i="2"/>
  <c r="CD8" i="2"/>
  <c r="BF8" i="2"/>
  <c r="CC8" i="2"/>
  <c r="BE8" i="2"/>
  <c r="CB8" i="2"/>
  <c r="BD8" i="2"/>
  <c r="CA8" i="2"/>
  <c r="BC8" i="2"/>
  <c r="BZ8" i="2"/>
  <c r="BX30" i="2"/>
  <c r="AX11" i="2"/>
  <c r="AW11" i="2"/>
  <c r="AV13" i="2"/>
  <c r="BN13" i="2"/>
  <c r="BC9" i="2"/>
  <c r="BA11" i="2"/>
  <c r="BR32" i="2"/>
  <c r="BX61" i="2"/>
  <c r="BZ61" i="2"/>
  <c r="BY61" i="2"/>
  <c r="BB61" i="2"/>
  <c r="BA61" i="2"/>
  <c r="BI9" i="2"/>
  <c r="BC11" i="2"/>
  <c r="BP13" i="2"/>
  <c r="BI62" i="2"/>
  <c r="BN62" i="2"/>
  <c r="BL62" i="2"/>
  <c r="BK62" i="2"/>
  <c r="BJ62" i="2"/>
  <c r="AS8" i="2"/>
  <c r="BZ9" i="2"/>
  <c r="BT11" i="2"/>
  <c r="BQ13" i="2"/>
  <c r="BG9" i="2"/>
  <c r="BO13" i="2"/>
  <c r="AT8" i="2"/>
  <c r="CA9" i="2"/>
  <c r="BU11" i="2"/>
  <c r="BV8" i="2"/>
  <c r="AT32" i="2"/>
  <c r="BV11" i="2"/>
  <c r="BE20" i="2"/>
  <c r="BM13" i="2"/>
  <c r="BL13" i="2"/>
  <c r="BK13" i="2"/>
  <c r="BJ13" i="2"/>
  <c r="BI13" i="2"/>
  <c r="BD13" i="2"/>
  <c r="BH13" i="2"/>
  <c r="CE13" i="2"/>
  <c r="BG13" i="2"/>
  <c r="CD13" i="2"/>
  <c r="BF13" i="2"/>
  <c r="CC13" i="2"/>
  <c r="BE13" i="2"/>
  <c r="CB13" i="2"/>
  <c r="CA13" i="2"/>
  <c r="BC13" i="2"/>
  <c r="BV13" i="2"/>
  <c r="BZ13" i="2"/>
  <c r="BB13" i="2"/>
  <c r="BY13" i="2"/>
  <c r="BA13" i="2"/>
  <c r="BX13" i="2"/>
  <c r="AZ13" i="2"/>
  <c r="BW13" i="2"/>
  <c r="AY13" i="2"/>
  <c r="AX13" i="2"/>
  <c r="BU13" i="2"/>
  <c r="AW13" i="2"/>
  <c r="BT13" i="2"/>
  <c r="BS13" i="2"/>
  <c r="AU13" i="2"/>
  <c r="BR13" i="2"/>
  <c r="AY11" i="2"/>
  <c r="BY9" i="2"/>
  <c r="BA9" i="2"/>
  <c r="BV9" i="2"/>
  <c r="BX9" i="2"/>
  <c r="AZ9" i="2"/>
  <c r="BW9" i="2"/>
  <c r="AY9" i="2"/>
  <c r="AX9" i="2"/>
  <c r="BK9" i="2"/>
  <c r="BU9" i="2"/>
  <c r="AW9" i="2"/>
  <c r="BT9" i="2"/>
  <c r="AV9" i="2"/>
  <c r="BS9" i="2"/>
  <c r="AU9" i="2"/>
  <c r="BR9" i="2"/>
  <c r="AT9" i="2"/>
  <c r="BQ9" i="2"/>
  <c r="AS9" i="2"/>
  <c r="BP9" i="2"/>
  <c r="BO9" i="2"/>
  <c r="BN9" i="2"/>
  <c r="BJ9" i="2"/>
  <c r="BM9" i="2"/>
  <c r="BL9" i="2"/>
  <c r="BN37" i="2"/>
  <c r="BS35" i="2"/>
  <c r="AU35" i="2"/>
  <c r="BR35" i="2"/>
  <c r="AT35" i="2"/>
  <c r="BQ35" i="2"/>
  <c r="AS35" i="2"/>
  <c r="BP35" i="2"/>
  <c r="BO35" i="2"/>
  <c r="BN35" i="2"/>
  <c r="BM35" i="2"/>
  <c r="BL35" i="2"/>
  <c r="BK35" i="2"/>
  <c r="BJ35" i="2"/>
  <c r="BI35" i="2"/>
  <c r="BH35" i="2"/>
  <c r="CE35" i="2"/>
  <c r="BG35" i="2"/>
  <c r="CD35" i="2"/>
  <c r="BF35" i="2"/>
  <c r="CC35" i="2"/>
  <c r="BE35" i="2"/>
  <c r="CB35" i="2"/>
  <c r="BD35" i="2"/>
  <c r="CA35" i="2"/>
  <c r="BC35" i="2"/>
  <c r="BZ35" i="2"/>
  <c r="BB35" i="2"/>
  <c r="BY35" i="2"/>
  <c r="BA35" i="2"/>
  <c r="BX35" i="2"/>
  <c r="AZ35" i="2"/>
  <c r="BW35" i="2"/>
  <c r="AY35" i="2"/>
  <c r="BV35" i="2"/>
  <c r="AX35" i="2"/>
  <c r="BF9" i="2"/>
  <c r="CB9" i="2"/>
  <c r="BD9" i="2"/>
  <c r="CB20" i="2"/>
  <c r="BD20" i="2"/>
  <c r="CA20" i="2"/>
  <c r="BC20" i="2"/>
  <c r="BZ20" i="2"/>
  <c r="BB20" i="2"/>
  <c r="BY20" i="2"/>
  <c r="BA20" i="2"/>
  <c r="BX20" i="2"/>
  <c r="AZ20" i="2"/>
  <c r="BM20" i="2"/>
  <c r="BW20" i="2"/>
  <c r="AY20" i="2"/>
  <c r="BV20" i="2"/>
  <c r="AX20" i="2"/>
  <c r="BU20" i="2"/>
  <c r="AW20" i="2"/>
  <c r="BT20" i="2"/>
  <c r="AV20" i="2"/>
  <c r="BS20" i="2"/>
  <c r="AU20" i="2"/>
  <c r="BR20" i="2"/>
  <c r="AT20" i="2"/>
  <c r="BQ20" i="2"/>
  <c r="AS20" i="2"/>
  <c r="BP20" i="2"/>
  <c r="BO20" i="2"/>
  <c r="BN20" i="2"/>
  <c r="BL20" i="2"/>
  <c r="BK20" i="2"/>
  <c r="BJ20" i="2"/>
  <c r="BI20" i="2"/>
  <c r="BX11" i="2"/>
  <c r="AX8" i="2"/>
  <c r="BX45" i="2"/>
  <c r="CC45" i="2"/>
  <c r="CA45" i="2"/>
  <c r="BZ45" i="2"/>
  <c r="BY45" i="2"/>
  <c r="BE45" i="2"/>
  <c r="BC45" i="2"/>
  <c r="BB45" i="2"/>
  <c r="AY8" i="2"/>
  <c r="CC20" i="2"/>
  <c r="BX8" i="2"/>
  <c r="AZ11" i="2"/>
  <c r="CA64" i="2"/>
  <c r="CD64" i="2"/>
  <c r="CC64" i="2"/>
  <c r="CB64" i="2"/>
  <c r="BI64" i="2"/>
  <c r="BH64" i="2"/>
  <c r="BF64" i="2"/>
  <c r="BE64" i="2"/>
  <c r="BD64" i="2"/>
  <c r="CD20" i="2"/>
  <c r="BS63" i="2"/>
  <c r="BJ10" i="2"/>
  <c r="AU10" i="2"/>
  <c r="BI10" i="2"/>
  <c r="CE10" i="2"/>
  <c r="BY10" i="2"/>
  <c r="AV10" i="2"/>
  <c r="BH10" i="2"/>
  <c r="BG10" i="2"/>
  <c r="CD10" i="2"/>
  <c r="BF10" i="2"/>
  <c r="CC10" i="2"/>
  <c r="BE10" i="2"/>
  <c r="CB10" i="2"/>
  <c r="BD10" i="2"/>
  <c r="CA10" i="2"/>
  <c r="BC10" i="2"/>
  <c r="BZ10" i="2"/>
  <c r="BB10" i="2"/>
  <c r="BA10" i="2"/>
  <c r="BS10" i="2"/>
  <c r="BX10" i="2"/>
  <c r="AZ10" i="2"/>
  <c r="BW10" i="2"/>
  <c r="AY10" i="2"/>
  <c r="BV10" i="2"/>
  <c r="AX10" i="2"/>
  <c r="BT10" i="2"/>
  <c r="BU10" i="2"/>
  <c r="AW10" i="2"/>
  <c r="BP32" i="2"/>
  <c r="BO32" i="2"/>
  <c r="BN32" i="2"/>
  <c r="BM32" i="2"/>
  <c r="BL32" i="2"/>
  <c r="BK32" i="2"/>
  <c r="BJ32" i="2"/>
  <c r="BI32" i="2"/>
  <c r="BH32" i="2"/>
  <c r="CE32" i="2"/>
  <c r="BG32" i="2"/>
  <c r="CD32" i="2"/>
  <c r="BF32" i="2"/>
  <c r="CC32" i="2"/>
  <c r="BE32" i="2"/>
  <c r="CB32" i="2"/>
  <c r="BD32" i="2"/>
  <c r="CA32" i="2"/>
  <c r="BC32" i="2"/>
  <c r="BZ32" i="2"/>
  <c r="BB32" i="2"/>
  <c r="BY32" i="2"/>
  <c r="BA32" i="2"/>
  <c r="BX32" i="2"/>
  <c r="AZ32" i="2"/>
  <c r="BW32" i="2"/>
  <c r="AY32" i="2"/>
  <c r="CG32" i="2" s="1"/>
  <c r="CH32" i="2" s="1"/>
  <c r="BV32" i="2"/>
  <c r="AX32" i="2"/>
  <c r="BU32" i="2"/>
  <c r="AW32" i="2"/>
  <c r="BT32" i="2"/>
  <c r="AV32" i="2"/>
  <c r="BS32" i="2"/>
  <c r="AU32" i="2"/>
  <c r="AT13" i="2"/>
  <c r="CM13" i="2" s="1"/>
  <c r="CN13" i="2" s="1"/>
  <c r="CO13" i="2" s="1"/>
  <c r="BM37" i="2"/>
  <c r="BL37" i="2"/>
  <c r="BK37" i="2"/>
  <c r="BJ37" i="2"/>
  <c r="BI37" i="2"/>
  <c r="BH37" i="2"/>
  <c r="CE37" i="2"/>
  <c r="BG37" i="2"/>
  <c r="CD37" i="2"/>
  <c r="BF37" i="2"/>
  <c r="CC37" i="2"/>
  <c r="BE37" i="2"/>
  <c r="CB37" i="2"/>
  <c r="BD37" i="2"/>
  <c r="CA37" i="2"/>
  <c r="BC37" i="2"/>
  <c r="BZ37" i="2"/>
  <c r="BB37" i="2"/>
  <c r="BY37" i="2"/>
  <c r="BA37" i="2"/>
  <c r="BX37" i="2"/>
  <c r="AZ37" i="2"/>
  <c r="BW37" i="2"/>
  <c r="AY37" i="2"/>
  <c r="BV37" i="2"/>
  <c r="AX37" i="2"/>
  <c r="BU37" i="2"/>
  <c r="AW37" i="2"/>
  <c r="BT37" i="2"/>
  <c r="AV37" i="2"/>
  <c r="BS37" i="2"/>
  <c r="AU37" i="2"/>
  <c r="BR37" i="2"/>
  <c r="AT37" i="2"/>
  <c r="BQ37" i="2"/>
  <c r="AS37" i="2"/>
  <c r="BP37" i="2"/>
  <c r="BP40" i="2"/>
  <c r="BO40" i="2"/>
  <c r="BN40" i="2"/>
  <c r="BM40" i="2"/>
  <c r="BL40" i="2"/>
  <c r="BK40" i="2"/>
  <c r="BJ40" i="2"/>
  <c r="BI40" i="2"/>
  <c r="BH40" i="2"/>
  <c r="CE40" i="2"/>
  <c r="BG40" i="2"/>
  <c r="CD40" i="2"/>
  <c r="BF40" i="2"/>
  <c r="CC40" i="2"/>
  <c r="BE40" i="2"/>
  <c r="CB40" i="2"/>
  <c r="BD40" i="2"/>
  <c r="CA40" i="2"/>
  <c r="BC40" i="2"/>
  <c r="BZ40" i="2"/>
  <c r="BB40" i="2"/>
  <c r="BY40" i="2"/>
  <c r="BA40" i="2"/>
  <c r="BX40" i="2"/>
  <c r="AZ40" i="2"/>
  <c r="BW40" i="2"/>
  <c r="AY40" i="2"/>
  <c r="BV40" i="2"/>
  <c r="AX40" i="2"/>
  <c r="BU40" i="2"/>
  <c r="AW40" i="2"/>
  <c r="BT40" i="2"/>
  <c r="AV40" i="2"/>
  <c r="BS40" i="2"/>
  <c r="AU40" i="2"/>
  <c r="AU8" i="2"/>
  <c r="AW8" i="2"/>
  <c r="CE20" i="2"/>
  <c r="CD9" i="2"/>
  <c r="BS11" i="2"/>
  <c r="AU11" i="2"/>
  <c r="BP11" i="2"/>
  <c r="BJ11" i="2"/>
  <c r="BR11" i="2"/>
  <c r="AT11" i="2"/>
  <c r="BQ11" i="2"/>
  <c r="AS11" i="2"/>
  <c r="BO11" i="2"/>
  <c r="BN11" i="2"/>
  <c r="BM11" i="2"/>
  <c r="BL11" i="2"/>
  <c r="BK11" i="2"/>
  <c r="BI11" i="2"/>
  <c r="BH11" i="2"/>
  <c r="CE11" i="2"/>
  <c r="BG11" i="2"/>
  <c r="CD11" i="2"/>
  <c r="BF11" i="2"/>
  <c r="BD11" i="2"/>
  <c r="CC11" i="2"/>
  <c r="BE11" i="2"/>
  <c r="CB11" i="2"/>
  <c r="CA11" i="2"/>
  <c r="BY11" i="2"/>
  <c r="BQ32" i="2"/>
  <c r="BH9" i="2"/>
  <c r="BU42" i="2"/>
  <c r="BV42" i="2"/>
  <c r="AX42" i="2"/>
  <c r="BH20" i="2"/>
  <c r="BB11" i="2"/>
  <c r="CD43" i="2"/>
  <c r="CE43" i="2"/>
  <c r="BH43" i="2"/>
  <c r="BG43" i="2"/>
  <c r="AV8" i="2"/>
  <c r="BJ2" i="2"/>
  <c r="BG2" i="2"/>
  <c r="CB2" i="2"/>
  <c r="BA2" i="2"/>
  <c r="AW2" i="2"/>
  <c r="BI2" i="2"/>
  <c r="CD2" i="2"/>
  <c r="BE2" i="2"/>
  <c r="BD2" i="2"/>
  <c r="BB2" i="2"/>
  <c r="BH2" i="2"/>
  <c r="CE2" i="2"/>
  <c r="BF2" i="2"/>
  <c r="AV2" i="2"/>
  <c r="CM2" i="2" s="1"/>
  <c r="CN2" i="2" s="1"/>
  <c r="CO2" i="2" s="1"/>
  <c r="BZ2" i="2"/>
  <c r="BY2" i="2"/>
  <c r="CC2" i="2"/>
  <c r="AY2" i="2"/>
  <c r="CA2" i="2"/>
  <c r="BC2" i="2"/>
  <c r="BW2" i="2"/>
  <c r="BU2" i="2"/>
  <c r="BX2" i="2"/>
  <c r="AZ2" i="2"/>
  <c r="BT2" i="2"/>
  <c r="BV2" i="2"/>
  <c r="AX2" i="2"/>
  <c r="CE9" i="2"/>
  <c r="BP24" i="2"/>
  <c r="BO24" i="2"/>
  <c r="BN24" i="2"/>
  <c r="BM24" i="2"/>
  <c r="BL24" i="2"/>
  <c r="BK24" i="2"/>
  <c r="BJ24" i="2"/>
  <c r="BI24" i="2"/>
  <c r="BH24" i="2"/>
  <c r="CE24" i="2"/>
  <c r="BG24" i="2"/>
  <c r="CD24" i="2"/>
  <c r="BF24" i="2"/>
  <c r="BY24" i="2"/>
  <c r="CC24" i="2"/>
  <c r="BE24" i="2"/>
  <c r="CB24" i="2"/>
  <c r="BD24" i="2"/>
  <c r="BA24" i="2"/>
  <c r="CA24" i="2"/>
  <c r="BC24" i="2"/>
  <c r="BZ24" i="2"/>
  <c r="BB24" i="2"/>
  <c r="BX24" i="2"/>
  <c r="AZ24" i="2"/>
  <c r="BW24" i="2"/>
  <c r="AY24" i="2"/>
  <c r="BV24" i="2"/>
  <c r="AX24" i="2"/>
  <c r="BU24" i="2"/>
  <c r="AW24" i="2"/>
  <c r="BT24" i="2"/>
  <c r="AV24" i="2"/>
  <c r="BS24" i="2"/>
  <c r="AU24" i="2"/>
  <c r="CM24" i="2" s="1"/>
  <c r="CN24" i="2" s="1"/>
  <c r="CO24" i="2" s="1"/>
  <c r="BI46" i="2"/>
  <c r="BO46" i="2"/>
  <c r="BN46" i="2"/>
  <c r="BL46" i="2"/>
  <c r="BK46" i="2"/>
  <c r="BJ46" i="2"/>
  <c r="AZ8" i="2"/>
  <c r="BM5" i="2"/>
  <c r="BL5" i="2"/>
  <c r="BI5" i="2"/>
  <c r="CB5" i="2"/>
  <c r="BK5" i="2"/>
  <c r="BJ5" i="2"/>
  <c r="AX5" i="2"/>
  <c r="BH5" i="2"/>
  <c r="BD5" i="2"/>
  <c r="CE5" i="2"/>
  <c r="BG5" i="2"/>
  <c r="CD5" i="2"/>
  <c r="BF5" i="2"/>
  <c r="CC5" i="2"/>
  <c r="BE5" i="2"/>
  <c r="AY5" i="2"/>
  <c r="CA5" i="2"/>
  <c r="BC5" i="2"/>
  <c r="BZ5" i="2"/>
  <c r="BB5" i="2"/>
  <c r="BY5" i="2"/>
  <c r="BA5" i="2"/>
  <c r="BX5" i="2"/>
  <c r="AZ5" i="2"/>
  <c r="BW5" i="2"/>
  <c r="BV5" i="2"/>
  <c r="BK2" i="2"/>
  <c r="BQ8" i="2"/>
  <c r="BL2" i="2"/>
  <c r="BR8" i="2"/>
  <c r="BM2" i="2"/>
  <c r="BS8" i="2"/>
  <c r="CE7" i="2"/>
  <c r="BG7" i="2"/>
  <c r="CB7" i="2"/>
  <c r="BC7" i="2"/>
  <c r="AX7" i="2"/>
  <c r="BQ7" i="2"/>
  <c r="CD7" i="2"/>
  <c r="BF7" i="2"/>
  <c r="CC7" i="2"/>
  <c r="BE7" i="2"/>
  <c r="BD7" i="2"/>
  <c r="BV7" i="2"/>
  <c r="CA7" i="2"/>
  <c r="BZ7" i="2"/>
  <c r="BB7" i="2"/>
  <c r="BY7" i="2"/>
  <c r="BA7" i="2"/>
  <c r="BX7" i="2"/>
  <c r="AZ7" i="2"/>
  <c r="BP7" i="2"/>
  <c r="BW7" i="2"/>
  <c r="AY7" i="2"/>
  <c r="AS7" i="2"/>
  <c r="BU7" i="2"/>
  <c r="AW7" i="2"/>
  <c r="BT7" i="2"/>
  <c r="AV7" i="2"/>
  <c r="BS7" i="2"/>
  <c r="AU7" i="2"/>
  <c r="BR7" i="2"/>
  <c r="AT7" i="2"/>
  <c r="BS27" i="2"/>
  <c r="AU27" i="2"/>
  <c r="BR27" i="2"/>
  <c r="AT27" i="2"/>
  <c r="BQ27" i="2"/>
  <c r="AS27" i="2"/>
  <c r="BP27" i="2"/>
  <c r="BO27" i="2"/>
  <c r="BN27" i="2"/>
  <c r="BM27" i="2"/>
  <c r="BD27" i="2"/>
  <c r="BL27" i="2"/>
  <c r="BK27" i="2"/>
  <c r="BJ27" i="2"/>
  <c r="BI27" i="2"/>
  <c r="BH27" i="2"/>
  <c r="CE27" i="2"/>
  <c r="BG27" i="2"/>
  <c r="CD27" i="2"/>
  <c r="BF27" i="2"/>
  <c r="CC27" i="2"/>
  <c r="BE27" i="2"/>
  <c r="CB27" i="2"/>
  <c r="CA27" i="2"/>
  <c r="BC27" i="2"/>
  <c r="BZ27" i="2"/>
  <c r="BB27" i="2"/>
  <c r="BY27" i="2"/>
  <c r="BA27" i="2"/>
  <c r="BX27" i="2"/>
  <c r="AZ27" i="2"/>
  <c r="BW27" i="2"/>
  <c r="AY27" i="2"/>
  <c r="BV27" i="2"/>
  <c r="AX27" i="2"/>
  <c r="BN2" i="2"/>
  <c r="AS5" i="2"/>
  <c r="BT8" i="2"/>
  <c r="BN10" i="2"/>
  <c r="AY30" i="2"/>
  <c r="BB9" i="2"/>
  <c r="BR63" i="2"/>
  <c r="AZ63" i="2"/>
  <c r="AY63" i="2"/>
  <c r="AW63" i="2"/>
  <c r="AV63" i="2"/>
  <c r="AU63" i="2"/>
  <c r="BX63" i="2"/>
  <c r="BW63" i="2"/>
  <c r="BU63" i="2"/>
  <c r="BL65" i="2"/>
  <c r="BR65" i="2"/>
  <c r="BQ65" i="2"/>
  <c r="BO65" i="2"/>
  <c r="BN65" i="2"/>
  <c r="BM65" i="2"/>
  <c r="AT65" i="2"/>
  <c r="AS65" i="2"/>
  <c r="CC9" i="2"/>
  <c r="BF20" i="2"/>
  <c r="BZ11" i="2"/>
  <c r="AT2" i="2"/>
  <c r="AS10" i="2"/>
  <c r="AU2" i="2"/>
  <c r="CG2" i="2" s="1"/>
  <c r="CH2" i="2" s="1"/>
  <c r="AT10" i="2"/>
  <c r="BK10" i="2"/>
  <c r="BL10" i="2"/>
  <c r="BJ26" i="2"/>
  <c r="BI26" i="2"/>
  <c r="BH26" i="2"/>
  <c r="CE26" i="2"/>
  <c r="BG26" i="2"/>
  <c r="CD26" i="2"/>
  <c r="BF26" i="2"/>
  <c r="CC26" i="2"/>
  <c r="BE26" i="2"/>
  <c r="CB26" i="2"/>
  <c r="BD26" i="2"/>
  <c r="CA26" i="2"/>
  <c r="BC26" i="2"/>
  <c r="BZ26" i="2"/>
  <c r="BB26" i="2"/>
  <c r="BY26" i="2"/>
  <c r="BA26" i="2"/>
  <c r="BX26" i="2"/>
  <c r="AZ26" i="2"/>
  <c r="BW26" i="2"/>
  <c r="AY26" i="2"/>
  <c r="BV26" i="2"/>
  <c r="AX26" i="2"/>
  <c r="BU26" i="2"/>
  <c r="AW26" i="2"/>
  <c r="BS26" i="2"/>
  <c r="BT26" i="2"/>
  <c r="AV26" i="2"/>
  <c r="AU26" i="2"/>
  <c r="BR26" i="2"/>
  <c r="AT26" i="2"/>
  <c r="BQ26" i="2"/>
  <c r="AS26" i="2"/>
  <c r="BP26" i="2"/>
  <c r="BO26" i="2"/>
  <c r="BN26" i="2"/>
  <c r="BM26" i="2"/>
  <c r="BM10" i="2"/>
  <c r="CB28" i="2"/>
  <c r="BD28" i="2"/>
  <c r="CA28" i="2"/>
  <c r="BC28" i="2"/>
  <c r="BZ28" i="2"/>
  <c r="BB28" i="2"/>
  <c r="BY28" i="2"/>
  <c r="BA28" i="2"/>
  <c r="BX28" i="2"/>
  <c r="AZ28" i="2"/>
  <c r="BW28" i="2"/>
  <c r="AY28" i="2"/>
  <c r="BV28" i="2"/>
  <c r="AX28" i="2"/>
  <c r="BU28" i="2"/>
  <c r="AW28" i="2"/>
  <c r="BT28" i="2"/>
  <c r="AV28" i="2"/>
  <c r="BS28" i="2"/>
  <c r="AU28" i="2"/>
  <c r="BR28" i="2"/>
  <c r="AT28" i="2"/>
  <c r="BQ28" i="2"/>
  <c r="AS28" i="2"/>
  <c r="BP28" i="2"/>
  <c r="BO28" i="2"/>
  <c r="BN28" i="2"/>
  <c r="BM28" i="2"/>
  <c r="BL28" i="2"/>
  <c r="BK28" i="2"/>
  <c r="BJ28" i="2"/>
  <c r="BI28" i="2"/>
  <c r="BH28" i="2"/>
  <c r="CE28" i="2"/>
  <c r="BG28" i="2"/>
  <c r="BO2" i="2"/>
  <c r="AT5" i="2"/>
  <c r="CG5" i="2" s="1"/>
  <c r="CH5" i="2" s="1"/>
  <c r="BU8" i="2"/>
  <c r="BO10" i="2"/>
  <c r="AZ30" i="2"/>
  <c r="AS40" i="2"/>
  <c r="AZ50" i="2"/>
  <c r="AT52" i="2"/>
  <c r="CJ52" i="2" s="1"/>
  <c r="CB53" i="2"/>
  <c r="AS29" i="2"/>
  <c r="BQ29" i="2"/>
  <c r="BA50" i="2"/>
  <c r="AU52" i="2"/>
  <c r="CC53" i="2"/>
  <c r="AT29" i="2"/>
  <c r="BR29" i="2"/>
  <c r="BL31" i="2"/>
  <c r="BF33" i="2"/>
  <c r="CD33" i="2"/>
  <c r="BB50" i="2"/>
  <c r="AV52" i="2"/>
  <c r="CD53" i="2"/>
  <c r="BS57" i="2"/>
  <c r="AU29" i="2"/>
  <c r="BS29" i="2"/>
  <c r="BM31" i="2"/>
  <c r="BG33" i="2"/>
  <c r="CE33" i="2"/>
  <c r="BP34" i="2"/>
  <c r="BJ36" i="2"/>
  <c r="BC50" i="2"/>
  <c r="AW52" i="2"/>
  <c r="CE53" i="2"/>
  <c r="BT57" i="2"/>
  <c r="CG16" i="2"/>
  <c r="CH16" i="2" s="1"/>
  <c r="AV29" i="2"/>
  <c r="BT29" i="2"/>
  <c r="BN31" i="2"/>
  <c r="BH33" i="2"/>
  <c r="AS34" i="2"/>
  <c r="BQ34" i="2"/>
  <c r="BK36" i="2"/>
  <c r="BD50" i="2"/>
  <c r="AX52" i="2"/>
  <c r="AU55" i="2"/>
  <c r="AW29" i="2"/>
  <c r="BU29" i="2"/>
  <c r="BO31" i="2"/>
  <c r="BI33" i="2"/>
  <c r="AT34" i="2"/>
  <c r="BR34" i="2"/>
  <c r="BL36" i="2"/>
  <c r="BE50" i="2"/>
  <c r="AY52" i="2"/>
  <c r="AV55" i="2"/>
  <c r="AX29" i="2"/>
  <c r="BV29" i="2"/>
  <c r="BP31" i="2"/>
  <c r="BV50" i="2"/>
  <c r="BP52" i="2"/>
  <c r="AW55" i="2"/>
  <c r="BN12" i="2"/>
  <c r="BH14" i="2"/>
  <c r="AS15" i="2"/>
  <c r="BQ15" i="2"/>
  <c r="AY29" i="2"/>
  <c r="BW29" i="2"/>
  <c r="AS31" i="2"/>
  <c r="BQ31" i="2"/>
  <c r="BK33" i="2"/>
  <c r="AV34" i="2"/>
  <c r="BT34" i="2"/>
  <c r="BN36" i="2"/>
  <c r="BW50" i="2"/>
  <c r="BQ52" i="2"/>
  <c r="AX55" i="2"/>
  <c r="BP60" i="2"/>
  <c r="BO12" i="2"/>
  <c r="BI14" i="2"/>
  <c r="AT15" i="2"/>
  <c r="BR15" i="2"/>
  <c r="BC16" i="2"/>
  <c r="CM16" i="2" s="1"/>
  <c r="CN16" i="2" s="1"/>
  <c r="CO16" i="2" s="1"/>
  <c r="CA16" i="2"/>
  <c r="BL17" i="2"/>
  <c r="AW18" i="2"/>
  <c r="CG18" i="2" s="1"/>
  <c r="CH18" i="2" s="1"/>
  <c r="BU18" i="2"/>
  <c r="BF19" i="2"/>
  <c r="CD19" i="2"/>
  <c r="AZ29" i="2"/>
  <c r="BX29" i="2"/>
  <c r="AT31" i="2"/>
  <c r="BR31" i="2"/>
  <c r="BL33" i="2"/>
  <c r="AW34" i="2"/>
  <c r="BU34" i="2"/>
  <c r="BO36" i="2"/>
  <c r="BI38" i="2"/>
  <c r="AT39" i="2"/>
  <c r="CM39" i="2" s="1"/>
  <c r="CN39" i="2" s="1"/>
  <c r="CO39" i="2" s="1"/>
  <c r="BR39" i="2"/>
  <c r="BX50" i="2"/>
  <c r="BR52" i="2"/>
  <c r="AY55" i="2"/>
  <c r="BQ60" i="2"/>
  <c r="BP12" i="2"/>
  <c r="BJ14" i="2"/>
  <c r="AU15" i="2"/>
  <c r="BS15" i="2"/>
  <c r="BD16" i="2"/>
  <c r="CB16" i="2"/>
  <c r="BM17" i="2"/>
  <c r="AX18" i="2"/>
  <c r="BV18" i="2"/>
  <c r="BG19" i="2"/>
  <c r="CE19" i="2"/>
  <c r="BA29" i="2"/>
  <c r="BY29" i="2"/>
  <c r="AU31" i="2"/>
  <c r="BS31" i="2"/>
  <c r="BM33" i="2"/>
  <c r="AX34" i="2"/>
  <c r="BV34" i="2"/>
  <c r="BP36" i="2"/>
  <c r="BJ38" i="2"/>
  <c r="AU39" i="2"/>
  <c r="BS39" i="2"/>
  <c r="BY50" i="2"/>
  <c r="BS52" i="2"/>
  <c r="AZ55" i="2"/>
  <c r="AS12" i="2"/>
  <c r="BQ12" i="2"/>
  <c r="BK14" i="2"/>
  <c r="AV15" i="2"/>
  <c r="BT15" i="2"/>
  <c r="BE16" i="2"/>
  <c r="CC16" i="2"/>
  <c r="BN17" i="2"/>
  <c r="AY18" i="2"/>
  <c r="BW18" i="2"/>
  <c r="BH19" i="2"/>
  <c r="BB29" i="2"/>
  <c r="BZ29" i="2"/>
  <c r="AV31" i="2"/>
  <c r="BT31" i="2"/>
  <c r="BN33" i="2"/>
  <c r="AY34" i="2"/>
  <c r="BW34" i="2"/>
  <c r="AS36" i="2"/>
  <c r="BQ36" i="2"/>
  <c r="BK38" i="2"/>
  <c r="AV39" i="2"/>
  <c r="BT39" i="2"/>
  <c r="BZ50" i="2"/>
  <c r="BT52" i="2"/>
  <c r="BS55" i="2"/>
  <c r="AT12" i="2"/>
  <c r="BR12" i="2"/>
  <c r="BL14" i="2"/>
  <c r="AW15" i="2"/>
  <c r="BU15" i="2"/>
  <c r="BF16" i="2"/>
  <c r="CD16" i="2"/>
  <c r="BO17" i="2"/>
  <c r="AZ18" i="2"/>
  <c r="BX18" i="2"/>
  <c r="BI19" i="2"/>
  <c r="BC29" i="2"/>
  <c r="CA29" i="2"/>
  <c r="AW31" i="2"/>
  <c r="BU31" i="2"/>
  <c r="BO33" i="2"/>
  <c r="AZ34" i="2"/>
  <c r="BX34" i="2"/>
  <c r="AT36" i="2"/>
  <c r="BR36" i="2"/>
  <c r="BL38" i="2"/>
  <c r="AW39" i="2"/>
  <c r="BU39" i="2"/>
  <c r="CA50" i="2"/>
  <c r="BU52" i="2"/>
  <c r="BT55" i="2"/>
  <c r="BS12" i="2"/>
  <c r="AX15" i="2"/>
  <c r="BV15" i="2"/>
  <c r="BG16" i="2"/>
  <c r="CE16" i="2"/>
  <c r="BP17" i="2"/>
  <c r="BA18" i="2"/>
  <c r="BY18" i="2"/>
  <c r="BJ19" i="2"/>
  <c r="BD29" i="2"/>
  <c r="CB29" i="2"/>
  <c r="AX31" i="2"/>
  <c r="BV31" i="2"/>
  <c r="BP33" i="2"/>
  <c r="BA34" i="2"/>
  <c r="BY34" i="2"/>
  <c r="AU36" i="2"/>
  <c r="BS36" i="2"/>
  <c r="BM38" i="2"/>
  <c r="AX39" i="2"/>
  <c r="BV39" i="2"/>
  <c r="BD48" i="2"/>
  <c r="CB50" i="2"/>
  <c r="BV52" i="2"/>
  <c r="BU55" i="2"/>
  <c r="AV12" i="2"/>
  <c r="BT12" i="2"/>
  <c r="BN14" i="2"/>
  <c r="AY15" i="2"/>
  <c r="BW15" i="2"/>
  <c r="BH16" i="2"/>
  <c r="AS17" i="2"/>
  <c r="BQ17" i="2"/>
  <c r="BB18" i="2"/>
  <c r="BZ18" i="2"/>
  <c r="BK19" i="2"/>
  <c r="BE21" i="2"/>
  <c r="CM21" i="2" s="1"/>
  <c r="CN21" i="2" s="1"/>
  <c r="CO21" i="2" s="1"/>
  <c r="CC21" i="2"/>
  <c r="BN22" i="2"/>
  <c r="BE29" i="2"/>
  <c r="CC29" i="2"/>
  <c r="AY31" i="2"/>
  <c r="BW31" i="2"/>
  <c r="AS33" i="2"/>
  <c r="BQ33" i="2"/>
  <c r="BB34" i="2"/>
  <c r="BZ34" i="2"/>
  <c r="AV36" i="2"/>
  <c r="BT36" i="2"/>
  <c r="BN38" i="2"/>
  <c r="AY39" i="2"/>
  <c r="BW39" i="2"/>
  <c r="BE48" i="2"/>
  <c r="CC50" i="2"/>
  <c r="BW52" i="2"/>
  <c r="BV55" i="2"/>
  <c r="AW12" i="2"/>
  <c r="BU12" i="2"/>
  <c r="BO14" i="2"/>
  <c r="AZ15" i="2"/>
  <c r="BX15" i="2"/>
  <c r="BI16" i="2"/>
  <c r="AT17" i="2"/>
  <c r="BR17" i="2"/>
  <c r="BC18" i="2"/>
  <c r="CA18" i="2"/>
  <c r="BL19" i="2"/>
  <c r="BF21" i="2"/>
  <c r="CG21" i="2" s="1"/>
  <c r="CH21" i="2" s="1"/>
  <c r="CD21" i="2"/>
  <c r="BO22" i="2"/>
  <c r="BF29" i="2"/>
  <c r="CD29" i="2"/>
  <c r="AZ31" i="2"/>
  <c r="BX31" i="2"/>
  <c r="AT33" i="2"/>
  <c r="BR33" i="2"/>
  <c r="BC34" i="2"/>
  <c r="CA34" i="2"/>
  <c r="AW36" i="2"/>
  <c r="BU36" i="2"/>
  <c r="BO38" i="2"/>
  <c r="AZ39" i="2"/>
  <c r="BX39" i="2"/>
  <c r="BF48" i="2"/>
  <c r="BG51" i="2"/>
  <c r="BA53" i="2"/>
  <c r="BW55" i="2"/>
  <c r="AU12" i="2"/>
  <c r="AX12" i="2"/>
  <c r="BV12" i="2"/>
  <c r="BP14" i="2"/>
  <c r="BA15" i="2"/>
  <c r="BY15" i="2"/>
  <c r="BJ16" i="2"/>
  <c r="AU17" i="2"/>
  <c r="BS17" i="2"/>
  <c r="BD18" i="2"/>
  <c r="CB18" i="2"/>
  <c r="BM19" i="2"/>
  <c r="BG21" i="2"/>
  <c r="CE21" i="2"/>
  <c r="BP22" i="2"/>
  <c r="BG29" i="2"/>
  <c r="CE29" i="2"/>
  <c r="BA31" i="2"/>
  <c r="BY31" i="2"/>
  <c r="AU33" i="2"/>
  <c r="BS33" i="2"/>
  <c r="BD34" i="2"/>
  <c r="CB34" i="2"/>
  <c r="AX36" i="2"/>
  <c r="BV36" i="2"/>
  <c r="BP38" i="2"/>
  <c r="BA39" i="2"/>
  <c r="BY39" i="2"/>
  <c r="BG48" i="2"/>
  <c r="BH51" i="2"/>
  <c r="BB53" i="2"/>
  <c r="BX55" i="2"/>
  <c r="BM14" i="2"/>
  <c r="AY12" i="2"/>
  <c r="BW12" i="2"/>
  <c r="AS14" i="2"/>
  <c r="BQ14" i="2"/>
  <c r="BB15" i="2"/>
  <c r="BZ15" i="2"/>
  <c r="BK16" i="2"/>
  <c r="AV17" i="2"/>
  <c r="BT17" i="2"/>
  <c r="BE18" i="2"/>
  <c r="CC18" i="2"/>
  <c r="BN19" i="2"/>
  <c r="BH21" i="2"/>
  <c r="AS22" i="2"/>
  <c r="BQ22" i="2"/>
  <c r="BH29" i="2"/>
  <c r="BB31" i="2"/>
  <c r="BZ31" i="2"/>
  <c r="AV33" i="2"/>
  <c r="BT33" i="2"/>
  <c r="BE34" i="2"/>
  <c r="CC34" i="2"/>
  <c r="AY36" i="2"/>
  <c r="BW36" i="2"/>
  <c r="AS38" i="2"/>
  <c r="BQ38" i="2"/>
  <c r="BB39" i="2"/>
  <c r="BZ39" i="2"/>
  <c r="BH48" i="2"/>
  <c r="BI51" i="2"/>
  <c r="BC53" i="2"/>
  <c r="AS57" i="2"/>
  <c r="AZ12" i="2"/>
  <c r="BX12" i="2"/>
  <c r="AT14" i="2"/>
  <c r="BR14" i="2"/>
  <c r="BC15" i="2"/>
  <c r="CA15" i="2"/>
  <c r="BL16" i="2"/>
  <c r="AW17" i="2"/>
  <c r="BU17" i="2"/>
  <c r="BF18" i="2"/>
  <c r="CD18" i="2"/>
  <c r="BO19" i="2"/>
  <c r="BI21" i="2"/>
  <c r="AT22" i="2"/>
  <c r="BR22" i="2"/>
  <c r="BI29" i="2"/>
  <c r="BC31" i="2"/>
  <c r="CA31" i="2"/>
  <c r="AW33" i="2"/>
  <c r="BU33" i="2"/>
  <c r="BF34" i="2"/>
  <c r="CD34" i="2"/>
  <c r="AZ36" i="2"/>
  <c r="BX36" i="2"/>
  <c r="AT38" i="2"/>
  <c r="BR38" i="2"/>
  <c r="BC39" i="2"/>
  <c r="CA39" i="2"/>
  <c r="BI48" i="2"/>
  <c r="BJ51" i="2"/>
  <c r="BD53" i="2"/>
  <c r="AT57" i="2"/>
  <c r="BA12" i="2"/>
  <c r="AU14" i="2"/>
  <c r="CB15" i="2"/>
  <c r="AX17" i="2"/>
  <c r="BV17" i="2"/>
  <c r="BG18" i="2"/>
  <c r="CE18" i="2"/>
  <c r="BP19" i="2"/>
  <c r="BJ21" i="2"/>
  <c r="AU22" i="2"/>
  <c r="BS22" i="2"/>
  <c r="BJ29" i="2"/>
  <c r="BD31" i="2"/>
  <c r="CB31" i="2"/>
  <c r="AX33" i="2"/>
  <c r="BV33" i="2"/>
  <c r="BG34" i="2"/>
  <c r="CE34" i="2"/>
  <c r="BA36" i="2"/>
  <c r="BY36" i="2"/>
  <c r="AU38" i="2"/>
  <c r="BS38" i="2"/>
  <c r="BD39" i="2"/>
  <c r="CB39" i="2"/>
  <c r="CB48" i="2"/>
  <c r="BK51" i="2"/>
  <c r="BE53" i="2"/>
  <c r="AU57" i="2"/>
  <c r="BY12" i="2"/>
  <c r="BM16" i="2"/>
  <c r="AS3" i="2"/>
  <c r="BQ3" i="2"/>
  <c r="BB4" i="2"/>
  <c r="CG4" i="2" s="1"/>
  <c r="CH4" i="2" s="1"/>
  <c r="BZ4" i="2"/>
  <c r="BB12" i="2"/>
  <c r="BZ12" i="2"/>
  <c r="AV14" i="2"/>
  <c r="BT14" i="2"/>
  <c r="BE15" i="2"/>
  <c r="CC15" i="2"/>
  <c r="BN16" i="2"/>
  <c r="AY17" i="2"/>
  <c r="BW17" i="2"/>
  <c r="BH18" i="2"/>
  <c r="AS19" i="2"/>
  <c r="BQ19" i="2"/>
  <c r="BK21" i="2"/>
  <c r="AV22" i="2"/>
  <c r="BT22" i="2"/>
  <c r="BK29" i="2"/>
  <c r="BE31" i="2"/>
  <c r="CC31" i="2"/>
  <c r="AY33" i="2"/>
  <c r="BW33" i="2"/>
  <c r="BH34" i="2"/>
  <c r="BB36" i="2"/>
  <c r="BZ36" i="2"/>
  <c r="AV38" i="2"/>
  <c r="BT38" i="2"/>
  <c r="BE39" i="2"/>
  <c r="CC39" i="2"/>
  <c r="CC48" i="2"/>
  <c r="BL51" i="2"/>
  <c r="BF53" i="2"/>
  <c r="AV57" i="2"/>
  <c r="BD15" i="2"/>
  <c r="AT3" i="2"/>
  <c r="BR3" i="2"/>
  <c r="BC4" i="2"/>
  <c r="CA4" i="2"/>
  <c r="BC12" i="2"/>
  <c r="CA12" i="2"/>
  <c r="AW14" i="2"/>
  <c r="BU14" i="2"/>
  <c r="BF15" i="2"/>
  <c r="CD15" i="2"/>
  <c r="BO16" i="2"/>
  <c r="AZ17" i="2"/>
  <c r="BX17" i="2"/>
  <c r="BI18" i="2"/>
  <c r="AT19" i="2"/>
  <c r="BR19" i="2"/>
  <c r="BL21" i="2"/>
  <c r="AW22" i="2"/>
  <c r="BU22" i="2"/>
  <c r="BL29" i="2"/>
  <c r="BF31" i="2"/>
  <c r="CD31" i="2"/>
  <c r="AZ33" i="2"/>
  <c r="BX33" i="2"/>
  <c r="BI34" i="2"/>
  <c r="BC36" i="2"/>
  <c r="CA36" i="2"/>
  <c r="AW38" i="2"/>
  <c r="BU38" i="2"/>
  <c r="BF39" i="2"/>
  <c r="CD39" i="2"/>
  <c r="CD48" i="2"/>
  <c r="BM51" i="2"/>
  <c r="BG53" i="2"/>
  <c r="BM57" i="2"/>
  <c r="BS14" i="2"/>
  <c r="AU3" i="2"/>
  <c r="BD4" i="2"/>
  <c r="BD12" i="2"/>
  <c r="AX14" i="2"/>
  <c r="BG15" i="2"/>
  <c r="BA17" i="2"/>
  <c r="AU19" i="2"/>
  <c r="AX22" i="2"/>
  <c r="BG31" i="2"/>
  <c r="BA33" i="2"/>
  <c r="BD36" i="2"/>
  <c r="AX38" i="2"/>
  <c r="BG39" i="2"/>
  <c r="CG39" i="2" s="1"/>
  <c r="CH39" i="2" s="1"/>
  <c r="CE48" i="2"/>
  <c r="BN51" i="2"/>
  <c r="BY53" i="2"/>
  <c r="BN57" i="2"/>
  <c r="BB57" i="3"/>
  <c r="BT57" i="3"/>
  <c r="BU57" i="3"/>
  <c r="BV57" i="3"/>
  <c r="BW57" i="3"/>
  <c r="CE57" i="3"/>
  <c r="CA62" i="3"/>
  <c r="CB62" i="3"/>
  <c r="CC62" i="3"/>
  <c r="CD62" i="3"/>
  <c r="CE62" i="3"/>
  <c r="BT15" i="3"/>
  <c r="BR15" i="3"/>
  <c r="BQ15" i="3"/>
  <c r="BV16" i="3"/>
  <c r="CE16" i="3"/>
  <c r="BJ16" i="3"/>
  <c r="BI16" i="3"/>
  <c r="BH16" i="3"/>
  <c r="BG16" i="3"/>
  <c r="BF16" i="3"/>
  <c r="BE16" i="3"/>
  <c r="BD16" i="3"/>
  <c r="BC16" i="3"/>
  <c r="BB16" i="3"/>
  <c r="BT17" i="3"/>
  <c r="BQ17" i="3"/>
  <c r="BR17" i="3"/>
  <c r="BV21" i="3"/>
  <c r="BT21" i="3"/>
  <c r="BS21" i="3"/>
  <c r="BR21" i="3"/>
  <c r="BQ21" i="3"/>
  <c r="CA21" i="3"/>
  <c r="BP21" i="3"/>
  <c r="BO21" i="3"/>
  <c r="BN21" i="3"/>
  <c r="BM21" i="3"/>
  <c r="BL21" i="3"/>
  <c r="BK21" i="3"/>
  <c r="BJ21" i="3"/>
  <c r="AZ21" i="3"/>
  <c r="AY21" i="3"/>
  <c r="AX21" i="3"/>
  <c r="AS21" i="3"/>
  <c r="CE21" i="3"/>
  <c r="BW40" i="3"/>
  <c r="BY40" i="3"/>
  <c r="BV40" i="3"/>
  <c r="BU40" i="3"/>
  <c r="AS40" i="3"/>
  <c r="BR22" i="3"/>
  <c r="BO22" i="3"/>
  <c r="BN22" i="3"/>
  <c r="BM22" i="3"/>
  <c r="BL22" i="3"/>
  <c r="BK22" i="3"/>
  <c r="BG22" i="3"/>
  <c r="BF22" i="3"/>
  <c r="BE22" i="3"/>
  <c r="BD22" i="3"/>
  <c r="BP22" i="3"/>
  <c r="BC22" i="3"/>
  <c r="CE22" i="3"/>
  <c r="BB22" i="3"/>
  <c r="CD22" i="3"/>
  <c r="BA22" i="3"/>
  <c r="CC22" i="3"/>
  <c r="AZ22" i="3"/>
  <c r="CB22" i="3"/>
  <c r="AY22" i="3"/>
  <c r="CA22" i="3"/>
  <c r="AX22" i="3"/>
  <c r="BZ22" i="3"/>
  <c r="AW22" i="3"/>
  <c r="BY22" i="3"/>
  <c r="AV22" i="3"/>
  <c r="BX22" i="3"/>
  <c r="AU22" i="3"/>
  <c r="BW22" i="3"/>
  <c r="AT22" i="3"/>
  <c r="BV22" i="3"/>
  <c r="AS22" i="3"/>
  <c r="CJ22" i="3" s="1"/>
  <c r="BU22" i="3"/>
  <c r="BT22" i="3"/>
  <c r="BQ22" i="3"/>
  <c r="BZ23" i="3"/>
  <c r="BV23" i="3"/>
  <c r="BU23" i="3"/>
  <c r="BT23" i="3"/>
  <c r="BS23" i="3"/>
  <c r="BR23" i="3"/>
  <c r="BQ23" i="3"/>
  <c r="BP23" i="3"/>
  <c r="BR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CE34" i="3"/>
  <c r="BB34" i="3"/>
  <c r="CD34" i="3"/>
  <c r="BA34" i="3"/>
  <c r="CC34" i="3"/>
  <c r="AZ34" i="3"/>
  <c r="CB34" i="3"/>
  <c r="AY34" i="3"/>
  <c r="CA34" i="3"/>
  <c r="AU34" i="3"/>
  <c r="BZ34" i="3"/>
  <c r="AT34" i="3"/>
  <c r="BY34" i="3"/>
  <c r="AS34" i="3"/>
  <c r="BO34" i="3"/>
  <c r="BX34" i="3"/>
  <c r="BW34" i="3"/>
  <c r="BQ34" i="3"/>
  <c r="BP34" i="3"/>
  <c r="BY11" i="3"/>
  <c r="CC11" i="3"/>
  <c r="CA11" i="3"/>
  <c r="BT11" i="3"/>
  <c r="BS11" i="3"/>
  <c r="BP11" i="3"/>
  <c r="BO11" i="3"/>
  <c r="BN11" i="3"/>
  <c r="BM11" i="3"/>
  <c r="BL11" i="3"/>
  <c r="BK11" i="3"/>
  <c r="BJ11" i="3"/>
  <c r="BI11" i="3"/>
  <c r="BH11" i="3"/>
  <c r="CD11" i="3"/>
  <c r="BB11" i="3"/>
  <c r="BA11" i="3"/>
  <c r="AZ11" i="3"/>
  <c r="AU11" i="3"/>
  <c r="CE11" i="3"/>
  <c r="AW24" i="3"/>
  <c r="AX24" i="3"/>
  <c r="AV4" i="3"/>
  <c r="AY24" i="3"/>
  <c r="AT7" i="3"/>
  <c r="AV19" i="3"/>
  <c r="BE24" i="3"/>
  <c r="AW4" i="3"/>
  <c r="BA4" i="3"/>
  <c r="AU7" i="3"/>
  <c r="BF24" i="3"/>
  <c r="BB4" i="3"/>
  <c r="AX7" i="3"/>
  <c r="BG24" i="3"/>
  <c r="AY7" i="3"/>
  <c r="BH24" i="3"/>
  <c r="BD4" i="3"/>
  <c r="AZ7" i="3"/>
  <c r="BN24" i="3"/>
  <c r="BE4" i="3"/>
  <c r="BF7" i="3"/>
  <c r="BO24" i="3"/>
  <c r="BC4" i="3"/>
  <c r="BF4" i="3"/>
  <c r="BP24" i="3"/>
  <c r="BG7" i="3"/>
  <c r="BG4" i="3"/>
  <c r="BH7" i="3"/>
  <c r="BQ24" i="3"/>
  <c r="CB38" i="3"/>
  <c r="BH4" i="3"/>
  <c r="BI7" i="3"/>
  <c r="BU24" i="3"/>
  <c r="BI4" i="3"/>
  <c r="BJ7" i="3"/>
  <c r="BV24" i="3"/>
  <c r="BM4" i="3"/>
  <c r="BK7" i="3"/>
  <c r="CC24" i="3"/>
  <c r="BO4" i="3"/>
  <c r="BL7" i="3"/>
  <c r="CD24" i="3"/>
  <c r="BP4" i="3"/>
  <c r="BM7" i="3"/>
  <c r="CE24" i="3"/>
  <c r="AU38" i="3"/>
  <c r="BQ4" i="3"/>
  <c r="BN7" i="3"/>
  <c r="AV38" i="3"/>
  <c r="BZ4" i="3"/>
  <c r="BR7" i="3"/>
  <c r="BQ30" i="3"/>
  <c r="AW38" i="3"/>
  <c r="CA4" i="3"/>
  <c r="BS7" i="3"/>
  <c r="BR30" i="3"/>
  <c r="BF38" i="3"/>
  <c r="CB4" i="3"/>
  <c r="BW7" i="3"/>
  <c r="BG38" i="3"/>
  <c r="CC4" i="3"/>
  <c r="BX7" i="3"/>
  <c r="AS28" i="3"/>
  <c r="BZ33" i="3"/>
  <c r="BH38" i="3"/>
  <c r="CD4" i="3"/>
  <c r="BZ7" i="3"/>
  <c r="AU28" i="3"/>
  <c r="CA33" i="3"/>
  <c r="BI38" i="3"/>
  <c r="BM3" i="3"/>
  <c r="CE4" i="3"/>
  <c r="AV28" i="3"/>
  <c r="AT33" i="3"/>
  <c r="CB33" i="3"/>
  <c r="BR47" i="2"/>
  <c r="AT47" i="2"/>
  <c r="BU47" i="2"/>
  <c r="BQ47" i="2"/>
  <c r="AS47" i="2"/>
  <c r="BW47" i="2"/>
  <c r="AW47" i="2"/>
  <c r="AV47" i="2"/>
  <c r="BS47" i="2"/>
  <c r="BP47" i="2"/>
  <c r="BO47" i="2"/>
  <c r="BN47" i="2"/>
  <c r="BM47" i="2"/>
  <c r="AZ47" i="2"/>
  <c r="BL47" i="2"/>
  <c r="BK47" i="2"/>
  <c r="BJ47" i="2"/>
  <c r="AY47" i="2"/>
  <c r="BI47" i="2"/>
  <c r="BH47" i="2"/>
  <c r="BX47" i="2"/>
  <c r="AU47" i="2"/>
  <c r="CE47" i="2"/>
  <c r="BG47" i="2"/>
  <c r="CD47" i="2"/>
  <c r="BF47" i="2"/>
  <c r="CC47" i="2"/>
  <c r="BE47" i="2"/>
  <c r="CB47" i="2"/>
  <c r="BD47" i="2"/>
  <c r="CA47" i="2"/>
  <c r="BC47" i="2"/>
  <c r="BZ47" i="2"/>
  <c r="BB47" i="2"/>
  <c r="BY47" i="2"/>
  <c r="BA47" i="2"/>
  <c r="BV47" i="2"/>
  <c r="AX47" i="2"/>
  <c r="BT47" i="2"/>
  <c r="BL49" i="2"/>
  <c r="BQ49" i="2"/>
  <c r="BK49" i="2"/>
  <c r="BR49" i="2"/>
  <c r="BJ49" i="2"/>
  <c r="BI49" i="2"/>
  <c r="BH49" i="2"/>
  <c r="CE49" i="2"/>
  <c r="BG49" i="2"/>
  <c r="CD49" i="2"/>
  <c r="BF49" i="2"/>
  <c r="CC49" i="2"/>
  <c r="BE49" i="2"/>
  <c r="CB49" i="2"/>
  <c r="BD49" i="2"/>
  <c r="CA49" i="2"/>
  <c r="BC49" i="2"/>
  <c r="AT49" i="2"/>
  <c r="BZ49" i="2"/>
  <c r="BB49" i="2"/>
  <c r="BN49" i="2"/>
  <c r="BY49" i="2"/>
  <c r="BA49" i="2"/>
  <c r="AS49" i="2"/>
  <c r="CJ49" i="2" s="1"/>
  <c r="BX49" i="2"/>
  <c r="AZ49" i="2"/>
  <c r="BW49" i="2"/>
  <c r="AY49" i="2"/>
  <c r="BV49" i="2"/>
  <c r="AX49" i="2"/>
  <c r="BU49" i="2"/>
  <c r="AW49" i="2"/>
  <c r="BT49" i="2"/>
  <c r="AV49" i="2"/>
  <c r="BS49" i="2"/>
  <c r="AU49" i="2"/>
  <c r="BP49" i="2"/>
  <c r="BO49" i="2"/>
  <c r="BM49" i="2"/>
  <c r="BI54" i="2"/>
  <c r="BH54" i="2"/>
  <c r="BN54" i="2"/>
  <c r="CE54" i="2"/>
  <c r="BG54" i="2"/>
  <c r="CD54" i="2"/>
  <c r="BF54" i="2"/>
  <c r="CC54" i="2"/>
  <c r="BE54" i="2"/>
  <c r="CB54" i="2"/>
  <c r="BD54" i="2"/>
  <c r="BJ54" i="2"/>
  <c r="CA54" i="2"/>
  <c r="BC54" i="2"/>
  <c r="BZ54" i="2"/>
  <c r="BB54" i="2"/>
  <c r="BK54" i="2"/>
  <c r="BY54" i="2"/>
  <c r="BA54" i="2"/>
  <c r="BO54" i="2"/>
  <c r="BX54" i="2"/>
  <c r="AZ54" i="2"/>
  <c r="BW54" i="2"/>
  <c r="AY54" i="2"/>
  <c r="BV54" i="2"/>
  <c r="AX54" i="2"/>
  <c r="BU54" i="2"/>
  <c r="AW54" i="2"/>
  <c r="BT54" i="2"/>
  <c r="AV54" i="2"/>
  <c r="BS54" i="2"/>
  <c r="AU54" i="2"/>
  <c r="BR54" i="2"/>
  <c r="AT54" i="2"/>
  <c r="BQ54" i="2"/>
  <c r="AS54" i="2"/>
  <c r="BP54" i="2"/>
  <c r="BM54" i="2"/>
  <c r="BL54" i="2"/>
  <c r="CA56" i="2"/>
  <c r="BC56" i="2"/>
  <c r="BZ56" i="2"/>
  <c r="BB56" i="2"/>
  <c r="BY56" i="2"/>
  <c r="BA56" i="2"/>
  <c r="BH56" i="2"/>
  <c r="BX56" i="2"/>
  <c r="AZ56" i="2"/>
  <c r="BE56" i="2"/>
  <c r="BW56" i="2"/>
  <c r="AY56" i="2"/>
  <c r="BV56" i="2"/>
  <c r="AX56" i="2"/>
  <c r="BU56" i="2"/>
  <c r="AW56" i="2"/>
  <c r="BT56" i="2"/>
  <c r="AV56" i="2"/>
  <c r="BI56" i="2"/>
  <c r="CB56" i="2"/>
  <c r="BS56" i="2"/>
  <c r="AU56" i="2"/>
  <c r="BR56" i="2"/>
  <c r="AT56" i="2"/>
  <c r="BQ56" i="2"/>
  <c r="AS56" i="2"/>
  <c r="BP56" i="2"/>
  <c r="BO56" i="2"/>
  <c r="BN56" i="2"/>
  <c r="BM56" i="2"/>
  <c r="BD56" i="2"/>
  <c r="BL56" i="2"/>
  <c r="BK56" i="2"/>
  <c r="BJ56" i="2"/>
  <c r="CE56" i="2"/>
  <c r="BG56" i="2"/>
  <c r="CD56" i="2"/>
  <c r="BF56" i="2"/>
  <c r="CC56" i="2"/>
  <c r="AY42" i="2"/>
  <c r="BX42" i="2"/>
  <c r="AZ58" i="2"/>
  <c r="BX58" i="2"/>
  <c r="BI59" i="2"/>
  <c r="AT60" i="2"/>
  <c r="BR60" i="2"/>
  <c r="BC61" i="2"/>
  <c r="CA61" i="2"/>
  <c r="BA42" i="2"/>
  <c r="BY42" i="2"/>
  <c r="BJ43" i="2"/>
  <c r="AU44" i="2"/>
  <c r="BS44" i="2"/>
  <c r="BD45" i="2"/>
  <c r="CB45" i="2"/>
  <c r="BM46" i="2"/>
  <c r="BA58" i="2"/>
  <c r="BY58" i="2"/>
  <c r="BJ59" i="2"/>
  <c r="AU60" i="2"/>
  <c r="CJ60" i="2" s="1"/>
  <c r="BS60" i="2"/>
  <c r="BD61" i="2"/>
  <c r="CB61" i="2"/>
  <c r="BM62" i="2"/>
  <c r="AX63" i="2"/>
  <c r="BV63" i="2"/>
  <c r="BG64" i="2"/>
  <c r="CE64" i="2"/>
  <c r="BP65" i="2"/>
  <c r="AZ42" i="2"/>
  <c r="BZ58" i="2"/>
  <c r="BC42" i="2"/>
  <c r="BD42" i="2"/>
  <c r="CB42" i="2"/>
  <c r="BM43" i="2"/>
  <c r="AX44" i="2"/>
  <c r="BV44" i="2"/>
  <c r="BG45" i="2"/>
  <c r="CE45" i="2"/>
  <c r="BP46" i="2"/>
  <c r="BJ48" i="2"/>
  <c r="BA55" i="2"/>
  <c r="BY55" i="2"/>
  <c r="BD58" i="2"/>
  <c r="CB58" i="2"/>
  <c r="BM59" i="2"/>
  <c r="AX60" i="2"/>
  <c r="BV60" i="2"/>
  <c r="BG61" i="2"/>
  <c r="CE61" i="2"/>
  <c r="BP62" i="2"/>
  <c r="BA63" i="2"/>
  <c r="BY63" i="2"/>
  <c r="BJ64" i="2"/>
  <c r="AU65" i="2"/>
  <c r="BS65" i="2"/>
  <c r="AX58" i="2"/>
  <c r="AY58" i="2"/>
  <c r="BE42" i="2"/>
  <c r="CC42" i="2"/>
  <c r="BN43" i="2"/>
  <c r="AY44" i="2"/>
  <c r="BW44" i="2"/>
  <c r="BH45" i="2"/>
  <c r="AS46" i="2"/>
  <c r="BQ46" i="2"/>
  <c r="BK48" i="2"/>
  <c r="BH53" i="2"/>
  <c r="BB55" i="2"/>
  <c r="BZ55" i="2"/>
  <c r="BE58" i="2"/>
  <c r="CC58" i="2"/>
  <c r="BN59" i="2"/>
  <c r="AY60" i="2"/>
  <c r="BW60" i="2"/>
  <c r="BH61" i="2"/>
  <c r="AS62" i="2"/>
  <c r="BQ62" i="2"/>
  <c r="BB63" i="2"/>
  <c r="BZ63" i="2"/>
  <c r="BK64" i="2"/>
  <c r="AV65" i="2"/>
  <c r="BT65" i="2"/>
  <c r="BV58" i="2"/>
  <c r="AW60" i="2"/>
  <c r="BF42" i="2"/>
  <c r="CD42" i="2"/>
  <c r="BO43" i="2"/>
  <c r="AZ44" i="2"/>
  <c r="BX44" i="2"/>
  <c r="BI45" i="2"/>
  <c r="AT46" i="2"/>
  <c r="BR46" i="2"/>
  <c r="BL48" i="2"/>
  <c r="BF50" i="2"/>
  <c r="CD50" i="2"/>
  <c r="BO51" i="2"/>
  <c r="AZ52" i="2"/>
  <c r="BX52" i="2"/>
  <c r="BI53" i="2"/>
  <c r="BC55" i="2"/>
  <c r="CA55" i="2"/>
  <c r="AW57" i="2"/>
  <c r="BU57" i="2"/>
  <c r="BF58" i="2"/>
  <c r="CD58" i="2"/>
  <c r="BO59" i="2"/>
  <c r="AZ60" i="2"/>
  <c r="BX60" i="2"/>
  <c r="BI61" i="2"/>
  <c r="AT62" i="2"/>
  <c r="BR62" i="2"/>
  <c r="BC63" i="2"/>
  <c r="CA63" i="2"/>
  <c r="BL64" i="2"/>
  <c r="AW65" i="2"/>
  <c r="BU65" i="2"/>
  <c r="BH59" i="2"/>
  <c r="AV60" i="2"/>
  <c r="BY44" i="2"/>
  <c r="BJ45" i="2"/>
  <c r="AU46" i="2"/>
  <c r="BS46" i="2"/>
  <c r="BM48" i="2"/>
  <c r="BG50" i="2"/>
  <c r="CE50" i="2"/>
  <c r="BP51" i="2"/>
  <c r="BA52" i="2"/>
  <c r="BY52" i="2"/>
  <c r="BJ53" i="2"/>
  <c r="BD55" i="2"/>
  <c r="CB55" i="2"/>
  <c r="AX57" i="2"/>
  <c r="BV57" i="2"/>
  <c r="BG58" i="2"/>
  <c r="CE58" i="2"/>
  <c r="BP59" i="2"/>
  <c r="BA60" i="2"/>
  <c r="BY60" i="2"/>
  <c r="BJ61" i="2"/>
  <c r="AU62" i="2"/>
  <c r="BS62" i="2"/>
  <c r="BD63" i="2"/>
  <c r="CB63" i="2"/>
  <c r="BM64" i="2"/>
  <c r="AX65" i="2"/>
  <c r="BV65" i="2"/>
  <c r="CA42" i="2"/>
  <c r="BH42" i="2"/>
  <c r="BQ43" i="2"/>
  <c r="BB44" i="2"/>
  <c r="BK45" i="2"/>
  <c r="AV46" i="2"/>
  <c r="BT46" i="2"/>
  <c r="BN48" i="2"/>
  <c r="BH50" i="2"/>
  <c r="AS51" i="2"/>
  <c r="BQ51" i="2"/>
  <c r="BB52" i="2"/>
  <c r="BZ52" i="2"/>
  <c r="BK53" i="2"/>
  <c r="BE55" i="2"/>
  <c r="CC55" i="2"/>
  <c r="AY57" i="2"/>
  <c r="BW57" i="2"/>
  <c r="BH58" i="2"/>
  <c r="AS59" i="2"/>
  <c r="BQ59" i="2"/>
  <c r="BB60" i="2"/>
  <c r="BZ60" i="2"/>
  <c r="BK61" i="2"/>
  <c r="AV62" i="2"/>
  <c r="BT62" i="2"/>
  <c r="BE63" i="2"/>
  <c r="CC63" i="2"/>
  <c r="BN64" i="2"/>
  <c r="AY65" i="2"/>
  <c r="BW65" i="2"/>
  <c r="BB42" i="2"/>
  <c r="BU44" i="2"/>
  <c r="BL59" i="2"/>
  <c r="CE42" i="2"/>
  <c r="AS43" i="2"/>
  <c r="BI42" i="2"/>
  <c r="AT43" i="2"/>
  <c r="BR43" i="2"/>
  <c r="BC44" i="2"/>
  <c r="CA44" i="2"/>
  <c r="BL45" i="2"/>
  <c r="AW46" i="2"/>
  <c r="BU46" i="2"/>
  <c r="BO48" i="2"/>
  <c r="BI50" i="2"/>
  <c r="AT51" i="2"/>
  <c r="BR51" i="2"/>
  <c r="BC52" i="2"/>
  <c r="CA52" i="2"/>
  <c r="BL53" i="2"/>
  <c r="BF55" i="2"/>
  <c r="CD55" i="2"/>
  <c r="AZ57" i="2"/>
  <c r="BX57" i="2"/>
  <c r="BI58" i="2"/>
  <c r="AT59" i="2"/>
  <c r="BR59" i="2"/>
  <c r="BC60" i="2"/>
  <c r="CA60" i="2"/>
  <c r="BL61" i="2"/>
  <c r="AW62" i="2"/>
  <c r="BU62" i="2"/>
  <c r="BF63" i="2"/>
  <c r="CD63" i="2"/>
  <c r="BO64" i="2"/>
  <c r="AZ65" i="2"/>
  <c r="BX65" i="2"/>
  <c r="AV44" i="2"/>
  <c r="CM44" i="2" s="1"/>
  <c r="CN44" i="2" s="1"/>
  <c r="CO44" i="2" s="1"/>
  <c r="BB58" i="2"/>
  <c r="BF45" i="2"/>
  <c r="CD61" i="2"/>
  <c r="BZ44" i="2"/>
  <c r="BJ42" i="2"/>
  <c r="AU43" i="2"/>
  <c r="BS43" i="2"/>
  <c r="BD44" i="2"/>
  <c r="CB44" i="2"/>
  <c r="BM45" i="2"/>
  <c r="AX46" i="2"/>
  <c r="BV46" i="2"/>
  <c r="BP48" i="2"/>
  <c r="BJ50" i="2"/>
  <c r="AU51" i="2"/>
  <c r="BS51" i="2"/>
  <c r="BD52" i="2"/>
  <c r="CB52" i="2"/>
  <c r="BM53" i="2"/>
  <c r="BG55" i="2"/>
  <c r="CE55" i="2"/>
  <c r="BA57" i="2"/>
  <c r="BY57" i="2"/>
  <c r="BJ58" i="2"/>
  <c r="AU59" i="2"/>
  <c r="BS59" i="2"/>
  <c r="BD60" i="2"/>
  <c r="CB60" i="2"/>
  <c r="BM61" i="2"/>
  <c r="AX62" i="2"/>
  <c r="BV62" i="2"/>
  <c r="BG63" i="2"/>
  <c r="CE63" i="2"/>
  <c r="BP64" i="2"/>
  <c r="BA65" i="2"/>
  <c r="BY65" i="2"/>
  <c r="BE61" i="2"/>
  <c r="BF61" i="2"/>
  <c r="BP43" i="2"/>
  <c r="BK42" i="2"/>
  <c r="AV43" i="2"/>
  <c r="BT43" i="2"/>
  <c r="BE44" i="2"/>
  <c r="CC44" i="2"/>
  <c r="BN45" i="2"/>
  <c r="AY46" i="2"/>
  <c r="BW46" i="2"/>
  <c r="AS48" i="2"/>
  <c r="BQ48" i="2"/>
  <c r="BK50" i="2"/>
  <c r="AV51" i="2"/>
  <c r="BT51" i="2"/>
  <c r="BE52" i="2"/>
  <c r="CC52" i="2"/>
  <c r="BN53" i="2"/>
  <c r="BH55" i="2"/>
  <c r="BB57" i="2"/>
  <c r="BZ57" i="2"/>
  <c r="BK58" i="2"/>
  <c r="AV59" i="2"/>
  <c r="BT59" i="2"/>
  <c r="BE60" i="2"/>
  <c r="CC60" i="2"/>
  <c r="BN61" i="2"/>
  <c r="AY62" i="2"/>
  <c r="BW62" i="2"/>
  <c r="BH63" i="2"/>
  <c r="AS64" i="2"/>
  <c r="BQ64" i="2"/>
  <c r="BB65" i="2"/>
  <c r="BZ65" i="2"/>
  <c r="BO62" i="2"/>
  <c r="BA44" i="2"/>
  <c r="BL42" i="2"/>
  <c r="AW43" i="2"/>
  <c r="BU43" i="2"/>
  <c r="BF44" i="2"/>
  <c r="CD44" i="2"/>
  <c r="BO45" i="2"/>
  <c r="AZ46" i="2"/>
  <c r="BX46" i="2"/>
  <c r="AT48" i="2"/>
  <c r="BR48" i="2"/>
  <c r="BL50" i="2"/>
  <c r="AW51" i="2"/>
  <c r="BU51" i="2"/>
  <c r="BF52" i="2"/>
  <c r="CD52" i="2"/>
  <c r="BO53" i="2"/>
  <c r="BI55" i="2"/>
  <c r="BC57" i="2"/>
  <c r="CA57" i="2"/>
  <c r="BL58" i="2"/>
  <c r="AW59" i="2"/>
  <c r="BU59" i="2"/>
  <c r="BF60" i="2"/>
  <c r="CD60" i="2"/>
  <c r="BO61" i="2"/>
  <c r="AZ62" i="2"/>
  <c r="BX62" i="2"/>
  <c r="BI63" i="2"/>
  <c r="AT64" i="2"/>
  <c r="BR64" i="2"/>
  <c r="BC65" i="2"/>
  <c r="CA65" i="2"/>
  <c r="BI43" i="2"/>
  <c r="BT60" i="2"/>
  <c r="CD45" i="2"/>
  <c r="BM42" i="2"/>
  <c r="AX43" i="2"/>
  <c r="BV43" i="2"/>
  <c r="BG44" i="2"/>
  <c r="CE44" i="2"/>
  <c r="BP45" i="2"/>
  <c r="BA46" i="2"/>
  <c r="BY46" i="2"/>
  <c r="AU48" i="2"/>
  <c r="BS48" i="2"/>
  <c r="BM50" i="2"/>
  <c r="AX51" i="2"/>
  <c r="BV51" i="2"/>
  <c r="BG52" i="2"/>
  <c r="CE52" i="2"/>
  <c r="BP53" i="2"/>
  <c r="BJ55" i="2"/>
  <c r="BD57" i="2"/>
  <c r="CB57" i="2"/>
  <c r="BM58" i="2"/>
  <c r="AX59" i="2"/>
  <c r="BV59" i="2"/>
  <c r="BG60" i="2"/>
  <c r="CE60" i="2"/>
  <c r="BP61" i="2"/>
  <c r="BA62" i="2"/>
  <c r="BY62" i="2"/>
  <c r="BJ63" i="2"/>
  <c r="AU64" i="2"/>
  <c r="BS64" i="2"/>
  <c r="BD65" i="2"/>
  <c r="CB65" i="2"/>
  <c r="BN42" i="2"/>
  <c r="AY43" i="2"/>
  <c r="BW43" i="2"/>
  <c r="BH44" i="2"/>
  <c r="AS45" i="2"/>
  <c r="CJ45" i="2" s="1"/>
  <c r="BQ45" i="2"/>
  <c r="BB46" i="2"/>
  <c r="BZ46" i="2"/>
  <c r="AV48" i="2"/>
  <c r="BT48" i="2"/>
  <c r="BN50" i="2"/>
  <c r="AY51" i="2"/>
  <c r="BW51" i="2"/>
  <c r="BH52" i="2"/>
  <c r="AS53" i="2"/>
  <c r="BQ53" i="2"/>
  <c r="BK55" i="2"/>
  <c r="BE57" i="2"/>
  <c r="CC57" i="2"/>
  <c r="BN58" i="2"/>
  <c r="AY59" i="2"/>
  <c r="BW59" i="2"/>
  <c r="BH60" i="2"/>
  <c r="AS61" i="2"/>
  <c r="BQ61" i="2"/>
  <c r="BB62" i="2"/>
  <c r="BZ62" i="2"/>
  <c r="BK63" i="2"/>
  <c r="AV64" i="2"/>
  <c r="BT64" i="2"/>
  <c r="BE65" i="2"/>
  <c r="CC65" i="2"/>
  <c r="BZ42" i="2"/>
  <c r="BK59" i="2"/>
  <c r="BO42" i="2"/>
  <c r="AZ43" i="2"/>
  <c r="BX43" i="2"/>
  <c r="BI44" i="2"/>
  <c r="AT45" i="2"/>
  <c r="BR45" i="2"/>
  <c r="BC46" i="2"/>
  <c r="CA46" i="2"/>
  <c r="AW48" i="2"/>
  <c r="BU48" i="2"/>
  <c r="BO50" i="2"/>
  <c r="AZ51" i="2"/>
  <c r="BX51" i="2"/>
  <c r="BI52" i="2"/>
  <c r="AT53" i="2"/>
  <c r="BR53" i="2"/>
  <c r="BL55" i="2"/>
  <c r="BF57" i="2"/>
  <c r="CD57" i="2"/>
  <c r="BO58" i="2"/>
  <c r="AZ59" i="2"/>
  <c r="BX59" i="2"/>
  <c r="BI60" i="2"/>
  <c r="AT61" i="2"/>
  <c r="BR61" i="2"/>
  <c r="BC62" i="2"/>
  <c r="CA62" i="2"/>
  <c r="BL63" i="2"/>
  <c r="AW64" i="2"/>
  <c r="BU64" i="2"/>
  <c r="BF65" i="2"/>
  <c r="CD65" i="2"/>
  <c r="BW42" i="2"/>
  <c r="BW58" i="2"/>
  <c r="BU60" i="2"/>
  <c r="BP42" i="2"/>
  <c r="BA43" i="2"/>
  <c r="BY43" i="2"/>
  <c r="BJ44" i="2"/>
  <c r="AU45" i="2"/>
  <c r="BS45" i="2"/>
  <c r="BD46" i="2"/>
  <c r="CB46" i="2"/>
  <c r="AX48" i="2"/>
  <c r="BV48" i="2"/>
  <c r="BP50" i="2"/>
  <c r="BA51" i="2"/>
  <c r="BY51" i="2"/>
  <c r="BJ52" i="2"/>
  <c r="AU53" i="2"/>
  <c r="BS53" i="2"/>
  <c r="BM55" i="2"/>
  <c r="BG57" i="2"/>
  <c r="CE57" i="2"/>
  <c r="BP58" i="2"/>
  <c r="BA59" i="2"/>
  <c r="BY59" i="2"/>
  <c r="BJ60" i="2"/>
  <c r="AU61" i="2"/>
  <c r="BS61" i="2"/>
  <c r="BD62" i="2"/>
  <c r="CB62" i="2"/>
  <c r="BM63" i="2"/>
  <c r="AX64" i="2"/>
  <c r="BV64" i="2"/>
  <c r="BG65" i="2"/>
  <c r="CE65" i="2"/>
  <c r="AS42" i="2"/>
  <c r="BQ42" i="2"/>
  <c r="BB43" i="2"/>
  <c r="BZ43" i="2"/>
  <c r="BK44" i="2"/>
  <c r="AV45" i="2"/>
  <c r="BT45" i="2"/>
  <c r="BE46" i="2"/>
  <c r="CC46" i="2"/>
  <c r="AY48" i="2"/>
  <c r="BW48" i="2"/>
  <c r="AS50" i="2"/>
  <c r="BQ50" i="2"/>
  <c r="BB51" i="2"/>
  <c r="BZ51" i="2"/>
  <c r="BK52" i="2"/>
  <c r="AV53" i="2"/>
  <c r="BT53" i="2"/>
  <c r="BN55" i="2"/>
  <c r="BH57" i="2"/>
  <c r="AS58" i="2"/>
  <c r="BQ58" i="2"/>
  <c r="BB59" i="2"/>
  <c r="BZ59" i="2"/>
  <c r="BK60" i="2"/>
  <c r="AV61" i="2"/>
  <c r="BT61" i="2"/>
  <c r="BE62" i="2"/>
  <c r="CC62" i="2"/>
  <c r="BN63" i="2"/>
  <c r="AY64" i="2"/>
  <c r="BW64" i="2"/>
  <c r="BH65" i="2"/>
  <c r="AT42" i="2"/>
  <c r="BR42" i="2"/>
  <c r="BC43" i="2"/>
  <c r="CA43" i="2"/>
  <c r="BL44" i="2"/>
  <c r="AW45" i="2"/>
  <c r="BU45" i="2"/>
  <c r="BF46" i="2"/>
  <c r="CD46" i="2"/>
  <c r="AZ48" i="2"/>
  <c r="BX48" i="2"/>
  <c r="AT50" i="2"/>
  <c r="BR50" i="2"/>
  <c r="BC51" i="2"/>
  <c r="CA51" i="2"/>
  <c r="BL52" i="2"/>
  <c r="AW53" i="2"/>
  <c r="BU53" i="2"/>
  <c r="BO55" i="2"/>
  <c r="BI57" i="2"/>
  <c r="AT58" i="2"/>
  <c r="BR58" i="2"/>
  <c r="BC59" i="2"/>
  <c r="CA59" i="2"/>
  <c r="BL60" i="2"/>
  <c r="AW61" i="2"/>
  <c r="BU61" i="2"/>
  <c r="BF62" i="2"/>
  <c r="CD62" i="2"/>
  <c r="BO63" i="2"/>
  <c r="AZ64" i="2"/>
  <c r="BX64" i="2"/>
  <c r="BI65" i="2"/>
  <c r="AU42" i="2"/>
  <c r="BS42" i="2"/>
  <c r="BD43" i="2"/>
  <c r="CB43" i="2"/>
  <c r="BM44" i="2"/>
  <c r="AX45" i="2"/>
  <c r="BV45" i="2"/>
  <c r="BG46" i="2"/>
  <c r="CE46" i="2"/>
  <c r="BA48" i="2"/>
  <c r="BY48" i="2"/>
  <c r="AU50" i="2"/>
  <c r="BS50" i="2"/>
  <c r="BD51" i="2"/>
  <c r="CB51" i="2"/>
  <c r="BM52" i="2"/>
  <c r="AX53" i="2"/>
  <c r="BV53" i="2"/>
  <c r="BP55" i="2"/>
  <c r="BJ57" i="2"/>
  <c r="AU58" i="2"/>
  <c r="BS58" i="2"/>
  <c r="BD59" i="2"/>
  <c r="CB59" i="2"/>
  <c r="BM60" i="2"/>
  <c r="AX61" i="2"/>
  <c r="BV61" i="2"/>
  <c r="BG62" i="2"/>
  <c r="CE62" i="2"/>
  <c r="BP63" i="2"/>
  <c r="BA64" i="2"/>
  <c r="BY64" i="2"/>
  <c r="BJ65" i="2"/>
  <c r="BK43" i="2"/>
  <c r="CC61" i="2"/>
  <c r="BL43" i="2"/>
  <c r="CA58" i="2"/>
  <c r="BG42" i="2"/>
  <c r="AV42" i="2"/>
  <c r="BT42" i="2"/>
  <c r="BE43" i="2"/>
  <c r="CC43" i="2"/>
  <c r="BN44" i="2"/>
  <c r="AY45" i="2"/>
  <c r="BW45" i="2"/>
  <c r="BH46" i="2"/>
  <c r="BB48" i="2"/>
  <c r="BZ48" i="2"/>
  <c r="AV50" i="2"/>
  <c r="BT50" i="2"/>
  <c r="BE51" i="2"/>
  <c r="CC51" i="2"/>
  <c r="BN52" i="2"/>
  <c r="AY53" i="2"/>
  <c r="BW53" i="2"/>
  <c r="AS55" i="2"/>
  <c r="BQ55" i="2"/>
  <c r="BK57" i="2"/>
  <c r="AV58" i="2"/>
  <c r="BT58" i="2"/>
  <c r="BE59" i="2"/>
  <c r="CC59" i="2"/>
  <c r="BN60" i="2"/>
  <c r="AY61" i="2"/>
  <c r="BW61" i="2"/>
  <c r="BH62" i="2"/>
  <c r="AS63" i="2"/>
  <c r="BQ63" i="2"/>
  <c r="BB64" i="2"/>
  <c r="BZ64" i="2"/>
  <c r="BK65" i="2"/>
  <c r="BT44" i="2"/>
  <c r="AW44" i="2"/>
  <c r="BC58" i="2"/>
  <c r="AW42" i="2"/>
  <c r="BF43" i="2"/>
  <c r="AZ45" i="2"/>
  <c r="BC48" i="2"/>
  <c r="AW50" i="2"/>
  <c r="BF51" i="2"/>
  <c r="AZ53" i="2"/>
  <c r="AT55" i="2"/>
  <c r="AW58" i="2"/>
  <c r="BF59" i="2"/>
  <c r="AZ61" i="2"/>
  <c r="AT63" i="2"/>
  <c r="BC64" i="2"/>
  <c r="AU41" i="2"/>
  <c r="AS41" i="2"/>
  <c r="AT41" i="2"/>
  <c r="AW41" i="2"/>
  <c r="BB41" i="2"/>
  <c r="BH41" i="2"/>
  <c r="BN41" i="2"/>
  <c r="BO41" i="2"/>
  <c r="BP41" i="2"/>
  <c r="BQ41" i="2"/>
  <c r="BR41" i="2"/>
  <c r="BM41" i="2"/>
  <c r="BS41" i="2"/>
  <c r="BU41" i="2"/>
  <c r="BW41" i="2"/>
  <c r="BZ41" i="2"/>
  <c r="CA41" i="2"/>
  <c r="CC41" i="2"/>
  <c r="AV41" i="2"/>
  <c r="BT41" i="2"/>
  <c r="AX41" i="2"/>
  <c r="BV41" i="2"/>
  <c r="AY41" i="2"/>
  <c r="AZ41" i="2"/>
  <c r="BX41" i="2"/>
  <c r="BA41" i="2"/>
  <c r="BY41" i="2"/>
  <c r="BC41" i="2"/>
  <c r="BD41" i="2"/>
  <c r="CB41" i="2"/>
  <c r="BE41" i="2"/>
  <c r="BF41" i="2"/>
  <c r="CD41" i="2"/>
  <c r="BG41" i="2"/>
  <c r="CE41" i="2"/>
  <c r="BI41" i="2"/>
  <c r="BJ41" i="2"/>
  <c r="BK41" i="2"/>
  <c r="BU48" i="3"/>
  <c r="BO48" i="3"/>
  <c r="BN48" i="3"/>
  <c r="BM48" i="3"/>
  <c r="BL48" i="3"/>
  <c r="BK48" i="3"/>
  <c r="BJ48" i="3"/>
  <c r="BI48" i="3"/>
  <c r="BH48" i="3"/>
  <c r="BG48" i="3"/>
  <c r="BJ60" i="3"/>
  <c r="BK60" i="3"/>
  <c r="BL60" i="3"/>
  <c r="BR60" i="3"/>
  <c r="BS60" i="3"/>
  <c r="BT60" i="3"/>
  <c r="BU60" i="3"/>
  <c r="BV60" i="3"/>
  <c r="BX60" i="3"/>
  <c r="BX62" i="3"/>
  <c r="BY62" i="3"/>
  <c r="AZ57" i="3"/>
  <c r="BZ62" i="3"/>
  <c r="CA46" i="3"/>
  <c r="BZ46" i="3"/>
  <c r="BW46" i="3"/>
  <c r="AS46" i="3"/>
  <c r="CC46" i="3"/>
  <c r="BY47" i="3"/>
  <c r="BX47" i="3"/>
  <c r="BW47" i="3"/>
  <c r="BV47" i="3"/>
  <c r="BU47" i="3"/>
  <c r="BT47" i="3"/>
  <c r="BS47" i="3"/>
  <c r="BR47" i="3"/>
  <c r="CD58" i="3"/>
  <c r="CC58" i="3"/>
  <c r="CA58" i="3"/>
  <c r="BZ58" i="3"/>
  <c r="BY58" i="3"/>
  <c r="BX58" i="3"/>
  <c r="BW58" i="3"/>
  <c r="BK58" i="3"/>
  <c r="BJ58" i="3"/>
  <c r="BI58" i="3"/>
  <c r="BA58" i="3"/>
  <c r="AY58" i="3"/>
  <c r="AU58" i="3"/>
  <c r="BU61" i="3"/>
  <c r="BF61" i="3"/>
  <c r="BG61" i="3"/>
  <c r="BE61" i="3"/>
  <c r="BC61" i="3"/>
  <c r="BB61" i="3"/>
  <c r="BA61" i="3"/>
  <c r="AZ61" i="3"/>
  <c r="AY61" i="3"/>
  <c r="CE61" i="3"/>
  <c r="AX61" i="3"/>
  <c r="CD61" i="3"/>
  <c r="AW61" i="3"/>
  <c r="CC61" i="3"/>
  <c r="AV61" i="3"/>
  <c r="CA61" i="3"/>
  <c r="AU61" i="3"/>
  <c r="BZ61" i="3"/>
  <c r="AT61" i="3"/>
  <c r="BY61" i="3"/>
  <c r="AS61" i="3"/>
  <c r="BX61" i="3"/>
  <c r="BW61" i="3"/>
  <c r="BT61" i="3"/>
  <c r="BS61" i="3"/>
  <c r="BR61" i="3"/>
  <c r="BQ61" i="3"/>
  <c r="BP61" i="3"/>
  <c r="BO61" i="3"/>
  <c r="BN61" i="3"/>
  <c r="BH61" i="3"/>
  <c r="BX42" i="3"/>
  <c r="AV42" i="3"/>
  <c r="AU42" i="3"/>
  <c r="AS42" i="3"/>
  <c r="AW42" i="3"/>
  <c r="CD42" i="3"/>
  <c r="CC42" i="3"/>
  <c r="CB42" i="3"/>
  <c r="BZ42" i="3"/>
  <c r="BV42" i="3"/>
  <c r="BU42" i="3"/>
  <c r="BT42" i="3"/>
  <c r="BS42" i="3"/>
  <c r="BR42" i="3"/>
  <c r="BQ42" i="3"/>
  <c r="BP42" i="3"/>
  <c r="BO42" i="3"/>
  <c r="BG42" i="3"/>
  <c r="BF42" i="3"/>
  <c r="BC42" i="3"/>
  <c r="CB56" i="3"/>
  <c r="AV56" i="3"/>
  <c r="AU56" i="3"/>
  <c r="AT56" i="3"/>
  <c r="BX56" i="3"/>
  <c r="BW56" i="3"/>
  <c r="BN56" i="3"/>
  <c r="BV56" i="3"/>
  <c r="BU56" i="3"/>
  <c r="BT56" i="3"/>
  <c r="BS56" i="3"/>
  <c r="BR56" i="3"/>
  <c r="BQ56" i="3"/>
  <c r="BP56" i="3"/>
  <c r="BO56" i="3"/>
  <c r="AX52" i="3"/>
  <c r="AY52" i="3"/>
  <c r="AZ52" i="3"/>
  <c r="AU55" i="3"/>
  <c r="BA52" i="3"/>
  <c r="AV55" i="3"/>
  <c r="BB52" i="3"/>
  <c r="AX55" i="3"/>
  <c r="BC52" i="3"/>
  <c r="AY55" i="3"/>
  <c r="BD52" i="3"/>
  <c r="AZ55" i="3"/>
  <c r="BE52" i="3"/>
  <c r="BI55" i="3"/>
  <c r="BP48" i="3"/>
  <c r="BF52" i="3"/>
  <c r="BJ55" i="3"/>
  <c r="BQ48" i="3"/>
  <c r="BG52" i="3"/>
  <c r="BK55" i="3"/>
  <c r="BW48" i="3"/>
  <c r="BH52" i="3"/>
  <c r="BL55" i="3"/>
  <c r="BX48" i="3"/>
  <c r="BI52" i="3"/>
  <c r="BM55" i="3"/>
  <c r="AS48" i="3"/>
  <c r="BY48" i="3"/>
  <c r="BL52" i="3"/>
  <c r="BW55" i="3"/>
  <c r="BA57" i="3"/>
  <c r="AW48" i="3"/>
  <c r="BZ48" i="3"/>
  <c r="BM52" i="3"/>
  <c r="BX55" i="3"/>
  <c r="AX48" i="3"/>
  <c r="CA48" i="3"/>
  <c r="BQ52" i="3"/>
  <c r="BY55" i="3"/>
  <c r="BC57" i="3"/>
  <c r="AY48" i="3"/>
  <c r="CB48" i="3"/>
  <c r="BR52" i="3"/>
  <c r="BZ55" i="3"/>
  <c r="BD57" i="3"/>
  <c r="AZ48" i="3"/>
  <c r="CC48" i="3"/>
  <c r="BS52" i="3"/>
  <c r="CA55" i="3"/>
  <c r="BE57" i="3"/>
  <c r="BA48" i="3"/>
  <c r="CD48" i="3"/>
  <c r="BT52" i="3"/>
  <c r="BF57" i="3"/>
  <c r="AU62" i="3"/>
  <c r="BB48" i="3"/>
  <c r="CE48" i="3"/>
  <c r="CA52" i="3"/>
  <c r="BG57" i="3"/>
  <c r="AV62" i="3"/>
  <c r="BC48" i="3"/>
  <c r="CB52" i="3"/>
  <c r="BH57" i="3"/>
  <c r="AW62" i="3"/>
  <c r="BD48" i="3"/>
  <c r="CC52" i="3"/>
  <c r="BI57" i="3"/>
  <c r="BC62" i="3"/>
  <c r="BE48" i="3"/>
  <c r="CD52" i="3"/>
  <c r="BJ57" i="3"/>
  <c r="BE62" i="3"/>
  <c r="BF48" i="3"/>
  <c r="AZ41" i="3"/>
  <c r="BB41" i="3"/>
  <c r="BC41" i="3"/>
  <c r="BD41" i="3"/>
  <c r="BM41" i="3"/>
  <c r="BN41" i="3"/>
  <c r="BO41" i="3"/>
  <c r="BP41" i="3"/>
  <c r="BQ41" i="3"/>
  <c r="BR41" i="3"/>
  <c r="BS41" i="3"/>
  <c r="BZ41" i="3"/>
  <c r="CA41" i="3"/>
  <c r="CE53" i="3"/>
  <c r="CC53" i="3"/>
  <c r="CB53" i="3"/>
  <c r="CA53" i="3"/>
  <c r="BZ53" i="3"/>
  <c r="BW53" i="3"/>
  <c r="BV53" i="3"/>
  <c r="BQ53" i="3"/>
  <c r="BP53" i="3"/>
  <c r="BO53" i="3"/>
  <c r="BN53" i="3"/>
  <c r="BB53" i="3"/>
  <c r="BA53" i="3"/>
  <c r="AZ53" i="3"/>
  <c r="AS53" i="3"/>
  <c r="CD53" i="3"/>
  <c r="BE63" i="3"/>
  <c r="BO63" i="3"/>
  <c r="CA63" i="3"/>
  <c r="CC63" i="3"/>
  <c r="BB63" i="3"/>
  <c r="BX20" i="3"/>
  <c r="AZ20" i="3"/>
  <c r="BW20" i="3"/>
  <c r="AY20" i="3"/>
  <c r="BZ20" i="3"/>
  <c r="AX20" i="3"/>
  <c r="BY20" i="3"/>
  <c r="AW20" i="3"/>
  <c r="BL20" i="3"/>
  <c r="BK20" i="3"/>
  <c r="BJ20" i="3"/>
  <c r="BQ20" i="3"/>
  <c r="BP20" i="3"/>
  <c r="BO20" i="3"/>
  <c r="BN20" i="3"/>
  <c r="BM20" i="3"/>
  <c r="BI20" i="3"/>
  <c r="BH20" i="3"/>
  <c r="BG20" i="3"/>
  <c r="BF20" i="3"/>
  <c r="BE20" i="3"/>
  <c r="BD20" i="3"/>
  <c r="BC20" i="3"/>
  <c r="BB20" i="3"/>
  <c r="BR20" i="3"/>
  <c r="BA20" i="3"/>
  <c r="CE20" i="3"/>
  <c r="AV20" i="3"/>
  <c r="CD20" i="3"/>
  <c r="AU20" i="3"/>
  <c r="CC20" i="3"/>
  <c r="AT20" i="3"/>
  <c r="CB20" i="3"/>
  <c r="AS20" i="3"/>
  <c r="CJ20" i="3" s="1"/>
  <c r="CA20" i="3"/>
  <c r="BV20" i="3"/>
  <c r="BU20" i="3"/>
  <c r="BT20" i="3"/>
  <c r="BS20" i="3"/>
  <c r="BS43" i="3"/>
  <c r="AU43" i="3"/>
  <c r="BR43" i="3"/>
  <c r="AT43" i="3"/>
  <c r="BQ43" i="3"/>
  <c r="AS43" i="3"/>
  <c r="BP43" i="3"/>
  <c r="BO43" i="3"/>
  <c r="CC43" i="3"/>
  <c r="AZ43" i="3"/>
  <c r="CB43" i="3"/>
  <c r="AY43" i="3"/>
  <c r="CA43" i="3"/>
  <c r="AX43" i="3"/>
  <c r="BZ43" i="3"/>
  <c r="AW43" i="3"/>
  <c r="BY43" i="3"/>
  <c r="AV43" i="3"/>
  <c r="BB43" i="3"/>
  <c r="BA43" i="3"/>
  <c r="CE43" i="3"/>
  <c r="CD43" i="3"/>
  <c r="BX43" i="3"/>
  <c r="BW43" i="3"/>
  <c r="BV43" i="3"/>
  <c r="BU43" i="3"/>
  <c r="BT43" i="3"/>
  <c r="BC43" i="3"/>
  <c r="BN43" i="3"/>
  <c r="BM43" i="3"/>
  <c r="BL43" i="3"/>
  <c r="BK43" i="3"/>
  <c r="BJ43" i="3"/>
  <c r="BI43" i="3"/>
  <c r="BH43" i="3"/>
  <c r="BG43" i="3"/>
  <c r="BF43" i="3"/>
  <c r="BE43" i="3"/>
  <c r="BD43" i="3"/>
  <c r="CA59" i="3"/>
  <c r="BC59" i="3"/>
  <c r="BZ59" i="3"/>
  <c r="BB59" i="3"/>
  <c r="BY59" i="3"/>
  <c r="BA59" i="3"/>
  <c r="BW59" i="3"/>
  <c r="AY59" i="3"/>
  <c r="BQ59" i="3"/>
  <c r="BP59" i="3"/>
  <c r="BM59" i="3"/>
  <c r="BJ59" i="3"/>
  <c r="BI59" i="3"/>
  <c r="BH59" i="3"/>
  <c r="BG59" i="3"/>
  <c r="BF59" i="3"/>
  <c r="BE59" i="3"/>
  <c r="BD59" i="3"/>
  <c r="BO59" i="3"/>
  <c r="BR59" i="3"/>
  <c r="BN59" i="3"/>
  <c r="BL59" i="3"/>
  <c r="BK59" i="3"/>
  <c r="AZ59" i="3"/>
  <c r="AX59" i="3"/>
  <c r="AW59" i="3"/>
  <c r="AV59" i="3"/>
  <c r="AU59" i="3"/>
  <c r="AT59" i="3"/>
  <c r="AS59" i="3"/>
  <c r="CE59" i="3"/>
  <c r="CD59" i="3"/>
  <c r="CC59" i="3"/>
  <c r="CB59" i="3"/>
  <c r="BX59" i="3"/>
  <c r="BV59" i="3"/>
  <c r="BU59" i="3"/>
  <c r="BT59" i="3"/>
  <c r="BS59" i="3"/>
  <c r="BX44" i="3"/>
  <c r="AZ44" i="3"/>
  <c r="BW44" i="3"/>
  <c r="AY44" i="3"/>
  <c r="BV44" i="3"/>
  <c r="AX44" i="3"/>
  <c r="CD44" i="3"/>
  <c r="BC44" i="3"/>
  <c r="CC44" i="3"/>
  <c r="BB44" i="3"/>
  <c r="BO44" i="3"/>
  <c r="BN44" i="3"/>
  <c r="BM44" i="3"/>
  <c r="BL44" i="3"/>
  <c r="BK44" i="3"/>
  <c r="AS44" i="3"/>
  <c r="CE44" i="3"/>
  <c r="CB44" i="3"/>
  <c r="CA44" i="3"/>
  <c r="BZ44" i="3"/>
  <c r="BY44" i="3"/>
  <c r="BU44" i="3"/>
  <c r="BT44" i="3"/>
  <c r="BS44" i="3"/>
  <c r="BR44" i="3"/>
  <c r="BQ44" i="3"/>
  <c r="BP44" i="3"/>
  <c r="BJ44" i="3"/>
  <c r="BI44" i="3"/>
  <c r="BH44" i="3"/>
  <c r="BG44" i="3"/>
  <c r="BF44" i="3"/>
  <c r="BE44" i="3"/>
  <c r="BD44" i="3"/>
  <c r="BA44" i="3"/>
  <c r="AW44" i="3"/>
  <c r="AV44" i="3"/>
  <c r="AU44" i="3"/>
  <c r="AT44" i="3"/>
  <c r="CC45" i="3"/>
  <c r="BE45" i="3"/>
  <c r="CB45" i="3"/>
  <c r="BD45" i="3"/>
  <c r="CA45" i="3"/>
  <c r="BC45" i="3"/>
  <c r="BN45" i="3"/>
  <c r="BM45" i="3"/>
  <c r="BA45" i="3"/>
  <c r="AZ45" i="3"/>
  <c r="CE45" i="3"/>
  <c r="AY45" i="3"/>
  <c r="CD45" i="3"/>
  <c r="AX45" i="3"/>
  <c r="BZ45" i="3"/>
  <c r="AW45" i="3"/>
  <c r="BW45" i="3"/>
  <c r="BV45" i="3"/>
  <c r="BX45" i="3"/>
  <c r="BU45" i="3"/>
  <c r="BT45" i="3"/>
  <c r="BS45" i="3"/>
  <c r="BR45" i="3"/>
  <c r="BQ45" i="3"/>
  <c r="BP45" i="3"/>
  <c r="BO45" i="3"/>
  <c r="BL45" i="3"/>
  <c r="BK45" i="3"/>
  <c r="BJ45" i="3"/>
  <c r="BI45" i="3"/>
  <c r="BH45" i="3"/>
  <c r="BG45" i="3"/>
  <c r="BF45" i="3"/>
  <c r="BB45" i="3"/>
  <c r="AV45" i="3"/>
  <c r="AU45" i="3"/>
  <c r="AT45" i="3"/>
  <c r="AS45" i="3"/>
  <c r="BY45" i="3"/>
  <c r="BZ54" i="3"/>
  <c r="BB54" i="3"/>
  <c r="BY54" i="3"/>
  <c r="BA54" i="3"/>
  <c r="BX54" i="3"/>
  <c r="AZ54" i="3"/>
  <c r="BI54" i="3"/>
  <c r="BH54" i="3"/>
  <c r="BE54" i="3"/>
  <c r="AY54" i="3"/>
  <c r="CE54" i="3"/>
  <c r="AX54" i="3"/>
  <c r="CD54" i="3"/>
  <c r="AW54" i="3"/>
  <c r="CC54" i="3"/>
  <c r="AV54" i="3"/>
  <c r="CB54" i="3"/>
  <c r="AU54" i="3"/>
  <c r="CA54" i="3"/>
  <c r="AT54" i="3"/>
  <c r="BL54" i="3"/>
  <c r="BK54" i="3"/>
  <c r="BJ54" i="3"/>
  <c r="BG54" i="3"/>
  <c r="BF54" i="3"/>
  <c r="BD54" i="3"/>
  <c r="BC54" i="3"/>
  <c r="AS54" i="3"/>
  <c r="BW54" i="3"/>
  <c r="BV54" i="3"/>
  <c r="BU54" i="3"/>
  <c r="BT54" i="3"/>
  <c r="BS54" i="3"/>
  <c r="BR54" i="3"/>
  <c r="BQ54" i="3"/>
  <c r="BP54" i="3"/>
  <c r="BO54" i="3"/>
  <c r="BN54" i="3"/>
  <c r="CA35" i="3"/>
  <c r="BC35" i="3"/>
  <c r="BZ35" i="3"/>
  <c r="BB35" i="3"/>
  <c r="BY35" i="3"/>
  <c r="BA35" i="3"/>
  <c r="BF35" i="3"/>
  <c r="BE35" i="3"/>
  <c r="BN35" i="3"/>
  <c r="BM35" i="3"/>
  <c r="BL35" i="3"/>
  <c r="CD35" i="3"/>
  <c r="AU35" i="3"/>
  <c r="CC35" i="3"/>
  <c r="AT35" i="3"/>
  <c r="CB35" i="3"/>
  <c r="AS35" i="3"/>
  <c r="CJ35" i="3" s="1"/>
  <c r="BX35" i="3"/>
  <c r="BW35" i="3"/>
  <c r="BV35" i="3"/>
  <c r="BU35" i="3"/>
  <c r="BT35" i="3"/>
  <c r="BS35" i="3"/>
  <c r="BR35" i="3"/>
  <c r="BQ35" i="3"/>
  <c r="BP35" i="3"/>
  <c r="BO35" i="3"/>
  <c r="CE35" i="3"/>
  <c r="BK35" i="3"/>
  <c r="BJ35" i="3"/>
  <c r="BI35" i="3"/>
  <c r="BH35" i="3"/>
  <c r="BG35" i="3"/>
  <c r="BD35" i="3"/>
  <c r="AZ35" i="3"/>
  <c r="AY35" i="3"/>
  <c r="AW35" i="3"/>
  <c r="AX35" i="3"/>
  <c r="AV35" i="3"/>
  <c r="BY49" i="3"/>
  <c r="BA49" i="3"/>
  <c r="BX49" i="3"/>
  <c r="AZ49" i="3"/>
  <c r="BW49" i="3"/>
  <c r="AY49" i="3"/>
  <c r="BF49" i="3"/>
  <c r="BE49" i="3"/>
  <c r="BH49" i="3"/>
  <c r="BG49" i="3"/>
  <c r="BD49" i="3"/>
  <c r="BC49" i="3"/>
  <c r="CE49" i="3"/>
  <c r="BB49" i="3"/>
  <c r="CC49" i="3"/>
  <c r="AS49" i="3"/>
  <c r="CB49" i="3"/>
  <c r="CA49" i="3"/>
  <c r="BZ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AX49" i="3"/>
  <c r="AW49" i="3"/>
  <c r="AV49" i="3"/>
  <c r="AU49" i="3"/>
  <c r="AT49" i="3"/>
  <c r="BM54" i="3"/>
  <c r="BH36" i="3"/>
  <c r="CE36" i="3"/>
  <c r="BG36" i="3"/>
  <c r="CD36" i="3"/>
  <c r="BF36" i="3"/>
  <c r="BQ36" i="3"/>
  <c r="BP36" i="3"/>
  <c r="CC36" i="3"/>
  <c r="AZ36" i="3"/>
  <c r="CB36" i="3"/>
  <c r="AY36" i="3"/>
  <c r="CA36" i="3"/>
  <c r="AX36" i="3"/>
  <c r="BU36" i="3"/>
  <c r="BT36" i="3"/>
  <c r="BS36" i="3"/>
  <c r="BR36" i="3"/>
  <c r="BO36" i="3"/>
  <c r="BN36" i="3"/>
  <c r="BM36" i="3"/>
  <c r="BL36" i="3"/>
  <c r="BK36" i="3"/>
  <c r="BJ36" i="3"/>
  <c r="BI36" i="3"/>
  <c r="BV36" i="3"/>
  <c r="BE36" i="3"/>
  <c r="BD36" i="3"/>
  <c r="BC36" i="3"/>
  <c r="BB36" i="3"/>
  <c r="BA36" i="3"/>
  <c r="AW36" i="3"/>
  <c r="AV36" i="3"/>
  <c r="AU36" i="3"/>
  <c r="BZ36" i="3"/>
  <c r="AT36" i="3"/>
  <c r="BY36" i="3"/>
  <c r="AS36" i="3"/>
  <c r="BX36" i="3"/>
  <c r="BW36" i="3"/>
  <c r="BW39" i="3"/>
  <c r="AY39" i="3"/>
  <c r="BV39" i="3"/>
  <c r="AX39" i="3"/>
  <c r="BU39" i="3"/>
  <c r="AW39" i="3"/>
  <c r="BZ39" i="3"/>
  <c r="AV39" i="3"/>
  <c r="BY39" i="3"/>
  <c r="AU39" i="3"/>
  <c r="BS39" i="3"/>
  <c r="BR39" i="3"/>
  <c r="BQ39" i="3"/>
  <c r="CE39" i="3"/>
  <c r="AT39" i="3"/>
  <c r="CD39" i="3"/>
  <c r="AS39" i="3"/>
  <c r="CC39" i="3"/>
  <c r="CB39" i="3"/>
  <c r="CA39" i="3"/>
  <c r="BX39" i="3"/>
  <c r="BT39" i="3"/>
  <c r="BP39" i="3"/>
  <c r="BO39" i="3"/>
  <c r="BN39" i="3"/>
  <c r="BM39" i="3"/>
  <c r="BL39" i="3"/>
  <c r="AZ39" i="3"/>
  <c r="BK39" i="3"/>
  <c r="BJ39" i="3"/>
  <c r="BI39" i="3"/>
  <c r="BH39" i="3"/>
  <c r="BG39" i="3"/>
  <c r="BF39" i="3"/>
  <c r="BE39" i="3"/>
  <c r="BD39" i="3"/>
  <c r="BC39" i="3"/>
  <c r="BB39" i="3"/>
  <c r="BA39" i="3"/>
  <c r="CD49" i="3"/>
  <c r="CC5" i="3"/>
  <c r="BE5" i="3"/>
  <c r="CB5" i="3"/>
  <c r="BD5" i="3"/>
  <c r="CA5" i="3"/>
  <c r="BC5" i="3"/>
  <c r="BI5" i="3"/>
  <c r="BH5" i="3"/>
  <c r="BG5" i="3"/>
  <c r="CE5" i="3"/>
  <c r="BF5" i="3"/>
  <c r="BB5" i="3"/>
  <c r="BA5" i="3"/>
  <c r="CD5" i="3"/>
  <c r="AZ5" i="3"/>
  <c r="BZ5" i="3"/>
  <c r="AY5" i="3"/>
  <c r="BY5" i="3"/>
  <c r="AX5" i="3"/>
  <c r="BX5" i="3"/>
  <c r="AW5" i="3"/>
  <c r="BW5" i="3"/>
  <c r="AV5" i="3"/>
  <c r="BK5" i="3"/>
  <c r="BV5" i="3"/>
  <c r="AU5" i="3"/>
  <c r="BU5" i="3"/>
  <c r="AT5" i="3"/>
  <c r="BT5" i="3"/>
  <c r="AS5" i="3"/>
  <c r="BS5" i="3"/>
  <c r="BR5" i="3"/>
  <c r="BQ5" i="3"/>
  <c r="BP5" i="3"/>
  <c r="BO5" i="3"/>
  <c r="BN5" i="3"/>
  <c r="BM5" i="3"/>
  <c r="BL5" i="3"/>
  <c r="BM37" i="3"/>
  <c r="BL37" i="3"/>
  <c r="BK37" i="3"/>
  <c r="CB37" i="3"/>
  <c r="BA37" i="3"/>
  <c r="CA37" i="3"/>
  <c r="AZ37" i="3"/>
  <c r="BR37" i="3"/>
  <c r="BQ37" i="3"/>
  <c r="BP37" i="3"/>
  <c r="BJ37" i="3"/>
  <c r="BN37" i="3"/>
  <c r="BI37" i="3"/>
  <c r="BH37" i="3"/>
  <c r="BG37" i="3"/>
  <c r="BF37" i="3"/>
  <c r="BE37" i="3"/>
  <c r="BD37" i="3"/>
  <c r="BC37" i="3"/>
  <c r="BB37" i="3"/>
  <c r="AY37" i="3"/>
  <c r="AX37" i="3"/>
  <c r="CE37" i="3"/>
  <c r="AW37" i="3"/>
  <c r="CD37" i="3"/>
  <c r="AV37" i="3"/>
  <c r="CC37" i="3"/>
  <c r="AU37" i="3"/>
  <c r="BZ37" i="3"/>
  <c r="AT37" i="3"/>
  <c r="BY37" i="3"/>
  <c r="AS37" i="3"/>
  <c r="BX37" i="3"/>
  <c r="BW37" i="3"/>
  <c r="BV37" i="3"/>
  <c r="BU37" i="3"/>
  <c r="BT37" i="3"/>
  <c r="BS37" i="3"/>
  <c r="BO37" i="3"/>
  <c r="BJ5" i="3"/>
  <c r="BP6" i="3"/>
  <c r="BJ6" i="3"/>
  <c r="BI6" i="3"/>
  <c r="BH6" i="3"/>
  <c r="BU6" i="3"/>
  <c r="AS6" i="3"/>
  <c r="BT6" i="3"/>
  <c r="BS6" i="3"/>
  <c r="BR6" i="3"/>
  <c r="BQ6" i="3"/>
  <c r="BO6" i="3"/>
  <c r="BN6" i="3"/>
  <c r="BM6" i="3"/>
  <c r="BL6" i="3"/>
  <c r="BK6" i="3"/>
  <c r="BG6" i="3"/>
  <c r="BF6" i="3"/>
  <c r="BC6" i="3"/>
  <c r="BW6" i="3"/>
  <c r="BE6" i="3"/>
  <c r="BD6" i="3"/>
  <c r="CE6" i="3"/>
  <c r="CD6" i="3"/>
  <c r="BB6" i="3"/>
  <c r="CC6" i="3"/>
  <c r="BA6" i="3"/>
  <c r="CB6" i="3"/>
  <c r="AZ6" i="3"/>
  <c r="CA6" i="3"/>
  <c r="AY6" i="3"/>
  <c r="BZ6" i="3"/>
  <c r="AX6" i="3"/>
  <c r="BY6" i="3"/>
  <c r="AW6" i="3"/>
  <c r="BX6" i="3"/>
  <c r="AV6" i="3"/>
  <c r="AU6" i="3"/>
  <c r="BU29" i="3"/>
  <c r="AW29" i="3"/>
  <c r="BT29" i="3"/>
  <c r="AV29" i="3"/>
  <c r="BS29" i="3"/>
  <c r="AU29" i="3"/>
  <c r="BP29" i="3"/>
  <c r="BO29" i="3"/>
  <c r="BF29" i="3"/>
  <c r="BE29" i="3"/>
  <c r="BD29" i="3"/>
  <c r="CB29" i="3"/>
  <c r="AS29" i="3"/>
  <c r="AT29" i="3"/>
  <c r="CA29" i="3"/>
  <c r="BZ29" i="3"/>
  <c r="BY29" i="3"/>
  <c r="BX29" i="3"/>
  <c r="BW29" i="3"/>
  <c r="BV29" i="3"/>
  <c r="BR29" i="3"/>
  <c r="BQ29" i="3"/>
  <c r="BN29" i="3"/>
  <c r="BM29" i="3"/>
  <c r="CC29" i="3"/>
  <c r="BL29" i="3"/>
  <c r="BK29" i="3"/>
  <c r="BJ29" i="3"/>
  <c r="BI29" i="3"/>
  <c r="BH29" i="3"/>
  <c r="BG29" i="3"/>
  <c r="BC29" i="3"/>
  <c r="BB29" i="3"/>
  <c r="BA29" i="3"/>
  <c r="AZ29" i="3"/>
  <c r="CE29" i="3"/>
  <c r="AY29" i="3"/>
  <c r="CD29" i="3"/>
  <c r="AX29" i="3"/>
  <c r="BK51" i="3"/>
  <c r="BJ51" i="3"/>
  <c r="BI51" i="3"/>
  <c r="CB51" i="3"/>
  <c r="BA51" i="3"/>
  <c r="CA51" i="3"/>
  <c r="AZ51" i="3"/>
  <c r="BL51" i="3"/>
  <c r="BH51" i="3"/>
  <c r="BG51" i="3"/>
  <c r="BF51" i="3"/>
  <c r="BE51" i="3"/>
  <c r="BT51" i="3"/>
  <c r="BS51" i="3"/>
  <c r="BR51" i="3"/>
  <c r="BQ51" i="3"/>
  <c r="BP51" i="3"/>
  <c r="BO51" i="3"/>
  <c r="BN51" i="3"/>
  <c r="BM51" i="3"/>
  <c r="BD51" i="3"/>
  <c r="BC51" i="3"/>
  <c r="BB51" i="3"/>
  <c r="AY51" i="3"/>
  <c r="AX51" i="3"/>
  <c r="AW51" i="3"/>
  <c r="AV51" i="3"/>
  <c r="CE51" i="3"/>
  <c r="AU51" i="3"/>
  <c r="CD51" i="3"/>
  <c r="AT51" i="3"/>
  <c r="CC51" i="3"/>
  <c r="AS51" i="3"/>
  <c r="BZ51" i="3"/>
  <c r="BY51" i="3"/>
  <c r="BX51" i="3"/>
  <c r="BW51" i="3"/>
  <c r="BV51" i="3"/>
  <c r="BZ8" i="3"/>
  <c r="BB8" i="3"/>
  <c r="BX8" i="3"/>
  <c r="AY8" i="3"/>
  <c r="BW8" i="3"/>
  <c r="AX8" i="3"/>
  <c r="BV8" i="3"/>
  <c r="AW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T8" i="3"/>
  <c r="BE8" i="3"/>
  <c r="BD8" i="3"/>
  <c r="CE8" i="3"/>
  <c r="BC8" i="3"/>
  <c r="CD8" i="3"/>
  <c r="BA8" i="3"/>
  <c r="CC8" i="3"/>
  <c r="AZ8" i="3"/>
  <c r="CB8" i="3"/>
  <c r="AV8" i="3"/>
  <c r="CA8" i="3"/>
  <c r="AU8" i="3"/>
  <c r="BY8" i="3"/>
  <c r="AT8" i="3"/>
  <c r="BU8" i="3"/>
  <c r="AS8" i="3"/>
  <c r="BY25" i="3"/>
  <c r="BA25" i="3"/>
  <c r="BX25" i="3"/>
  <c r="AZ25" i="3"/>
  <c r="BW25" i="3"/>
  <c r="AY25" i="3"/>
  <c r="CA25" i="3"/>
  <c r="AW25" i="3"/>
  <c r="BZ25" i="3"/>
  <c r="AV25" i="3"/>
  <c r="CE25" i="3"/>
  <c r="BB25" i="3"/>
  <c r="CD25" i="3"/>
  <c r="AX25" i="3"/>
  <c r="CC25" i="3"/>
  <c r="AU25" i="3"/>
  <c r="AS25" i="3"/>
  <c r="CB25" i="3"/>
  <c r="BV25" i="3"/>
  <c r="BU25" i="3"/>
  <c r="BT25" i="3"/>
  <c r="BS25" i="3"/>
  <c r="BR25" i="3"/>
  <c r="BQ25" i="3"/>
  <c r="BP25" i="3"/>
  <c r="BO25" i="3"/>
  <c r="BN25" i="3"/>
  <c r="BM25" i="3"/>
  <c r="AT25" i="3"/>
  <c r="BL25" i="3"/>
  <c r="BK25" i="3"/>
  <c r="BJ25" i="3"/>
  <c r="BI25" i="3"/>
  <c r="BH25" i="3"/>
  <c r="BG25" i="3"/>
  <c r="BF25" i="3"/>
  <c r="BE25" i="3"/>
  <c r="BD25" i="3"/>
  <c r="BC25" i="3"/>
  <c r="BV6" i="3"/>
  <c r="BS8" i="3"/>
  <c r="CD26" i="3"/>
  <c r="BF26" i="3"/>
  <c r="CC26" i="3"/>
  <c r="BE26" i="3"/>
  <c r="CB26" i="3"/>
  <c r="BD26" i="3"/>
  <c r="BK26" i="3"/>
  <c r="BJ26" i="3"/>
  <c r="BQ26" i="3"/>
  <c r="BP26" i="3"/>
  <c r="BO26" i="3"/>
  <c r="BV26" i="3"/>
  <c r="BU26" i="3"/>
  <c r="BT26" i="3"/>
  <c r="BS26" i="3"/>
  <c r="BR26" i="3"/>
  <c r="BN26" i="3"/>
  <c r="BM26" i="3"/>
  <c r="BL26" i="3"/>
  <c r="BI26" i="3"/>
  <c r="BH26" i="3"/>
  <c r="BG26" i="3"/>
  <c r="BC26" i="3"/>
  <c r="BB26" i="3"/>
  <c r="BW26" i="3"/>
  <c r="BA26" i="3"/>
  <c r="AZ26" i="3"/>
  <c r="AY26" i="3"/>
  <c r="AX26" i="3"/>
  <c r="AW26" i="3"/>
  <c r="CE26" i="3"/>
  <c r="AV26" i="3"/>
  <c r="CA26" i="3"/>
  <c r="AU26" i="3"/>
  <c r="BZ26" i="3"/>
  <c r="AT26" i="3"/>
  <c r="BY26" i="3"/>
  <c r="AS26" i="3"/>
  <c r="BX26" i="3"/>
  <c r="CE9" i="3"/>
  <c r="BG9" i="3"/>
  <c r="BF9" i="3"/>
  <c r="CD9" i="3"/>
  <c r="BE9" i="3"/>
  <c r="CC9" i="3"/>
  <c r="BD9" i="3"/>
  <c r="BC9" i="3"/>
  <c r="BI9" i="3"/>
  <c r="BB9" i="3"/>
  <c r="BA9" i="3"/>
  <c r="CB9" i="3"/>
  <c r="AZ9" i="3"/>
  <c r="CA9" i="3"/>
  <c r="AY9" i="3"/>
  <c r="BZ9" i="3"/>
  <c r="AX9" i="3"/>
  <c r="BY9" i="3"/>
  <c r="AW9" i="3"/>
  <c r="BX9" i="3"/>
  <c r="AV9" i="3"/>
  <c r="BW9" i="3"/>
  <c r="AU9" i="3"/>
  <c r="BV9" i="3"/>
  <c r="AT9" i="3"/>
  <c r="BU9" i="3"/>
  <c r="AS9" i="3"/>
  <c r="BT9" i="3"/>
  <c r="BS9" i="3"/>
  <c r="BR9" i="3"/>
  <c r="BQ9" i="3"/>
  <c r="BP9" i="3"/>
  <c r="BO9" i="3"/>
  <c r="BN9" i="3"/>
  <c r="BM9" i="3"/>
  <c r="BL9" i="3"/>
  <c r="BK9" i="3"/>
  <c r="BJ9" i="3"/>
  <c r="BK27" i="3"/>
  <c r="BJ27" i="3"/>
  <c r="BI27" i="3"/>
  <c r="BV27" i="3"/>
  <c r="AU27" i="3"/>
  <c r="BU27" i="3"/>
  <c r="AT27" i="3"/>
  <c r="BC27" i="3"/>
  <c r="CE27" i="3"/>
  <c r="BB27" i="3"/>
  <c r="CD27" i="3"/>
  <c r="BA27" i="3"/>
  <c r="BN27" i="3"/>
  <c r="BM27" i="3"/>
  <c r="BL27" i="3"/>
  <c r="BH27" i="3"/>
  <c r="BG27" i="3"/>
  <c r="BF27" i="3"/>
  <c r="BE27" i="3"/>
  <c r="BD27" i="3"/>
  <c r="AZ27" i="3"/>
  <c r="AY27" i="3"/>
  <c r="AX27" i="3"/>
  <c r="CC27" i="3"/>
  <c r="AW27" i="3"/>
  <c r="CB27" i="3"/>
  <c r="AV27" i="3"/>
  <c r="CA27" i="3"/>
  <c r="AS27" i="3"/>
  <c r="BZ27" i="3"/>
  <c r="BY27" i="3"/>
  <c r="BX27" i="3"/>
  <c r="BW27" i="3"/>
  <c r="BT27" i="3"/>
  <c r="BS27" i="3"/>
  <c r="BR27" i="3"/>
  <c r="BQ27" i="3"/>
  <c r="BP27" i="3"/>
  <c r="BO27" i="3"/>
  <c r="CE31" i="3"/>
  <c r="BG31" i="3"/>
  <c r="CD31" i="3"/>
  <c r="BF31" i="3"/>
  <c r="CC31" i="3"/>
  <c r="BE31" i="3"/>
  <c r="BN31" i="3"/>
  <c r="BM31" i="3"/>
  <c r="BJ31" i="3"/>
  <c r="BI31" i="3"/>
  <c r="BH31" i="3"/>
  <c r="BK31" i="3"/>
  <c r="BD31" i="3"/>
  <c r="BC31" i="3"/>
  <c r="BB31" i="3"/>
  <c r="BA31" i="3"/>
  <c r="AZ31" i="3"/>
  <c r="AY31" i="3"/>
  <c r="AX31" i="3"/>
  <c r="AW31" i="3"/>
  <c r="CB31" i="3"/>
  <c r="AV31" i="3"/>
  <c r="BL31" i="3"/>
  <c r="CA31" i="3"/>
  <c r="AU31" i="3"/>
  <c r="BZ31" i="3"/>
  <c r="AT31" i="3"/>
  <c r="BY31" i="3"/>
  <c r="AS31" i="3"/>
  <c r="BX31" i="3"/>
  <c r="BW31" i="3"/>
  <c r="BV31" i="3"/>
  <c r="BU31" i="3"/>
  <c r="BT31" i="3"/>
  <c r="BS31" i="3"/>
  <c r="BR31" i="3"/>
  <c r="BQ31" i="3"/>
  <c r="BP31" i="3"/>
  <c r="BO31" i="3"/>
  <c r="BM10" i="3"/>
  <c r="BL10" i="3"/>
  <c r="BO10" i="3"/>
  <c r="BN10" i="3"/>
  <c r="BK10" i="3"/>
  <c r="BU10" i="3"/>
  <c r="BT10" i="3"/>
  <c r="BS10" i="3"/>
  <c r="BR10" i="3"/>
  <c r="BQ10" i="3"/>
  <c r="BP10" i="3"/>
  <c r="BJ10" i="3"/>
  <c r="BW10" i="3"/>
  <c r="BI10" i="3"/>
  <c r="BH10" i="3"/>
  <c r="BG10" i="3"/>
  <c r="AT10" i="3"/>
  <c r="BF10" i="3"/>
  <c r="BE10" i="3"/>
  <c r="BD10" i="3"/>
  <c r="BC10" i="3"/>
  <c r="CE10" i="3"/>
  <c r="BB10" i="3"/>
  <c r="CD10" i="3"/>
  <c r="BA10" i="3"/>
  <c r="CC10" i="3"/>
  <c r="AZ10" i="3"/>
  <c r="CB10" i="3"/>
  <c r="AY10" i="3"/>
  <c r="CA10" i="3"/>
  <c r="AX10" i="3"/>
  <c r="BZ10" i="3"/>
  <c r="AW10" i="3"/>
  <c r="BY10" i="3"/>
  <c r="AV10" i="3"/>
  <c r="BX10" i="3"/>
  <c r="AU10" i="3"/>
  <c r="BW12" i="3"/>
  <c r="AY12" i="3"/>
  <c r="BV12" i="3"/>
  <c r="AX12" i="3"/>
  <c r="BG12" i="3"/>
  <c r="BF12" i="3"/>
  <c r="CE12" i="3"/>
  <c r="BE12" i="3"/>
  <c r="BX12" i="3"/>
  <c r="AS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H12" i="3"/>
  <c r="BI12" i="3"/>
  <c r="BD12" i="3"/>
  <c r="BC12" i="3"/>
  <c r="BB12" i="3"/>
  <c r="CD12" i="3"/>
  <c r="BA12" i="3"/>
  <c r="CC12" i="3"/>
  <c r="AZ12" i="3"/>
  <c r="CB12" i="3"/>
  <c r="AW12" i="3"/>
  <c r="CA12" i="3"/>
  <c r="AV12" i="3"/>
  <c r="BZ12" i="3"/>
  <c r="AU12" i="3"/>
  <c r="BL32" i="3"/>
  <c r="BK32" i="3"/>
  <c r="BJ32" i="3"/>
  <c r="BY32" i="3"/>
  <c r="AX32" i="3"/>
  <c r="BX32" i="3"/>
  <c r="AW32" i="3"/>
  <c r="CA32" i="3"/>
  <c r="AV32" i="3"/>
  <c r="BZ32" i="3"/>
  <c r="AU32" i="3"/>
  <c r="BW32" i="3"/>
  <c r="AT32" i="3"/>
  <c r="BB32" i="3"/>
  <c r="BA32" i="3"/>
  <c r="BC32" i="3"/>
  <c r="AZ32" i="3"/>
  <c r="CE32" i="3"/>
  <c r="AY32" i="3"/>
  <c r="CD32" i="3"/>
  <c r="AS32" i="3"/>
  <c r="CC32" i="3"/>
  <c r="CB32" i="3"/>
  <c r="BV32" i="3"/>
  <c r="BU32" i="3"/>
  <c r="BT32" i="3"/>
  <c r="BS32" i="3"/>
  <c r="BR32" i="3"/>
  <c r="BQ32" i="3"/>
  <c r="BP32" i="3"/>
  <c r="BO32" i="3"/>
  <c r="BN32" i="3"/>
  <c r="BM32" i="3"/>
  <c r="BI32" i="3"/>
  <c r="BH32" i="3"/>
  <c r="BG32" i="3"/>
  <c r="BF32" i="3"/>
  <c r="BE32" i="3"/>
  <c r="BD32" i="3"/>
  <c r="AT12" i="3"/>
  <c r="BV10" i="3"/>
  <c r="BY12" i="3"/>
  <c r="CB13" i="3"/>
  <c r="BD13" i="3"/>
  <c r="CA13" i="3"/>
  <c r="BC13" i="3"/>
  <c r="BP13" i="3"/>
  <c r="BO13" i="3"/>
  <c r="BN13" i="3"/>
  <c r="BJ13" i="3"/>
  <c r="BI13" i="3"/>
  <c r="BH13" i="3"/>
  <c r="BG13" i="3"/>
  <c r="BF13" i="3"/>
  <c r="BE13" i="3"/>
  <c r="BB13" i="3"/>
  <c r="BA13" i="3"/>
  <c r="CE13" i="3"/>
  <c r="AZ13" i="3"/>
  <c r="CD13" i="3"/>
  <c r="AY13" i="3"/>
  <c r="CC13" i="3"/>
  <c r="AX13" i="3"/>
  <c r="BZ13" i="3"/>
  <c r="AW13" i="3"/>
  <c r="BY13" i="3"/>
  <c r="AV13" i="3"/>
  <c r="BX13" i="3"/>
  <c r="AU13" i="3"/>
  <c r="BW13" i="3"/>
  <c r="AT13" i="3"/>
  <c r="BV13" i="3"/>
  <c r="AS13" i="3"/>
  <c r="BU13" i="3"/>
  <c r="BT13" i="3"/>
  <c r="BS13" i="3"/>
  <c r="BR13" i="3"/>
  <c r="BQ13" i="3"/>
  <c r="BM13" i="3"/>
  <c r="BL13" i="3"/>
  <c r="BK13" i="3"/>
  <c r="BN18" i="3"/>
  <c r="BM18" i="3"/>
  <c r="BF18" i="3"/>
  <c r="CE18" i="3"/>
  <c r="BE18" i="3"/>
  <c r="BL18" i="3"/>
  <c r="BK18" i="3"/>
  <c r="BJ18" i="3"/>
  <c r="BC18" i="3"/>
  <c r="BB18" i="3"/>
  <c r="BA18" i="3"/>
  <c r="AZ18" i="3"/>
  <c r="CD18" i="3"/>
  <c r="AY18" i="3"/>
  <c r="CC18" i="3"/>
  <c r="AX18" i="3"/>
  <c r="CB18" i="3"/>
  <c r="AW18" i="3"/>
  <c r="CA18" i="3"/>
  <c r="AV18" i="3"/>
  <c r="BZ18" i="3"/>
  <c r="AU18" i="3"/>
  <c r="BY18" i="3"/>
  <c r="AT18" i="3"/>
  <c r="BX18" i="3"/>
  <c r="AS18" i="3"/>
  <c r="BW18" i="3"/>
  <c r="BV18" i="3"/>
  <c r="BU18" i="3"/>
  <c r="BT18" i="3"/>
  <c r="BS18" i="3"/>
  <c r="BR18" i="3"/>
  <c r="BQ18" i="3"/>
  <c r="BP18" i="3"/>
  <c r="BO18" i="3"/>
  <c r="BI18" i="3"/>
  <c r="BH18" i="3"/>
  <c r="BG18" i="3"/>
  <c r="AS10" i="3"/>
  <c r="BI14" i="3"/>
  <c r="BH14" i="3"/>
  <c r="BY14" i="3"/>
  <c r="AY14" i="3"/>
  <c r="BX14" i="3"/>
  <c r="AX14" i="3"/>
  <c r="BW14" i="3"/>
  <c r="AW14" i="3"/>
  <c r="CB14" i="3"/>
  <c r="AV14" i="3"/>
  <c r="CA14" i="3"/>
  <c r="AU14" i="3"/>
  <c r="BZ14" i="3"/>
  <c r="AT14" i="3"/>
  <c r="BV14" i="3"/>
  <c r="AS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G14" i="3"/>
  <c r="BF14" i="3"/>
  <c r="BE14" i="3"/>
  <c r="BD14" i="3"/>
  <c r="BC14" i="3"/>
  <c r="CE14" i="3"/>
  <c r="BB14" i="3"/>
  <c r="CD14" i="3"/>
  <c r="BA14" i="3"/>
  <c r="BD18" i="3"/>
  <c r="CB64" i="3"/>
  <c r="BD64" i="3"/>
  <c r="CA64" i="3"/>
  <c r="BC64" i="3"/>
  <c r="BZ64" i="3"/>
  <c r="BB64" i="3"/>
  <c r="BY64" i="3"/>
  <c r="BA64" i="3"/>
  <c r="BX64" i="3"/>
  <c r="AZ64" i="3"/>
  <c r="BW64" i="3"/>
  <c r="AY64" i="3"/>
  <c r="BS64" i="3"/>
  <c r="AU64" i="3"/>
  <c r="BR64" i="3"/>
  <c r="BQ64" i="3"/>
  <c r="BP64" i="3"/>
  <c r="CD64" i="3"/>
  <c r="CC64" i="3"/>
  <c r="BV64" i="3"/>
  <c r="BT64" i="3"/>
  <c r="BL64" i="3"/>
  <c r="BK64" i="3"/>
  <c r="BJ64" i="3"/>
  <c r="BI64" i="3"/>
  <c r="BH64" i="3"/>
  <c r="BG64" i="3"/>
  <c r="BF64" i="3"/>
  <c r="BE64" i="3"/>
  <c r="CE64" i="3"/>
  <c r="BU64" i="3"/>
  <c r="BO64" i="3"/>
  <c r="BN64" i="3"/>
  <c r="BM64" i="3"/>
  <c r="AX64" i="3"/>
  <c r="AW64" i="3"/>
  <c r="AV64" i="3"/>
  <c r="AT64" i="3"/>
  <c r="AS64" i="3"/>
  <c r="AZ14" i="3"/>
  <c r="BS19" i="3"/>
  <c r="AU19" i="3"/>
  <c r="BR19" i="3"/>
  <c r="AT19" i="3"/>
  <c r="BO19" i="3"/>
  <c r="BN19" i="3"/>
  <c r="CA19" i="3"/>
  <c r="AY19" i="3"/>
  <c r="BZ19" i="3"/>
  <c r="AX19" i="3"/>
  <c r="BY19" i="3"/>
  <c r="AW19" i="3"/>
  <c r="CC19" i="3"/>
  <c r="AS19" i="3"/>
  <c r="CB19" i="3"/>
  <c r="BX19" i="3"/>
  <c r="BW19" i="3"/>
  <c r="BV19" i="3"/>
  <c r="BU19" i="3"/>
  <c r="BT19" i="3"/>
  <c r="BQ19" i="3"/>
  <c r="BP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CE19" i="3"/>
  <c r="AZ19" i="3"/>
  <c r="BI65" i="3"/>
  <c r="BH65" i="3"/>
  <c r="CE65" i="3"/>
  <c r="BG65" i="3"/>
  <c r="CD65" i="3"/>
  <c r="BF65" i="3"/>
  <c r="CC65" i="3"/>
  <c r="BE65" i="3"/>
  <c r="CB65" i="3"/>
  <c r="BD65" i="3"/>
  <c r="CA65" i="3"/>
  <c r="BZ65" i="3"/>
  <c r="BX65" i="3"/>
  <c r="AZ65" i="3"/>
  <c r="BW65" i="3"/>
  <c r="AY65" i="3"/>
  <c r="BV65" i="3"/>
  <c r="AX65" i="3"/>
  <c r="BU65" i="3"/>
  <c r="AW65" i="3"/>
  <c r="BY65" i="3"/>
  <c r="BT65" i="3"/>
  <c r="BS65" i="3"/>
  <c r="BQ65" i="3"/>
  <c r="BR65" i="3"/>
  <c r="BP65" i="3"/>
  <c r="BO65" i="3"/>
  <c r="BN65" i="3"/>
  <c r="BM65" i="3"/>
  <c r="BL65" i="3"/>
  <c r="BK65" i="3"/>
  <c r="BJ65" i="3"/>
  <c r="BC65" i="3"/>
  <c r="BB65" i="3"/>
  <c r="BA65" i="3"/>
  <c r="AV65" i="3"/>
  <c r="AU65" i="3"/>
  <c r="AT65" i="3"/>
  <c r="AS65" i="3"/>
  <c r="CD50" i="3"/>
  <c r="BF50" i="3"/>
  <c r="CC50" i="3"/>
  <c r="BE50" i="3"/>
  <c r="CB50" i="3"/>
  <c r="BD50" i="3"/>
  <c r="BQ50" i="3"/>
  <c r="BP50" i="3"/>
  <c r="BW50" i="3"/>
  <c r="AT50" i="3"/>
  <c r="BV50" i="3"/>
  <c r="AS50" i="3"/>
  <c r="BU50" i="3"/>
  <c r="BT50" i="3"/>
  <c r="BS50" i="3"/>
  <c r="CE50" i="3"/>
  <c r="BO3" i="3"/>
  <c r="BS15" i="3"/>
  <c r="BS17" i="3"/>
  <c r="BV30" i="3"/>
  <c r="AU50" i="3"/>
  <c r="CB40" i="3"/>
  <c r="BD40" i="3"/>
  <c r="CA40" i="3"/>
  <c r="BC40" i="3"/>
  <c r="BZ40" i="3"/>
  <c r="BB40" i="3"/>
  <c r="BJ40" i="3"/>
  <c r="BI40" i="3"/>
  <c r="BH40" i="3"/>
  <c r="BG40" i="3"/>
  <c r="BF40" i="3"/>
  <c r="BX40" i="3"/>
  <c r="BJ46" i="3"/>
  <c r="BI46" i="3"/>
  <c r="BH46" i="3"/>
  <c r="BY46" i="3"/>
  <c r="AX46" i="3"/>
  <c r="BX46" i="3"/>
  <c r="AW46" i="3"/>
  <c r="BS46" i="3"/>
  <c r="BR46" i="3"/>
  <c r="BQ46" i="3"/>
  <c r="BP46" i="3"/>
  <c r="BO46" i="3"/>
  <c r="CB46" i="3"/>
  <c r="AV50" i="3"/>
  <c r="BS3" i="3"/>
  <c r="AU3" i="3"/>
  <c r="BR3" i="3"/>
  <c r="BQ3" i="3"/>
  <c r="BN15" i="3"/>
  <c r="BM15" i="3"/>
  <c r="BH15" i="3"/>
  <c r="BG15" i="3"/>
  <c r="BF15" i="3"/>
  <c r="BU15" i="3"/>
  <c r="BX17" i="3"/>
  <c r="AZ17" i="3"/>
  <c r="BW17" i="3"/>
  <c r="AY17" i="3"/>
  <c r="CB17" i="3"/>
  <c r="BB17" i="3"/>
  <c r="CA17" i="3"/>
  <c r="BA17" i="3"/>
  <c r="BZ17" i="3"/>
  <c r="AX17" i="3"/>
  <c r="BU17" i="3"/>
  <c r="BZ30" i="3"/>
  <c r="BB30" i="3"/>
  <c r="BY30" i="3"/>
  <c r="BA30" i="3"/>
  <c r="BX30" i="3"/>
  <c r="AZ30" i="3"/>
  <c r="CD30" i="3"/>
  <c r="BC30" i="3"/>
  <c r="CC30" i="3"/>
  <c r="AY30" i="3"/>
  <c r="BU30" i="3"/>
  <c r="BT30" i="3"/>
  <c r="BS30" i="3"/>
  <c r="CA30" i="3"/>
  <c r="AW50" i="3"/>
  <c r="AS3" i="3"/>
  <c r="BT3" i="3"/>
  <c r="AS15" i="3"/>
  <c r="BV15" i="3"/>
  <c r="AS17" i="3"/>
  <c r="BV17" i="3"/>
  <c r="AS30" i="3"/>
  <c r="CB30" i="3"/>
  <c r="AT40" i="3"/>
  <c r="CC40" i="3"/>
  <c r="AT46" i="3"/>
  <c r="CD46" i="3"/>
  <c r="AX50" i="3"/>
  <c r="AT3" i="3"/>
  <c r="BU3" i="3"/>
  <c r="AT15" i="3"/>
  <c r="BW15" i="3"/>
  <c r="AT17" i="3"/>
  <c r="BY17" i="3"/>
  <c r="AT30" i="3"/>
  <c r="CE30" i="3"/>
  <c r="AU40" i="3"/>
  <c r="CD40" i="3"/>
  <c r="AU46" i="3"/>
  <c r="CE46" i="3"/>
  <c r="AY50" i="3"/>
  <c r="AV3" i="3"/>
  <c r="BV3" i="3"/>
  <c r="AU15" i="3"/>
  <c r="BX15" i="3"/>
  <c r="AU17" i="3"/>
  <c r="CC17" i="3"/>
  <c r="AU30" i="3"/>
  <c r="AV40" i="3"/>
  <c r="CE40" i="3"/>
  <c r="AV46" i="3"/>
  <c r="AZ50" i="3"/>
  <c r="AV15" i="3"/>
  <c r="BY15" i="3"/>
  <c r="AV17" i="3"/>
  <c r="CD17" i="3"/>
  <c r="BO23" i="3"/>
  <c r="BN23" i="3"/>
  <c r="BM23" i="3"/>
  <c r="CC23" i="3"/>
  <c r="BB23" i="3"/>
  <c r="CB23" i="3"/>
  <c r="BA23" i="3"/>
  <c r="BY23" i="3"/>
  <c r="AV23" i="3"/>
  <c r="BX23" i="3"/>
  <c r="AU23" i="3"/>
  <c r="BW23" i="3"/>
  <c r="AT23" i="3"/>
  <c r="CA23" i="3"/>
  <c r="AV30" i="3"/>
  <c r="AW40" i="3"/>
  <c r="AY46" i="3"/>
  <c r="BO47" i="3"/>
  <c r="BN47" i="3"/>
  <c r="BM47" i="3"/>
  <c r="BH47" i="3"/>
  <c r="BG47" i="3"/>
  <c r="BD47" i="3"/>
  <c r="BC47" i="3"/>
  <c r="CE47" i="3"/>
  <c r="BB47" i="3"/>
  <c r="CD47" i="3"/>
  <c r="BA47" i="3"/>
  <c r="CC47" i="3"/>
  <c r="AZ47" i="3"/>
  <c r="BZ47" i="3"/>
  <c r="BA50" i="3"/>
  <c r="AX3" i="3"/>
  <c r="BK16" i="3"/>
  <c r="AW17" i="3"/>
  <c r="CE17" i="3"/>
  <c r="AS23" i="3"/>
  <c r="CD23" i="3"/>
  <c r="AW30" i="3"/>
  <c r="AX40" i="3"/>
  <c r="AZ46" i="3"/>
  <c r="AS47" i="3"/>
  <c r="CA47" i="3"/>
  <c r="BB50" i="3"/>
  <c r="BX3" i="3"/>
  <c r="AW15" i="3"/>
  <c r="AY3" i="3"/>
  <c r="BY3" i="3"/>
  <c r="AX15" i="3"/>
  <c r="CA15" i="3"/>
  <c r="BL16" i="3"/>
  <c r="BC17" i="3"/>
  <c r="AW23" i="3"/>
  <c r="CE23" i="3"/>
  <c r="BW24" i="3"/>
  <c r="AX30" i="3"/>
  <c r="AY40" i="3"/>
  <c r="BI41" i="3"/>
  <c r="BH41" i="3"/>
  <c r="CE41" i="3"/>
  <c r="BG41" i="3"/>
  <c r="BU41" i="3"/>
  <c r="AT41" i="3"/>
  <c r="BT41" i="3"/>
  <c r="AS41" i="3"/>
  <c r="BY41" i="3"/>
  <c r="AV41" i="3"/>
  <c r="BX41" i="3"/>
  <c r="AU41" i="3"/>
  <c r="BW41" i="3"/>
  <c r="BV41" i="3"/>
  <c r="CC41" i="3"/>
  <c r="BA46" i="3"/>
  <c r="AT47" i="3"/>
  <c r="CB47" i="3"/>
  <c r="BC50" i="3"/>
  <c r="AZ3" i="3"/>
  <c r="BZ3" i="3"/>
  <c r="BJ4" i="3"/>
  <c r="BU7" i="3"/>
  <c r="AW7" i="3"/>
  <c r="BQ7" i="3"/>
  <c r="BP7" i="3"/>
  <c r="BO7" i="3"/>
  <c r="BT7" i="3"/>
  <c r="BU11" i="3"/>
  <c r="AY15" i="3"/>
  <c r="CB15" i="3"/>
  <c r="BM16" i="3"/>
  <c r="BD17" i="3"/>
  <c r="BU21" i="3"/>
  <c r="AX23" i="3"/>
  <c r="BX24" i="3"/>
  <c r="BV28" i="3"/>
  <c r="BD30" i="3"/>
  <c r="AZ40" i="3"/>
  <c r="AW41" i="3"/>
  <c r="CD41" i="3"/>
  <c r="BW42" i="3"/>
  <c r="BB46" i="3"/>
  <c r="AU47" i="3"/>
  <c r="BG50" i="3"/>
  <c r="CE55" i="3"/>
  <c r="BG55" i="3"/>
  <c r="CD55" i="3"/>
  <c r="BF55" i="3"/>
  <c r="CC55" i="3"/>
  <c r="BE55" i="3"/>
  <c r="BT55" i="3"/>
  <c r="AS55" i="3"/>
  <c r="BS55" i="3"/>
  <c r="BP55" i="3"/>
  <c r="BV55" i="3"/>
  <c r="BU55" i="3"/>
  <c r="BR55" i="3"/>
  <c r="BQ55" i="3"/>
  <c r="BO55" i="3"/>
  <c r="BN55" i="3"/>
  <c r="BY56" i="3"/>
  <c r="BZ15" i="3"/>
  <c r="BA3" i="3"/>
  <c r="CA3" i="3"/>
  <c r="BK4" i="3"/>
  <c r="AS7" i="3"/>
  <c r="BV7" i="3"/>
  <c r="AZ15" i="3"/>
  <c r="CC15" i="3"/>
  <c r="BN16" i="3"/>
  <c r="BE17" i="3"/>
  <c r="AY23" i="3"/>
  <c r="BY24" i="3"/>
  <c r="BE30" i="3"/>
  <c r="BA40" i="3"/>
  <c r="AX41" i="3"/>
  <c r="BC46" i="3"/>
  <c r="AV47" i="3"/>
  <c r="BH50" i="3"/>
  <c r="AT55" i="3"/>
  <c r="BZ56" i="3"/>
  <c r="BH60" i="3"/>
  <c r="CE60" i="3"/>
  <c r="BG60" i="3"/>
  <c r="CD60" i="3"/>
  <c r="BF60" i="3"/>
  <c r="CB60" i="3"/>
  <c r="BD60" i="3"/>
  <c r="BW60" i="3"/>
  <c r="BB60" i="3"/>
  <c r="BA60" i="3"/>
  <c r="AZ60" i="3"/>
  <c r="CA60" i="3"/>
  <c r="AX60" i="3"/>
  <c r="AY60" i="3"/>
  <c r="AW60" i="3"/>
  <c r="AV60" i="3"/>
  <c r="AU60" i="3"/>
  <c r="CC60" i="3"/>
  <c r="AT60" i="3"/>
  <c r="BZ60" i="3"/>
  <c r="AS60" i="3"/>
  <c r="BY60" i="3"/>
  <c r="BW63" i="3"/>
  <c r="AY63" i="3"/>
  <c r="BV63" i="3"/>
  <c r="AX63" i="3"/>
  <c r="BU63" i="3"/>
  <c r="AW63" i="3"/>
  <c r="BT63" i="3"/>
  <c r="AV63" i="3"/>
  <c r="BS63" i="3"/>
  <c r="AU63" i="3"/>
  <c r="BR63" i="3"/>
  <c r="BN63" i="3"/>
  <c r="BA63" i="3"/>
  <c r="CE63" i="3"/>
  <c r="AZ63" i="3"/>
  <c r="CD63" i="3"/>
  <c r="AT63" i="3"/>
  <c r="CB63" i="3"/>
  <c r="BM63" i="3"/>
  <c r="BL63" i="3"/>
  <c r="BK63" i="3"/>
  <c r="BJ63" i="3"/>
  <c r="BI63" i="3"/>
  <c r="BH63" i="3"/>
  <c r="BG63" i="3"/>
  <c r="BF63" i="3"/>
  <c r="BB3" i="3"/>
  <c r="CB3" i="3"/>
  <c r="BL4" i="3"/>
  <c r="BR11" i="3"/>
  <c r="AT11" i="3"/>
  <c r="BQ11" i="3"/>
  <c r="AS11" i="3"/>
  <c r="BX11" i="3"/>
  <c r="AX11" i="3"/>
  <c r="BW11" i="3"/>
  <c r="AW11" i="3"/>
  <c r="BV11" i="3"/>
  <c r="AV11" i="3"/>
  <c r="BZ11" i="3"/>
  <c r="BA15" i="3"/>
  <c r="CD15" i="3"/>
  <c r="BT16" i="3"/>
  <c r="BF17" i="3"/>
  <c r="CC21" i="3"/>
  <c r="BE21" i="3"/>
  <c r="CB21" i="3"/>
  <c r="BD21" i="3"/>
  <c r="BI21" i="3"/>
  <c r="BH21" i="3"/>
  <c r="BY21" i="3"/>
  <c r="AW21" i="3"/>
  <c r="BX21" i="3"/>
  <c r="AV21" i="3"/>
  <c r="BW21" i="3"/>
  <c r="AU21" i="3"/>
  <c r="BZ21" i="3"/>
  <c r="AZ23" i="3"/>
  <c r="BP28" i="3"/>
  <c r="BO28" i="3"/>
  <c r="BN28" i="3"/>
  <c r="BE28" i="3"/>
  <c r="CE28" i="3"/>
  <c r="BD28" i="3"/>
  <c r="BT28" i="3"/>
  <c r="BS28" i="3"/>
  <c r="BR28" i="3"/>
  <c r="BX28" i="3"/>
  <c r="BF30" i="3"/>
  <c r="BE40" i="3"/>
  <c r="AY41" i="3"/>
  <c r="BN42" i="3"/>
  <c r="BM42" i="3"/>
  <c r="BL42" i="3"/>
  <c r="BE42" i="3"/>
  <c r="CE42" i="3"/>
  <c r="BD42" i="3"/>
  <c r="BK42" i="3"/>
  <c r="BJ42" i="3"/>
  <c r="BI42" i="3"/>
  <c r="BH42" i="3"/>
  <c r="BY42" i="3"/>
  <c r="BD46" i="3"/>
  <c r="AW47" i="3"/>
  <c r="BI50" i="3"/>
  <c r="BU53" i="3"/>
  <c r="AW53" i="3"/>
  <c r="BT53" i="3"/>
  <c r="AV53" i="3"/>
  <c r="BS53" i="3"/>
  <c r="AU53" i="3"/>
  <c r="BY53" i="3"/>
  <c r="AX53" i="3"/>
  <c r="BX53" i="3"/>
  <c r="AT53" i="3"/>
  <c r="BR53" i="3"/>
  <c r="BL53" i="3"/>
  <c r="BK53" i="3"/>
  <c r="BJ53" i="3"/>
  <c r="BI53" i="3"/>
  <c r="BH53" i="3"/>
  <c r="BG53" i="3"/>
  <c r="BC60" i="3"/>
  <c r="AS63" i="3"/>
  <c r="BW3" i="3"/>
  <c r="BC3" i="3"/>
  <c r="CC3" i="3"/>
  <c r="BB15" i="3"/>
  <c r="CE15" i="3"/>
  <c r="BU16" i="3"/>
  <c r="BG17" i="3"/>
  <c r="BC23" i="3"/>
  <c r="BT24" i="3"/>
  <c r="AV24" i="3"/>
  <c r="BS24" i="3"/>
  <c r="AU24" i="3"/>
  <c r="BR24" i="3"/>
  <c r="AT24" i="3"/>
  <c r="BM24" i="3"/>
  <c r="BL24" i="3"/>
  <c r="BK24" i="3"/>
  <c r="BJ24" i="3"/>
  <c r="BI24" i="3"/>
  <c r="CA24" i="3"/>
  <c r="BG30" i="3"/>
  <c r="BK40" i="3"/>
  <c r="BE46" i="3"/>
  <c r="AX47" i="3"/>
  <c r="BJ50" i="3"/>
  <c r="BL56" i="3"/>
  <c r="BK56" i="3"/>
  <c r="BJ56" i="3"/>
  <c r="CE56" i="3"/>
  <c r="BD56" i="3"/>
  <c r="CD56" i="3"/>
  <c r="BC56" i="3"/>
  <c r="CA56" i="3"/>
  <c r="AZ56" i="3"/>
  <c r="BI56" i="3"/>
  <c r="BH56" i="3"/>
  <c r="BG56" i="3"/>
  <c r="BF56" i="3"/>
  <c r="BE56" i="3"/>
  <c r="BB56" i="3"/>
  <c r="CC56" i="3"/>
  <c r="BV58" i="3"/>
  <c r="AX58" i="3"/>
  <c r="BU58" i="3"/>
  <c r="AW58" i="3"/>
  <c r="BT58" i="3"/>
  <c r="AV58" i="3"/>
  <c r="BR58" i="3"/>
  <c r="AT58" i="3"/>
  <c r="BD58" i="3"/>
  <c r="CE58" i="3"/>
  <c r="BC58" i="3"/>
  <c r="CB58" i="3"/>
  <c r="AZ58" i="3"/>
  <c r="BS58" i="3"/>
  <c r="BQ58" i="3"/>
  <c r="BP58" i="3"/>
  <c r="BO58" i="3"/>
  <c r="BN58" i="3"/>
  <c r="BM58" i="3"/>
  <c r="BL58" i="3"/>
  <c r="AW3" i="3"/>
  <c r="BD3" i="3"/>
  <c r="CD3" i="3"/>
  <c r="BN4" i="3"/>
  <c r="AV7" i="3"/>
  <c r="BY7" i="3"/>
  <c r="AY11" i="3"/>
  <c r="CB11" i="3"/>
  <c r="BC15" i="3"/>
  <c r="BH17" i="3"/>
  <c r="AT21" i="3"/>
  <c r="CD21" i="3"/>
  <c r="BD23" i="3"/>
  <c r="AS24" i="3"/>
  <c r="CB24" i="3"/>
  <c r="AT28" i="3"/>
  <c r="BZ28" i="3"/>
  <c r="BH30" i="3"/>
  <c r="BR38" i="3"/>
  <c r="AT38" i="3"/>
  <c r="BQ38" i="3"/>
  <c r="AS38" i="3"/>
  <c r="BP38" i="3"/>
  <c r="BL38" i="3"/>
  <c r="BK38" i="3"/>
  <c r="BD38" i="3"/>
  <c r="BC38" i="3"/>
  <c r="CE38" i="3"/>
  <c r="BB38" i="3"/>
  <c r="BZ38" i="3"/>
  <c r="BL40" i="3"/>
  <c r="BA41" i="3"/>
  <c r="AT42" i="3"/>
  <c r="CA42" i="3"/>
  <c r="BF46" i="3"/>
  <c r="AY47" i="3"/>
  <c r="BK50" i="3"/>
  <c r="AY53" i="3"/>
  <c r="AW55" i="3"/>
  <c r="AS56" i="3"/>
  <c r="AS58" i="3"/>
  <c r="BI60" i="3"/>
  <c r="BR62" i="3"/>
  <c r="AT62" i="3"/>
  <c r="BQ62" i="3"/>
  <c r="AS62" i="3"/>
  <c r="BP62" i="3"/>
  <c r="BO62" i="3"/>
  <c r="BN62" i="3"/>
  <c r="BI62" i="3"/>
  <c r="BH62" i="3"/>
  <c r="BG62" i="3"/>
  <c r="BF62" i="3"/>
  <c r="BD62" i="3"/>
  <c r="BV62" i="3"/>
  <c r="BU62" i="3"/>
  <c r="BT62" i="3"/>
  <c r="BS62" i="3"/>
  <c r="BM62" i="3"/>
  <c r="BL62" i="3"/>
  <c r="BK62" i="3"/>
  <c r="BJ62" i="3"/>
  <c r="BC63" i="3"/>
  <c r="BE3" i="3"/>
  <c r="CE3" i="3"/>
  <c r="BD15" i="3"/>
  <c r="BS16" i="3"/>
  <c r="AU16" i="3"/>
  <c r="BR16" i="3"/>
  <c r="AT16" i="3"/>
  <c r="BQ16" i="3"/>
  <c r="BP16" i="3"/>
  <c r="BO16" i="3"/>
  <c r="BW16" i="3"/>
  <c r="BI17" i="3"/>
  <c r="BE23" i="3"/>
  <c r="BI30" i="3"/>
  <c r="BM40" i="3"/>
  <c r="BG46" i="3"/>
  <c r="BE47" i="3"/>
  <c r="BL50" i="3"/>
  <c r="BF3" i="3"/>
  <c r="BE15" i="3"/>
  <c r="AS16" i="3"/>
  <c r="BX16" i="3"/>
  <c r="BJ17" i="3"/>
  <c r="BF23" i="3"/>
  <c r="BJ30" i="3"/>
  <c r="BN40" i="3"/>
  <c r="BK46" i="3"/>
  <c r="BF47" i="3"/>
  <c r="BM50" i="3"/>
  <c r="BG3" i="3"/>
  <c r="BI15" i="3"/>
  <c r="AV16" i="3"/>
  <c r="BY16" i="3"/>
  <c r="BK17" i="3"/>
  <c r="BG23" i="3"/>
  <c r="BK30" i="3"/>
  <c r="BO40" i="3"/>
  <c r="BL46" i="3"/>
  <c r="BI47" i="3"/>
  <c r="BN50" i="3"/>
  <c r="BH3" i="3"/>
  <c r="BR4" i="3"/>
  <c r="BA7" i="3"/>
  <c r="CC7" i="3"/>
  <c r="BC11" i="3"/>
  <c r="BJ15" i="3"/>
  <c r="AW16" i="3"/>
  <c r="BZ16" i="3"/>
  <c r="BL17" i="3"/>
  <c r="BA21" i="3"/>
  <c r="BH23" i="3"/>
  <c r="AZ24" i="3"/>
  <c r="AX28" i="3"/>
  <c r="CD28" i="3"/>
  <c r="BL30" i="3"/>
  <c r="AX38" i="3"/>
  <c r="CD38" i="3"/>
  <c r="BP40" i="3"/>
  <c r="BE41" i="3"/>
  <c r="AX42" i="3"/>
  <c r="BM46" i="3"/>
  <c r="BJ47" i="3"/>
  <c r="BO50" i="3"/>
  <c r="BC53" i="3"/>
  <c r="BA55" i="3"/>
  <c r="AW56" i="3"/>
  <c r="BB58" i="3"/>
  <c r="BM60" i="3"/>
  <c r="AX62" i="3"/>
  <c r="BP63" i="3"/>
  <c r="BB7" i="3"/>
  <c r="CD7" i="3"/>
  <c r="BD11" i="3"/>
  <c r="BK15" i="3"/>
  <c r="AX16" i="3"/>
  <c r="CA16" i="3"/>
  <c r="BM17" i="3"/>
  <c r="BB21" i="3"/>
  <c r="BI23" i="3"/>
  <c r="BA24" i="3"/>
  <c r="AY28" i="3"/>
  <c r="BM30" i="3"/>
  <c r="AY38" i="3"/>
  <c r="BQ40" i="3"/>
  <c r="BF41" i="3"/>
  <c r="AY42" i="3"/>
  <c r="BN46" i="3"/>
  <c r="BK47" i="3"/>
  <c r="BR50" i="3"/>
  <c r="BD53" i="3"/>
  <c r="BB55" i="3"/>
  <c r="AX56" i="3"/>
  <c r="BE58" i="3"/>
  <c r="BN60" i="3"/>
  <c r="AY62" i="3"/>
  <c r="BQ63" i="3"/>
  <c r="BX4" i="3"/>
  <c r="AZ4" i="3"/>
  <c r="BW4" i="3"/>
  <c r="AY4" i="3"/>
  <c r="BV4" i="3"/>
  <c r="AX4" i="3"/>
  <c r="BJ3" i="3"/>
  <c r="AS4" i="3"/>
  <c r="BT4" i="3"/>
  <c r="BC7" i="3"/>
  <c r="CE7" i="3"/>
  <c r="BE11" i="3"/>
  <c r="BL15" i="3"/>
  <c r="AY16" i="3"/>
  <c r="CB16" i="3"/>
  <c r="BN17" i="3"/>
  <c r="BC21" i="3"/>
  <c r="BJ23" i="3"/>
  <c r="BB24" i="3"/>
  <c r="AZ28" i="3"/>
  <c r="BN30" i="3"/>
  <c r="AZ38" i="3"/>
  <c r="BR40" i="3"/>
  <c r="BJ41" i="3"/>
  <c r="AZ42" i="3"/>
  <c r="BT46" i="3"/>
  <c r="BL47" i="3"/>
  <c r="BX50" i="3"/>
  <c r="BE53" i="3"/>
  <c r="BC55" i="3"/>
  <c r="AY56" i="3"/>
  <c r="BF58" i="3"/>
  <c r="BO60" i="3"/>
  <c r="AZ62" i="3"/>
  <c r="BX63" i="3"/>
  <c r="BI3" i="3"/>
  <c r="BK3" i="3"/>
  <c r="AT4" i="3"/>
  <c r="BU4" i="3"/>
  <c r="BD7" i="3"/>
  <c r="BF11" i="3"/>
  <c r="BO15" i="3"/>
  <c r="AZ16" i="3"/>
  <c r="CC16" i="3"/>
  <c r="BO17" i="3"/>
  <c r="BF21" i="3"/>
  <c r="BK23" i="3"/>
  <c r="BC24" i="3"/>
  <c r="BA28" i="3"/>
  <c r="BO30" i="3"/>
  <c r="BA38" i="3"/>
  <c r="BS40" i="3"/>
  <c r="BK41" i="3"/>
  <c r="BA42" i="3"/>
  <c r="BU46" i="3"/>
  <c r="BP47" i="3"/>
  <c r="BY50" i="3"/>
  <c r="BF53" i="3"/>
  <c r="BD55" i="3"/>
  <c r="BA56" i="3"/>
  <c r="BG58" i="3"/>
  <c r="BP60" i="3"/>
  <c r="BA62" i="3"/>
  <c r="BY63" i="3"/>
  <c r="BL3" i="3"/>
  <c r="AU4" i="3"/>
  <c r="BY4" i="3"/>
  <c r="BE7" i="3"/>
  <c r="BG11" i="3"/>
  <c r="BP15" i="3"/>
  <c r="BA16" i="3"/>
  <c r="CD16" i="3"/>
  <c r="BP17" i="3"/>
  <c r="BG21" i="3"/>
  <c r="BL23" i="3"/>
  <c r="BD24" i="3"/>
  <c r="BB28" i="3"/>
  <c r="BP30" i="3"/>
  <c r="BQ33" i="3"/>
  <c r="AS33" i="3"/>
  <c r="BP33" i="3"/>
  <c r="BO33" i="3"/>
  <c r="BH33" i="3"/>
  <c r="BG33" i="3"/>
  <c r="BL33" i="3"/>
  <c r="BK33" i="3"/>
  <c r="BJ33" i="3"/>
  <c r="BY33" i="3"/>
  <c r="BE38" i="3"/>
  <c r="BT40" i="3"/>
  <c r="BL41" i="3"/>
  <c r="BB42" i="3"/>
  <c r="BV46" i="3"/>
  <c r="BQ47" i="3"/>
  <c r="BZ50" i="3"/>
  <c r="BM53" i="3"/>
  <c r="BH55" i="3"/>
  <c r="BM56" i="3"/>
  <c r="BH58" i="3"/>
  <c r="BQ60" i="3"/>
  <c r="BB62" i="3"/>
  <c r="BZ63" i="3"/>
  <c r="BQ57" i="3"/>
  <c r="AS57" i="3"/>
  <c r="BP57" i="3"/>
  <c r="BO57" i="3"/>
  <c r="BM57" i="3"/>
  <c r="BS57" i="3"/>
  <c r="BR57" i="3"/>
  <c r="BK57" i="3"/>
  <c r="BX57" i="3"/>
  <c r="BP52" i="3"/>
  <c r="BO52" i="3"/>
  <c r="BN52" i="3"/>
  <c r="BK52" i="3"/>
  <c r="BJ52" i="3"/>
  <c r="BU52" i="3"/>
  <c r="AT57" i="3"/>
  <c r="BY57" i="3"/>
  <c r="AS52" i="3"/>
  <c r="BV52" i="3"/>
  <c r="AU57" i="3"/>
  <c r="BZ57" i="3"/>
  <c r="AT52" i="3"/>
  <c r="BW52" i="3"/>
  <c r="AV57" i="3"/>
  <c r="CA57" i="3"/>
  <c r="AU52" i="3"/>
  <c r="BX52" i="3"/>
  <c r="AW57" i="3"/>
  <c r="CB57" i="3"/>
  <c r="AV52" i="3"/>
  <c r="BY52" i="3"/>
  <c r="AX57" i="3"/>
  <c r="CC57" i="3"/>
  <c r="AW52" i="3"/>
  <c r="BZ52" i="3"/>
  <c r="AY57" i="3"/>
  <c r="CD57" i="3"/>
  <c r="BJ22" i="3"/>
  <c r="BI22" i="3"/>
  <c r="BH22" i="3"/>
  <c r="BS22" i="3"/>
  <c r="BV34" i="3"/>
  <c r="AX34" i="3"/>
  <c r="BU34" i="3"/>
  <c r="AW34" i="3"/>
  <c r="BT34" i="3"/>
  <c r="AV34" i="3"/>
  <c r="BS34" i="3"/>
  <c r="BT48" i="3"/>
  <c r="AV48" i="3"/>
  <c r="BS48" i="3"/>
  <c r="AU48" i="3"/>
  <c r="BR48" i="3"/>
  <c r="AT48" i="3"/>
  <c r="BV48" i="3"/>
  <c r="BM61" i="3"/>
  <c r="BL61" i="3"/>
  <c r="BK61" i="3"/>
  <c r="BJ61" i="3"/>
  <c r="BI61" i="3"/>
  <c r="CB61" i="3"/>
  <c r="BD61" i="3"/>
  <c r="BV61" i="3"/>
  <c r="BI2" i="3"/>
  <c r="BH2" i="3"/>
  <c r="CE2" i="3"/>
  <c r="BG2" i="3"/>
  <c r="BJ2" i="3"/>
  <c r="CD2" i="3"/>
  <c r="BF2" i="3"/>
  <c r="CC2" i="3"/>
  <c r="BE2" i="3"/>
  <c r="CB2" i="3"/>
  <c r="BD2" i="3"/>
  <c r="CA2" i="3"/>
  <c r="BC2" i="3"/>
  <c r="BZ2" i="3"/>
  <c r="BB2" i="3"/>
  <c r="BY2" i="3"/>
  <c r="BA2" i="3"/>
  <c r="BX2" i="3"/>
  <c r="AZ2" i="3"/>
  <c r="BW2" i="3"/>
  <c r="AY2" i="3"/>
  <c r="BV2" i="3"/>
  <c r="AX2" i="3"/>
  <c r="BU2" i="3"/>
  <c r="AW2" i="3"/>
  <c r="BT2" i="3"/>
  <c r="AV2" i="3"/>
  <c r="BS2" i="3"/>
  <c r="AU2" i="3"/>
  <c r="BR2" i="3"/>
  <c r="AT2" i="3"/>
  <c r="BQ2" i="3"/>
  <c r="AS2" i="3"/>
  <c r="BP2" i="3"/>
  <c r="BO2" i="3"/>
  <c r="BN2" i="3"/>
  <c r="BM2" i="3"/>
  <c r="BL2" i="3"/>
  <c r="BK2" i="3"/>
  <c r="CM11" i="2" l="1"/>
  <c r="CN11" i="2" s="1"/>
  <c r="CO11" i="2" s="1"/>
  <c r="CG60" i="2"/>
  <c r="CH60" i="2" s="1"/>
  <c r="CJ48" i="2"/>
  <c r="CJ59" i="2"/>
  <c r="CG40" i="2"/>
  <c r="CH40" i="2" s="1"/>
  <c r="CJ40" i="2"/>
  <c r="CM40" i="2"/>
  <c r="CN40" i="2" s="1"/>
  <c r="CO40" i="2" s="1"/>
  <c r="CG27" i="2"/>
  <c r="CH27" i="2" s="1"/>
  <c r="CG11" i="2"/>
  <c r="CH11" i="2" s="1"/>
  <c r="CM37" i="2"/>
  <c r="CN37" i="2" s="1"/>
  <c r="CO37" i="2" s="1"/>
  <c r="CM35" i="2"/>
  <c r="CN35" i="2" s="1"/>
  <c r="CO35" i="2" s="1"/>
  <c r="CG23" i="2"/>
  <c r="CH23" i="2" s="1"/>
  <c r="CM23" i="2"/>
  <c r="CN23" i="2" s="1"/>
  <c r="CO23" i="2" s="1"/>
  <c r="CJ58" i="2"/>
  <c r="CT58" i="2" s="1"/>
  <c r="CU58" i="2" s="1"/>
  <c r="CJ57" i="2"/>
  <c r="CT57" i="2" s="1"/>
  <c r="CU57" i="2" s="1"/>
  <c r="CM17" i="2"/>
  <c r="CN17" i="2" s="1"/>
  <c r="CO17" i="2" s="1"/>
  <c r="CJ61" i="2"/>
  <c r="CT61" i="2" s="1"/>
  <c r="CU61" i="2" s="1"/>
  <c r="CJ64" i="2"/>
  <c r="CT64" i="2" s="1"/>
  <c r="CU64" i="2" s="1"/>
  <c r="CG35" i="2"/>
  <c r="CH35" i="2" s="1"/>
  <c r="CM30" i="2"/>
  <c r="CN30" i="2" s="1"/>
  <c r="CO30" i="2" s="1"/>
  <c r="CM31" i="2"/>
  <c r="CN31" i="2" s="1"/>
  <c r="CO31" i="2" s="1"/>
  <c r="CG22" i="2"/>
  <c r="CH22" i="2" s="1"/>
  <c r="CM14" i="2"/>
  <c r="CN14" i="2" s="1"/>
  <c r="CO14" i="2" s="1"/>
  <c r="CG7" i="2"/>
  <c r="CH7" i="2" s="1"/>
  <c r="CG37" i="2"/>
  <c r="CH37" i="2" s="1"/>
  <c r="CJ46" i="2"/>
  <c r="CG8" i="2"/>
  <c r="CH8" i="2" s="1"/>
  <c r="CM8" i="2"/>
  <c r="CN8" i="2" s="1"/>
  <c r="CO8" i="2" s="1"/>
  <c r="CM32" i="2"/>
  <c r="CN32" i="2" s="1"/>
  <c r="CO32" i="2" s="1"/>
  <c r="CM38" i="2"/>
  <c r="CN38" i="2" s="1"/>
  <c r="CO38" i="2" s="1"/>
  <c r="CM15" i="2"/>
  <c r="CN15" i="2" s="1"/>
  <c r="CO15" i="2" s="1"/>
  <c r="CM6" i="2"/>
  <c r="CN6" i="2" s="1"/>
  <c r="CO6" i="2" s="1"/>
  <c r="CJ43" i="2"/>
  <c r="CJ47" i="2"/>
  <c r="CJ63" i="2"/>
  <c r="CG34" i="2"/>
  <c r="CH34" i="2" s="1"/>
  <c r="CM34" i="2"/>
  <c r="CN34" i="2" s="1"/>
  <c r="CO34" i="2" s="1"/>
  <c r="CG30" i="2"/>
  <c r="CH30" i="2" s="1"/>
  <c r="CM27" i="2"/>
  <c r="CN27" i="2" s="1"/>
  <c r="CO27" i="2" s="1"/>
  <c r="CJ50" i="2"/>
  <c r="CT50" i="2" s="1"/>
  <c r="CU50" i="2" s="1"/>
  <c r="CJ51" i="2"/>
  <c r="CM3" i="2"/>
  <c r="CN3" i="2" s="1"/>
  <c r="CO3" i="2" s="1"/>
  <c r="CG3" i="2"/>
  <c r="CH3" i="2" s="1"/>
  <c r="CG25" i="2"/>
  <c r="CH25" i="2" s="1"/>
  <c r="CG26" i="2"/>
  <c r="CH26" i="2" s="1"/>
  <c r="CM26" i="2"/>
  <c r="CN26" i="2" s="1"/>
  <c r="CO26" i="2" s="1"/>
  <c r="CJ41" i="2"/>
  <c r="CT41" i="2" s="1"/>
  <c r="CU41" i="2" s="1"/>
  <c r="CG17" i="2"/>
  <c r="CH17" i="2" s="1"/>
  <c r="CG31" i="2"/>
  <c r="CH31" i="2" s="1"/>
  <c r="CG24" i="2"/>
  <c r="CH24" i="2" s="1"/>
  <c r="CJ53" i="2"/>
  <c r="CG12" i="2"/>
  <c r="CH12" i="2" s="1"/>
  <c r="CM12" i="2"/>
  <c r="CN12" i="2" s="1"/>
  <c r="CO12" i="2" s="1"/>
  <c r="CG15" i="2"/>
  <c r="CH15" i="2" s="1"/>
  <c r="CG10" i="2"/>
  <c r="CH10" i="2" s="1"/>
  <c r="CM10" i="2"/>
  <c r="CN10" i="2" s="1"/>
  <c r="CO10" i="2" s="1"/>
  <c r="CM7" i="2"/>
  <c r="CN7" i="2" s="1"/>
  <c r="CO7" i="2" s="1"/>
  <c r="CG33" i="2"/>
  <c r="CH33" i="2" s="1"/>
  <c r="CM33" i="2"/>
  <c r="CN33" i="2" s="1"/>
  <c r="CO33" i="2" s="1"/>
  <c r="CM4" i="2"/>
  <c r="CN4" i="2" s="1"/>
  <c r="CO4" i="2" s="1"/>
  <c r="CG29" i="2"/>
  <c r="CH29" i="2" s="1"/>
  <c r="CJ56" i="2"/>
  <c r="CG20" i="2"/>
  <c r="CH20" i="2" s="1"/>
  <c r="CM20" i="2"/>
  <c r="CN20" i="2" s="1"/>
  <c r="CO20" i="2" s="1"/>
  <c r="CG9" i="2"/>
  <c r="CH9" i="2" s="1"/>
  <c r="CM9" i="2"/>
  <c r="CN9" i="2" s="1"/>
  <c r="CO9" i="2" s="1"/>
  <c r="CG44" i="2"/>
  <c r="CH44" i="2" s="1"/>
  <c r="CM52" i="2"/>
  <c r="CN52" i="2" s="1"/>
  <c r="CO52" i="2" s="1"/>
  <c r="CM18" i="2"/>
  <c r="CN18" i="2" s="1"/>
  <c r="CO18" i="2" s="1"/>
  <c r="CM5" i="2"/>
  <c r="CN5" i="2" s="1"/>
  <c r="CO5" i="2" s="1"/>
  <c r="CJ44" i="2"/>
  <c r="CT44" i="2" s="1"/>
  <c r="CU44" i="2" s="1"/>
  <c r="CM57" i="2"/>
  <c r="CN57" i="2" s="1"/>
  <c r="CO57" i="2" s="1"/>
  <c r="CG65" i="2"/>
  <c r="CH65" i="2" s="1"/>
  <c r="CJ62" i="2"/>
  <c r="CM36" i="2"/>
  <c r="CN36" i="2" s="1"/>
  <c r="CO36" i="2" s="1"/>
  <c r="CG14" i="2"/>
  <c r="CH14" i="2" s="1"/>
  <c r="CJ65" i="2"/>
  <c r="CT65" i="2" s="1"/>
  <c r="CU65" i="2" s="1"/>
  <c r="CG6" i="2"/>
  <c r="CH6" i="2" s="1"/>
  <c r="CG28" i="2"/>
  <c r="CH28" i="2" s="1"/>
  <c r="CM28" i="2"/>
  <c r="CN28" i="2" s="1"/>
  <c r="CO28" i="2" s="1"/>
  <c r="CJ54" i="2"/>
  <c r="CG38" i="2"/>
  <c r="CH38" i="2" s="1"/>
  <c r="CM22" i="2"/>
  <c r="CN22" i="2" s="1"/>
  <c r="CO22" i="2" s="1"/>
  <c r="CM29" i="2"/>
  <c r="CN29" i="2" s="1"/>
  <c r="CO29" i="2" s="1"/>
  <c r="CJ55" i="2"/>
  <c r="CG19" i="2"/>
  <c r="CH19" i="2" s="1"/>
  <c r="CM19" i="2"/>
  <c r="CN19" i="2" s="1"/>
  <c r="CO19" i="2" s="1"/>
  <c r="CM25" i="2"/>
  <c r="CN25" i="2" s="1"/>
  <c r="CO25" i="2" s="1"/>
  <c r="CG13" i="2"/>
  <c r="CH13" i="2" s="1"/>
  <c r="CJ42" i="2"/>
  <c r="CT42" i="2" s="1"/>
  <c r="CU42" i="2" s="1"/>
  <c r="CG36" i="2"/>
  <c r="CH36" i="2" s="1"/>
  <c r="CG40" i="3"/>
  <c r="CH40" i="3" s="1"/>
  <c r="CJ9" i="3"/>
  <c r="CJ39" i="3"/>
  <c r="CG28" i="3"/>
  <c r="CH28" i="3" s="1"/>
  <c r="CJ30" i="3"/>
  <c r="CJ4" i="3"/>
  <c r="CJ23" i="3"/>
  <c r="CJ38" i="3"/>
  <c r="CJ17" i="3"/>
  <c r="CJ37" i="3"/>
  <c r="CJ13" i="3"/>
  <c r="CJ26" i="3"/>
  <c r="CJ10" i="3"/>
  <c r="CJ40" i="3"/>
  <c r="CJ15" i="3"/>
  <c r="CJ3" i="3"/>
  <c r="CJ34" i="3"/>
  <c r="CJ32" i="3"/>
  <c r="CJ12" i="3"/>
  <c r="CJ27" i="3"/>
  <c r="CJ33" i="3"/>
  <c r="CJ19" i="3"/>
  <c r="CJ24" i="3"/>
  <c r="CJ7" i="3"/>
  <c r="CJ8" i="3"/>
  <c r="CJ21" i="3"/>
  <c r="CG22" i="3"/>
  <c r="CH22" i="3" s="1"/>
  <c r="CJ14" i="3"/>
  <c r="CJ6" i="3"/>
  <c r="CJ11" i="3"/>
  <c r="CJ28" i="3"/>
  <c r="CJ31" i="3"/>
  <c r="CJ29" i="3"/>
  <c r="CJ18" i="3"/>
  <c r="CJ25" i="3"/>
  <c r="CJ5" i="3"/>
  <c r="CJ36" i="3"/>
  <c r="CJ16" i="3"/>
  <c r="CJ2" i="3"/>
  <c r="CG42" i="2"/>
  <c r="CH42" i="2" s="1"/>
  <c r="CM42" i="2"/>
  <c r="CN42" i="2" s="1"/>
  <c r="CO42" i="2" s="1"/>
  <c r="CM45" i="2"/>
  <c r="CN45" i="2" s="1"/>
  <c r="CO45" i="2" s="1"/>
  <c r="CG45" i="2"/>
  <c r="CH45" i="2" s="1"/>
  <c r="CM62" i="2"/>
  <c r="CN62" i="2" s="1"/>
  <c r="CO62" i="2" s="1"/>
  <c r="CM60" i="2"/>
  <c r="CN60" i="2" s="1"/>
  <c r="CO60" i="2" s="1"/>
  <c r="CG58" i="2"/>
  <c r="CH58" i="2" s="1"/>
  <c r="CM58" i="2"/>
  <c r="CN58" i="2" s="1"/>
  <c r="CO58" i="2" s="1"/>
  <c r="CM48" i="2"/>
  <c r="CN48" i="2" s="1"/>
  <c r="CO48" i="2" s="1"/>
  <c r="CG51" i="2"/>
  <c r="CH51" i="2" s="1"/>
  <c r="CM54" i="2"/>
  <c r="CN54" i="2" s="1"/>
  <c r="CO54" i="2" s="1"/>
  <c r="CG49" i="2"/>
  <c r="CH49" i="2" s="1"/>
  <c r="CM61" i="2"/>
  <c r="CN61" i="2" s="1"/>
  <c r="CO61" i="2" s="1"/>
  <c r="CM59" i="2"/>
  <c r="CN59" i="2" s="1"/>
  <c r="CO59" i="2" s="1"/>
  <c r="CM49" i="2"/>
  <c r="CN49" i="2" s="1"/>
  <c r="CO49" i="2" s="1"/>
  <c r="CG53" i="2"/>
  <c r="CH53" i="2" s="1"/>
  <c r="CM64" i="2"/>
  <c r="CN64" i="2" s="1"/>
  <c r="CO64" i="2" s="1"/>
  <c r="CG52" i="2"/>
  <c r="CH52" i="2" s="1"/>
  <c r="CG63" i="2"/>
  <c r="CH63" i="2" s="1"/>
  <c r="CM63" i="2"/>
  <c r="CN63" i="2" s="1"/>
  <c r="CO63" i="2" s="1"/>
  <c r="CG54" i="2"/>
  <c r="CH54" i="2" s="1"/>
  <c r="CG50" i="2"/>
  <c r="CH50" i="2" s="1"/>
  <c r="CM50" i="2"/>
  <c r="CN50" i="2" s="1"/>
  <c r="CO50" i="2" s="1"/>
  <c r="CG43" i="2"/>
  <c r="CH43" i="2" s="1"/>
  <c r="CG56" i="2"/>
  <c r="CH56" i="2" s="1"/>
  <c r="CG55" i="2"/>
  <c r="CH55" i="2" s="1"/>
  <c r="CM55" i="2"/>
  <c r="CN55" i="2" s="1"/>
  <c r="CO55" i="2" s="1"/>
  <c r="CM46" i="2"/>
  <c r="CN46" i="2" s="1"/>
  <c r="CO46" i="2" s="1"/>
  <c r="CG48" i="2"/>
  <c r="CH48" i="2" s="1"/>
  <c r="CM65" i="2"/>
  <c r="CN65" i="2" s="1"/>
  <c r="CO65" i="2" s="1"/>
  <c r="CM43" i="2"/>
  <c r="CN43" i="2" s="1"/>
  <c r="CO43" i="2" s="1"/>
  <c r="CG61" i="2"/>
  <c r="CH61" i="2" s="1"/>
  <c r="CM56" i="2"/>
  <c r="CN56" i="2" s="1"/>
  <c r="CO56" i="2" s="1"/>
  <c r="CG46" i="2"/>
  <c r="CH46" i="2" s="1"/>
  <c r="CM51" i="2"/>
  <c r="CN51" i="2" s="1"/>
  <c r="CO51" i="2" s="1"/>
  <c r="CM47" i="2"/>
  <c r="CN47" i="2" s="1"/>
  <c r="CO47" i="2" s="1"/>
  <c r="CG64" i="2"/>
  <c r="CH64" i="2" s="1"/>
  <c r="CG59" i="2"/>
  <c r="CH59" i="2" s="1"/>
  <c r="CG47" i="2"/>
  <c r="CH47" i="2" s="1"/>
  <c r="CG62" i="2"/>
  <c r="CH62" i="2" s="1"/>
  <c r="CG57" i="2"/>
  <c r="CH57" i="2" s="1"/>
  <c r="CM41" i="2"/>
  <c r="CN41" i="2" s="1"/>
  <c r="CO41" i="2" s="1"/>
  <c r="CG41" i="2"/>
  <c r="CH41" i="2" s="1"/>
  <c r="CG42" i="3"/>
  <c r="CH42" i="3" s="1"/>
  <c r="CJ48" i="3"/>
  <c r="CJ61" i="3"/>
  <c r="CJ44" i="3"/>
  <c r="CJ65" i="3"/>
  <c r="CJ59" i="3"/>
  <c r="CJ60" i="3"/>
  <c r="CJ64" i="3"/>
  <c r="CJ54" i="3"/>
  <c r="CJ55" i="3"/>
  <c r="CJ42" i="3"/>
  <c r="CJ62" i="3"/>
  <c r="CJ45" i="3"/>
  <c r="CT48" i="2"/>
  <c r="CU48" i="2" s="1"/>
  <c r="CJ51" i="3"/>
  <c r="CJ57" i="3"/>
  <c r="CJ58" i="3"/>
  <c r="CJ49" i="3"/>
  <c r="CJ56" i="3"/>
  <c r="CG46" i="3"/>
  <c r="CH46" i="3" s="1"/>
  <c r="CJ52" i="3"/>
  <c r="CJ43" i="3"/>
  <c r="CJ46" i="3"/>
  <c r="CJ47" i="3"/>
  <c r="CJ53" i="3"/>
  <c r="CJ41" i="3"/>
  <c r="CJ69" i="3"/>
  <c r="CJ50" i="3"/>
  <c r="CJ63" i="3"/>
  <c r="CG63" i="3"/>
  <c r="CH63" i="3" s="1"/>
  <c r="CT63" i="2"/>
  <c r="CU63" i="2" s="1"/>
  <c r="CG14" i="3"/>
  <c r="CH14" i="3" s="1"/>
  <c r="CJ14" i="2"/>
  <c r="CT14" i="2" s="1"/>
  <c r="CU14" i="2" s="1"/>
  <c r="CG48" i="3"/>
  <c r="CH48" i="3" s="1"/>
  <c r="CJ8" i="2"/>
  <c r="CT8" i="2" s="1"/>
  <c r="CU8" i="2" s="1"/>
  <c r="CG8" i="3"/>
  <c r="CH8" i="3" s="1"/>
  <c r="CG43" i="3"/>
  <c r="CH43" i="3" s="1"/>
  <c r="CT43" i="2"/>
  <c r="CU43" i="2" s="1"/>
  <c r="CG18" i="3"/>
  <c r="CH18" i="3" s="1"/>
  <c r="CJ18" i="2"/>
  <c r="CT18" i="2" s="1"/>
  <c r="CU18" i="2" s="1"/>
  <c r="CG47" i="3"/>
  <c r="CH47" i="3" s="1"/>
  <c r="CT47" i="2"/>
  <c r="CU47" i="2" s="1"/>
  <c r="CG65" i="3"/>
  <c r="CH65" i="3" s="1"/>
  <c r="CG61" i="3"/>
  <c r="CH61" i="3" s="1"/>
  <c r="CJ31" i="2"/>
  <c r="CT31" i="2" s="1"/>
  <c r="CU31" i="2" s="1"/>
  <c r="CG31" i="3"/>
  <c r="CH31" i="3" s="1"/>
  <c r="CJ22" i="2"/>
  <c r="CT22" i="2" s="1"/>
  <c r="CU22" i="2" s="1"/>
  <c r="CG25" i="3"/>
  <c r="CH25" i="3" s="1"/>
  <c r="CJ25" i="2"/>
  <c r="CT25" i="2" s="1"/>
  <c r="CU25" i="2" s="1"/>
  <c r="CJ29" i="2"/>
  <c r="CT29" i="2" s="1"/>
  <c r="CU29" i="2" s="1"/>
  <c r="CG29" i="3"/>
  <c r="CH29" i="3" s="1"/>
  <c r="CG57" i="3"/>
  <c r="CH57" i="3" s="1"/>
  <c r="CG44" i="3"/>
  <c r="CH44" i="3" s="1"/>
  <c r="CT40" i="2"/>
  <c r="CU40" i="2" s="1"/>
  <c r="CT55" i="2"/>
  <c r="CU55" i="2" s="1"/>
  <c r="CG55" i="3"/>
  <c r="CH55" i="3" s="1"/>
  <c r="CJ30" i="2"/>
  <c r="CT30" i="2" s="1"/>
  <c r="CU30" i="2" s="1"/>
  <c r="CG30" i="3"/>
  <c r="CH30" i="3" s="1"/>
  <c r="CG5" i="3"/>
  <c r="CH5" i="3" s="1"/>
  <c r="CJ5" i="2"/>
  <c r="CT5" i="2" s="1"/>
  <c r="CU5" i="2" s="1"/>
  <c r="CG36" i="3"/>
  <c r="CH36" i="3" s="1"/>
  <c r="CJ36" i="2"/>
  <c r="CT36" i="2" s="1"/>
  <c r="CU36" i="2" s="1"/>
  <c r="CT59" i="2"/>
  <c r="CU59" i="2" s="1"/>
  <c r="CG59" i="3"/>
  <c r="CH59" i="3" s="1"/>
  <c r="CJ34" i="2"/>
  <c r="CT34" i="2" s="1"/>
  <c r="CU34" i="2" s="1"/>
  <c r="CG34" i="3"/>
  <c r="CH34" i="3" s="1"/>
  <c r="CG23" i="3"/>
  <c r="CH23" i="3" s="1"/>
  <c r="CJ23" i="2"/>
  <c r="CT23" i="2" s="1"/>
  <c r="CU23" i="2" s="1"/>
  <c r="CG64" i="3"/>
  <c r="CH64" i="3" s="1"/>
  <c r="CG60" i="3"/>
  <c r="CH60" i="3" s="1"/>
  <c r="CT60" i="2"/>
  <c r="CU60" i="2" s="1"/>
  <c r="CG17" i="3"/>
  <c r="CH17" i="3" s="1"/>
  <c r="CJ17" i="2"/>
  <c r="CT17" i="2" s="1"/>
  <c r="CU17" i="2" s="1"/>
  <c r="CG35" i="3"/>
  <c r="CH35" i="3" s="1"/>
  <c r="CJ35" i="2"/>
  <c r="CT35" i="2" s="1"/>
  <c r="CU35" i="2" s="1"/>
  <c r="CJ33" i="2"/>
  <c r="CT33" i="2" s="1"/>
  <c r="CU33" i="2" s="1"/>
  <c r="CG33" i="3"/>
  <c r="CH33" i="3" s="1"/>
  <c r="CG41" i="3"/>
  <c r="CH41" i="3" s="1"/>
  <c r="CJ4" i="2"/>
  <c r="CT4" i="2" s="1"/>
  <c r="CU4" i="2" s="1"/>
  <c r="CG4" i="3"/>
  <c r="CH4" i="3" s="1"/>
  <c r="CG38" i="3"/>
  <c r="CH38" i="3" s="1"/>
  <c r="CJ38" i="2"/>
  <c r="CT38" i="2" s="1"/>
  <c r="CU38" i="2" s="1"/>
  <c r="CG20" i="3"/>
  <c r="CH20" i="3" s="1"/>
  <c r="CJ20" i="2"/>
  <c r="CT20" i="2" s="1"/>
  <c r="CU20" i="2" s="1"/>
  <c r="CT62" i="2"/>
  <c r="CU62" i="2" s="1"/>
  <c r="CG62" i="3"/>
  <c r="CH62" i="3" s="1"/>
  <c r="CG58" i="3"/>
  <c r="CH58" i="3" s="1"/>
  <c r="CG15" i="3"/>
  <c r="CH15" i="3" s="1"/>
  <c r="CJ15" i="2"/>
  <c r="CT15" i="2" s="1"/>
  <c r="CU15" i="2" s="1"/>
  <c r="CG9" i="3"/>
  <c r="CH9" i="3" s="1"/>
  <c r="CJ9" i="2"/>
  <c r="CT9" i="2" s="1"/>
  <c r="CU9" i="2" s="1"/>
  <c r="CJ28" i="2"/>
  <c r="CT28" i="2" s="1"/>
  <c r="CU28" i="2" s="1"/>
  <c r="CG39" i="3"/>
  <c r="CH39" i="3" s="1"/>
  <c r="CJ39" i="2"/>
  <c r="CT39" i="2" s="1"/>
  <c r="CU39" i="2" s="1"/>
  <c r="CG54" i="3"/>
  <c r="CH54" i="3" s="1"/>
  <c r="CT54" i="2"/>
  <c r="CU54" i="2" s="1"/>
  <c r="CT52" i="2"/>
  <c r="CU52" i="2" s="1"/>
  <c r="CG52" i="3"/>
  <c r="CH52" i="3" s="1"/>
  <c r="CG56" i="3"/>
  <c r="CH56" i="3" s="1"/>
  <c r="CT56" i="2"/>
  <c r="CU56" i="2" s="1"/>
  <c r="CG3" i="3"/>
  <c r="CH3" i="3" s="1"/>
  <c r="CJ3" i="2"/>
  <c r="CT3" i="2" s="1"/>
  <c r="CU3" i="2" s="1"/>
  <c r="CJ10" i="2"/>
  <c r="CT10" i="2" s="1"/>
  <c r="CU10" i="2" s="1"/>
  <c r="CG10" i="3"/>
  <c r="CH10" i="3" s="1"/>
  <c r="CJ13" i="2"/>
  <c r="CT13" i="2" s="1"/>
  <c r="CU13" i="2" s="1"/>
  <c r="CG13" i="3"/>
  <c r="CH13" i="3" s="1"/>
  <c r="CG24" i="3"/>
  <c r="CH24" i="3" s="1"/>
  <c r="CJ24" i="2"/>
  <c r="CT24" i="2" s="1"/>
  <c r="CU24" i="2" s="1"/>
  <c r="CT46" i="2"/>
  <c r="CU46" i="2" s="1"/>
  <c r="CG50" i="3"/>
  <c r="CH50" i="3" s="1"/>
  <c r="CJ26" i="2"/>
  <c r="CT26" i="2" s="1"/>
  <c r="CU26" i="2" s="1"/>
  <c r="CG26" i="3"/>
  <c r="CH26" i="3" s="1"/>
  <c r="CJ37" i="2"/>
  <c r="CT37" i="2" s="1"/>
  <c r="CU37" i="2" s="1"/>
  <c r="CG37" i="3"/>
  <c r="CH37" i="3" s="1"/>
  <c r="CJ6" i="2"/>
  <c r="CT6" i="2" s="1"/>
  <c r="CU6" i="2" s="1"/>
  <c r="CG6" i="3"/>
  <c r="CH6" i="3" s="1"/>
  <c r="CJ16" i="2"/>
  <c r="CT16" i="2" s="1"/>
  <c r="CU16" i="2" s="1"/>
  <c r="CG16" i="3"/>
  <c r="CH16" i="3" s="1"/>
  <c r="CG21" i="3"/>
  <c r="CH21" i="3" s="1"/>
  <c r="CJ21" i="2"/>
  <c r="CT21" i="2" s="1"/>
  <c r="CU21" i="2" s="1"/>
  <c r="CJ7" i="2"/>
  <c r="CT7" i="2" s="1"/>
  <c r="CU7" i="2" s="1"/>
  <c r="CG7" i="3"/>
  <c r="CH7" i="3" s="1"/>
  <c r="CJ19" i="2"/>
  <c r="CT19" i="2" s="1"/>
  <c r="CU19" i="2" s="1"/>
  <c r="CG19" i="3"/>
  <c r="CH19" i="3" s="1"/>
  <c r="CG53" i="3"/>
  <c r="CH53" i="3" s="1"/>
  <c r="CT51" i="2"/>
  <c r="CU51" i="2" s="1"/>
  <c r="CG51" i="3"/>
  <c r="CH51" i="3" s="1"/>
  <c r="CG45" i="3"/>
  <c r="CH45" i="3" s="1"/>
  <c r="CT45" i="2"/>
  <c r="CU45" i="2" s="1"/>
  <c r="CJ32" i="2"/>
  <c r="CT32" i="2" s="1"/>
  <c r="CU32" i="2" s="1"/>
  <c r="CG32" i="3"/>
  <c r="CH32" i="3" s="1"/>
  <c r="CG12" i="3"/>
  <c r="CH12" i="3" s="1"/>
  <c r="CJ12" i="2"/>
  <c r="CT12" i="2" s="1"/>
  <c r="CU12" i="2" s="1"/>
  <c r="CJ11" i="2"/>
  <c r="CT11" i="2" s="1"/>
  <c r="CU11" i="2" s="1"/>
  <c r="CG11" i="3"/>
  <c r="CH11" i="3" s="1"/>
  <c r="CG27" i="3"/>
  <c r="CH27" i="3" s="1"/>
  <c r="CJ27" i="2"/>
  <c r="CT27" i="2" s="1"/>
  <c r="CU27" i="2" s="1"/>
  <c r="CG49" i="3"/>
  <c r="CH49" i="3" s="1"/>
  <c r="CT49" i="2"/>
  <c r="CU49" i="2" s="1"/>
  <c r="CG2" i="3"/>
  <c r="CH2" i="3" s="1"/>
  <c r="CJ2" i="2"/>
  <c r="CT2" i="2" s="1"/>
  <c r="CU2" i="2" s="1"/>
</calcChain>
</file>

<file path=xl/sharedStrings.xml><?xml version="1.0" encoding="utf-8"?>
<sst xmlns="http://schemas.openxmlformats.org/spreadsheetml/2006/main" count="853" uniqueCount="133">
  <si>
    <t>Especies</t>
  </si>
  <si>
    <t>MDS1</t>
  </si>
  <si>
    <t>MDS2</t>
  </si>
  <si>
    <t>Cercocebus_agilis</t>
  </si>
  <si>
    <t>Cercocebus_torquatus</t>
  </si>
  <si>
    <t>Cercopithecus_ascanius</t>
  </si>
  <si>
    <t>Cercopithecus_campbelli</t>
  </si>
  <si>
    <t>Cercopithecus_cephus</t>
  </si>
  <si>
    <t>Cercopithecus_diana</t>
  </si>
  <si>
    <t>Cercopithecus_mitis</t>
  </si>
  <si>
    <t>Cercopithecus_neglectus</t>
  </si>
  <si>
    <t>Cercopithecus_nictitans</t>
  </si>
  <si>
    <t>Chlorocebus_aethiops</t>
  </si>
  <si>
    <t>Colobus_angolensis</t>
  </si>
  <si>
    <t>Colobus_guereza</t>
  </si>
  <si>
    <t>Erythrocebus_patas</t>
  </si>
  <si>
    <t>Gorilla_gorilla</t>
  </si>
  <si>
    <t>Hylobates_agilis</t>
  </si>
  <si>
    <t>Hylobates_lar</t>
  </si>
  <si>
    <t>Hylobates_muelleri</t>
  </si>
  <si>
    <t>Macaca_assamensis</t>
  </si>
  <si>
    <t>Macaca_cyclopis</t>
  </si>
  <si>
    <t>Macaca_fascicularis</t>
  </si>
  <si>
    <t>Macaca_fuscata</t>
  </si>
  <si>
    <t>Macaca_mulatta</t>
  </si>
  <si>
    <t>Macaca_nemestrina</t>
  </si>
  <si>
    <t>Macaca_nigra</t>
  </si>
  <si>
    <t>Macaca_sylvanus</t>
  </si>
  <si>
    <t>Mandrillus_leucophaeus</t>
  </si>
  <si>
    <t>Mandrillus_sphinx</t>
  </si>
  <si>
    <t>Nasalis_larvatus</t>
  </si>
  <si>
    <t>Pan_paniscus</t>
  </si>
  <si>
    <t>Pan_troglodytes</t>
  </si>
  <si>
    <t>Papio_hamadryas</t>
  </si>
  <si>
    <t>Pongo_pygmaeus</t>
  </si>
  <si>
    <t>Presbytis_melalophos</t>
  </si>
  <si>
    <t>Presbytis_rubicunda</t>
  </si>
  <si>
    <t>Procolobus_verus</t>
  </si>
  <si>
    <t>Theropithecus_gelada</t>
  </si>
  <si>
    <t>Trachypithecus_cristatus</t>
  </si>
  <si>
    <t>Trachypithecus_obscurus</t>
  </si>
  <si>
    <t>Trachypithecus_phayrei</t>
  </si>
  <si>
    <t>Alouatta_belzebul</t>
  </si>
  <si>
    <t>Alouatta_caraya</t>
  </si>
  <si>
    <t>Alouatta_palliata</t>
  </si>
  <si>
    <t>Alouatta_seniculus</t>
  </si>
  <si>
    <t>Ateles_geoffroyi</t>
  </si>
  <si>
    <t>Ateles_marginatus</t>
  </si>
  <si>
    <t>Ateles_paniscus</t>
  </si>
  <si>
    <t>Callicebus_personatus</t>
  </si>
  <si>
    <t>Callithrix_geoffroyi</t>
  </si>
  <si>
    <t>Callithrix_jacchus</t>
  </si>
  <si>
    <t>Callithrix_kuhlii</t>
  </si>
  <si>
    <t>Callithrix_penicillata</t>
  </si>
  <si>
    <t>Cebus_albifrons</t>
  </si>
  <si>
    <t>Sapajus_apella</t>
  </si>
  <si>
    <t>Sapajus_libidinosus</t>
  </si>
  <si>
    <t>Sapajus_robustus</t>
  </si>
  <si>
    <t>Chiropotes_albinasus</t>
  </si>
  <si>
    <t>Pithecia_irrorata</t>
  </si>
  <si>
    <t>Pithecia_pithecia</t>
  </si>
  <si>
    <t>Saguinus_geoffroyi</t>
  </si>
  <si>
    <t>Saguinus_midas</t>
  </si>
  <si>
    <t>Saguinus_mystax</t>
  </si>
  <si>
    <t>Saguinus_oedipus</t>
  </si>
  <si>
    <t>Saimiri_oerstedii</t>
  </si>
  <si>
    <t>Saimiri_sciureus</t>
  </si>
  <si>
    <t>ISPM</t>
  </si>
  <si>
    <t>ISNSL</t>
  </si>
  <si>
    <t>ISPNS</t>
  </si>
  <si>
    <t>PMZS</t>
  </si>
  <si>
    <t>PMZI</t>
  </si>
  <si>
    <t>PMMT</t>
  </si>
  <si>
    <t>NSLNA</t>
  </si>
  <si>
    <t>NSLZS</t>
  </si>
  <si>
    <t>NSLZI</t>
  </si>
  <si>
    <t>NABR</t>
  </si>
  <si>
    <t>NAFM</t>
  </si>
  <si>
    <t>NAPNS</t>
  </si>
  <si>
    <t>BRPT</t>
  </si>
  <si>
    <t>BRAPET</t>
  </si>
  <si>
    <t>PTFM</t>
  </si>
  <si>
    <t>PTAPET</t>
  </si>
  <si>
    <t>PTBA</t>
  </si>
  <si>
    <t>PTEAM</t>
  </si>
  <si>
    <t>PTZYGO</t>
  </si>
  <si>
    <t>PTTSP</t>
  </si>
  <si>
    <t>FMZS</t>
  </si>
  <si>
    <t>FMMT</t>
  </si>
  <si>
    <t>ZSZI</t>
  </si>
  <si>
    <t>ZIMT</t>
  </si>
  <si>
    <t>ZIZYGO</t>
  </si>
  <si>
    <t>ZITSP</t>
  </si>
  <si>
    <t>MTPNS</t>
  </si>
  <si>
    <t>PNSAPET</t>
  </si>
  <si>
    <t>APETBA</t>
  </si>
  <si>
    <t>APETTS</t>
  </si>
  <si>
    <t>BAEAM</t>
  </si>
  <si>
    <t>EAMZYGO</t>
  </si>
  <si>
    <t>ZYGOTSP</t>
  </si>
  <si>
    <t>LDAS</t>
  </si>
  <si>
    <t>BRLD</t>
  </si>
  <si>
    <t>OPILD</t>
  </si>
  <si>
    <t>PTAS</t>
  </si>
  <si>
    <t>JPAS</t>
  </si>
  <si>
    <t>BAOPI</t>
  </si>
  <si>
    <t>pc1xDM</t>
  </si>
  <si>
    <t>Esp$</t>
  </si>
  <si>
    <t>pc1xdm</t>
  </si>
  <si>
    <t>fisherpc1xDM</t>
  </si>
  <si>
    <t>Platy</t>
  </si>
  <si>
    <t>cata</t>
  </si>
  <si>
    <t>oed</t>
  </si>
  <si>
    <t>jacchis</t>
  </si>
  <si>
    <t>pc2xdm</t>
  </si>
  <si>
    <t>fisherpc2xDM</t>
  </si>
  <si>
    <t>Cata</t>
  </si>
  <si>
    <t>fisherpc1DM</t>
  </si>
  <si>
    <t>pc2xDM</t>
  </si>
  <si>
    <t>fisherpc2DM</t>
  </si>
  <si>
    <t>pc3xDM</t>
  </si>
  <si>
    <t>fisherpc3DM</t>
  </si>
  <si>
    <t>pc4xDM</t>
  </si>
  <si>
    <t>fisherpc4DM</t>
  </si>
  <si>
    <t>group$</t>
  </si>
  <si>
    <t>W NWM</t>
  </si>
  <si>
    <t>OWM W</t>
  </si>
  <si>
    <t>Autovalores</t>
  </si>
  <si>
    <t>Autovetores</t>
  </si>
  <si>
    <t>pc1</t>
  </si>
  <si>
    <t>pc2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</si>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</sst>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9C0006"/>
      <name val="Aptos Narrow"/>
      <family val="2"/>
      <scheme val="minor"/>
    </font>
    <font>
      <b/>
      <sz val="10"/>
      <name val="Arial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2" borderId="0" xfId="1"/>
    <xf numFmtId="0" fontId="2" fillId="0" borderId="0" xfId="0" applyFont="1" applyAlignment="1">
      <alignment horizontal="center"/>
    </xf>
    <xf numFmtId="0" fontId="3" fillId="3" borderId="0" xfId="2"/>
    <xf numFmtId="0" fontId="4" fillId="4" borderId="0" xfId="3"/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opLeftCell="A13" zoomScale="85" zoomScaleNormal="85" workbookViewId="0">
      <selection sqref="A1:L65"/>
    </sheetView>
  </sheetViews>
  <sheetFormatPr defaultColWidth="11.5546875" defaultRowHeight="13.2" x14ac:dyDescent="0.25"/>
  <cols>
    <col min="1" max="1" width="22.109375" customWidth="1"/>
    <col min="2" max="2" width="18.21875" customWidth="1"/>
    <col min="3" max="3" width="19.21875" customWidth="1"/>
    <col min="4" max="4" width="17.66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124</v>
      </c>
      <c r="E1" t="s">
        <v>106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</row>
    <row r="2" spans="1:12" x14ac:dyDescent="0.25">
      <c r="A2" t="s">
        <v>3</v>
      </c>
      <c r="B2">
        <v>0.34952679417051602</v>
      </c>
      <c r="C2">
        <v>-1.90589301402489</v>
      </c>
      <c r="D2" t="s">
        <v>116</v>
      </c>
      <c r="E2">
        <v>0.9720886702312882</v>
      </c>
      <c r="F2">
        <v>2.1289079037374021</v>
      </c>
      <c r="G2">
        <v>5.7279086023060928E-2</v>
      </c>
      <c r="H2">
        <v>5.7341851823627513E-2</v>
      </c>
      <c r="I2">
        <v>9.0732750564868958E-2</v>
      </c>
      <c r="J2">
        <v>9.0982971422179454E-2</v>
      </c>
      <c r="K2">
        <v>4.0932081996403268E-2</v>
      </c>
      <c r="L2">
        <v>4.0954964689420337E-2</v>
      </c>
    </row>
    <row r="3" spans="1:12" x14ac:dyDescent="0.25">
      <c r="A3" t="s">
        <v>4</v>
      </c>
      <c r="B3">
        <v>-2.68866339396273</v>
      </c>
      <c r="C3">
        <v>-1.5184777963920899</v>
      </c>
      <c r="D3" t="s">
        <v>116</v>
      </c>
      <c r="E3">
        <v>0.96103620293372038</v>
      </c>
      <c r="F3">
        <v>1.9592976764162779</v>
      </c>
      <c r="G3">
        <v>0.17668228058664753</v>
      </c>
      <c r="H3">
        <v>0.17855597714638188</v>
      </c>
      <c r="I3">
        <v>3.3192828591894694E-2</v>
      </c>
      <c r="J3">
        <v>3.320502687644928E-2</v>
      </c>
      <c r="K3">
        <v>6.0420846347369828E-2</v>
      </c>
      <c r="L3">
        <v>6.0494533518141921E-2</v>
      </c>
    </row>
    <row r="4" spans="1:12" x14ac:dyDescent="0.25">
      <c r="A4" t="s">
        <v>5</v>
      </c>
      <c r="B4">
        <v>-0.66348239554867605</v>
      </c>
      <c r="C4">
        <v>1.5267535968144601</v>
      </c>
      <c r="D4" t="s">
        <v>116</v>
      </c>
      <c r="E4">
        <v>0.91879623567536961</v>
      </c>
      <c r="F4">
        <v>1.5812458515216454</v>
      </c>
      <c r="G4">
        <v>6.5879392582202323E-2</v>
      </c>
      <c r="H4">
        <v>6.5974949134122274E-2</v>
      </c>
      <c r="I4">
        <v>0.11341954923486509</v>
      </c>
      <c r="J4">
        <v>0.11390968066806614</v>
      </c>
      <c r="K4">
        <v>0.10073989968345287</v>
      </c>
      <c r="L4">
        <v>0.10108277714876623</v>
      </c>
    </row>
    <row r="5" spans="1:12" x14ac:dyDescent="0.25">
      <c r="A5" t="s">
        <v>6</v>
      </c>
      <c r="B5">
        <v>-4.1055762685878197</v>
      </c>
      <c r="C5">
        <v>-0.29520282776679202</v>
      </c>
      <c r="D5" t="s">
        <v>116</v>
      </c>
      <c r="E5">
        <v>0.93167283349244989</v>
      </c>
      <c r="F5">
        <v>1.6709171097116893</v>
      </c>
      <c r="G5">
        <v>2.1836409943414653E-2</v>
      </c>
      <c r="H5">
        <v>2.183988167976731E-2</v>
      </c>
      <c r="I5">
        <v>5.2330096817793999E-2</v>
      </c>
      <c r="J5">
        <v>5.2377943050067516E-2</v>
      </c>
      <c r="K5">
        <v>0.11745230737154765</v>
      </c>
      <c r="L5">
        <v>0.11799690881201222</v>
      </c>
    </row>
    <row r="6" spans="1:12" x14ac:dyDescent="0.25">
      <c r="A6" t="s">
        <v>7</v>
      </c>
      <c r="B6">
        <v>-4.2892419247432496</v>
      </c>
      <c r="C6">
        <v>-1.25947165581395</v>
      </c>
      <c r="D6" t="s">
        <v>116</v>
      </c>
      <c r="E6">
        <v>0.94598836982586554</v>
      </c>
      <c r="F6">
        <v>1.7921629446535232</v>
      </c>
      <c r="G6">
        <v>1.816729644057415E-2</v>
      </c>
      <c r="H6">
        <v>1.8169295545865983E-2</v>
      </c>
      <c r="I6">
        <v>1.5172435547174904E-2</v>
      </c>
      <c r="J6">
        <v>1.5173599953726425E-2</v>
      </c>
      <c r="K6">
        <v>2.2579832281099711E-2</v>
      </c>
      <c r="L6">
        <v>2.2583670889092737E-2</v>
      </c>
    </row>
    <row r="7" spans="1:12" x14ac:dyDescent="0.25">
      <c r="A7" t="s">
        <v>8</v>
      </c>
      <c r="B7">
        <v>-3.5101844680771501</v>
      </c>
      <c r="C7">
        <v>-1.08106544079327</v>
      </c>
      <c r="D7" t="s">
        <v>116</v>
      </c>
      <c r="E7">
        <v>0.93798439431311653</v>
      </c>
      <c r="F7">
        <v>1.7210088409741644</v>
      </c>
      <c r="G7">
        <v>0.11417662604065561</v>
      </c>
      <c r="H7">
        <v>0.11467669029067057</v>
      </c>
      <c r="I7">
        <v>5.8551857603839873E-3</v>
      </c>
      <c r="J7">
        <v>5.8552526732623773E-3</v>
      </c>
      <c r="K7">
        <v>8.1076245948822651E-2</v>
      </c>
      <c r="L7">
        <v>8.1254597621350885E-2</v>
      </c>
    </row>
    <row r="8" spans="1:12" x14ac:dyDescent="0.25">
      <c r="A8" t="s">
        <v>9</v>
      </c>
      <c r="B8">
        <v>-4.0343011430546998</v>
      </c>
      <c r="C8">
        <v>-1.20155302658511</v>
      </c>
      <c r="D8" t="s">
        <v>116</v>
      </c>
      <c r="E8">
        <v>0.95139134163462524</v>
      </c>
      <c r="F8">
        <v>1.8462481174787075</v>
      </c>
      <c r="G8">
        <v>3.2966291223094905E-2</v>
      </c>
      <c r="H8">
        <v>3.297824134495559E-2</v>
      </c>
      <c r="I8">
        <v>3.8104559089947539E-2</v>
      </c>
      <c r="J8">
        <v>3.8123017238698098E-2</v>
      </c>
      <c r="K8">
        <v>0.10656589866221215</v>
      </c>
      <c r="L8">
        <v>0.10697206759528938</v>
      </c>
    </row>
    <row r="9" spans="1:12" x14ac:dyDescent="0.25">
      <c r="A9" t="s">
        <v>10</v>
      </c>
      <c r="B9">
        <v>7.2934815366655803</v>
      </c>
      <c r="C9">
        <v>3.0721740847187999</v>
      </c>
      <c r="D9" t="s">
        <v>116</v>
      </c>
      <c r="E9">
        <v>0.96459666215548334</v>
      </c>
      <c r="F9">
        <v>2.0081180685784883</v>
      </c>
      <c r="G9">
        <v>2.4300346857838603E-2</v>
      </c>
      <c r="H9">
        <v>2.4305131727070887E-2</v>
      </c>
      <c r="I9">
        <v>8.1674036278964347E-3</v>
      </c>
      <c r="J9">
        <v>8.1675852414197763E-3</v>
      </c>
      <c r="K9">
        <v>4.881810937409585E-2</v>
      </c>
      <c r="L9">
        <v>4.8856946155973177E-2</v>
      </c>
    </row>
    <row r="10" spans="1:12" x14ac:dyDescent="0.25">
      <c r="A10" t="s">
        <v>11</v>
      </c>
      <c r="B10">
        <v>-3.4621929109633198</v>
      </c>
      <c r="C10">
        <v>1.6981500867539401</v>
      </c>
      <c r="D10" t="s">
        <v>116</v>
      </c>
      <c r="E10">
        <v>0.95591069794444827</v>
      </c>
      <c r="F10">
        <v>1.8961970124273186</v>
      </c>
      <c r="G10">
        <v>3.648475442534798E-2</v>
      </c>
      <c r="H10">
        <v>3.6500956106547404E-2</v>
      </c>
      <c r="I10">
        <v>3.5380677260113849E-3</v>
      </c>
      <c r="J10">
        <v>3.538082489208976E-3</v>
      </c>
      <c r="K10">
        <v>4.6803025361601455E-2</v>
      </c>
      <c r="L10">
        <v>4.6837244718546493E-2</v>
      </c>
    </row>
    <row r="11" spans="1:12" x14ac:dyDescent="0.25">
      <c r="A11" t="s">
        <v>12</v>
      </c>
      <c r="B11">
        <v>5.7527723789329001E-2</v>
      </c>
      <c r="C11">
        <v>-1.61511378010218</v>
      </c>
      <c r="D11" t="s">
        <v>116</v>
      </c>
      <c r="E11">
        <v>0.96924618563248788</v>
      </c>
      <c r="F11">
        <v>2.0796960352926925</v>
      </c>
      <c r="G11">
        <v>5.1754114047849291E-2</v>
      </c>
      <c r="H11">
        <v>5.1800396046803331E-2</v>
      </c>
      <c r="I11">
        <v>1.2712147283788416E-2</v>
      </c>
      <c r="J11">
        <v>1.2712832105632734E-2</v>
      </c>
      <c r="K11">
        <v>5.2201480591323686E-2</v>
      </c>
      <c r="L11">
        <v>5.2248974518445734E-2</v>
      </c>
    </row>
    <row r="12" spans="1:12" x14ac:dyDescent="0.25">
      <c r="A12" t="s">
        <v>13</v>
      </c>
      <c r="B12">
        <v>-2.7600477563194299</v>
      </c>
      <c r="C12">
        <v>-1.4498800982556099</v>
      </c>
      <c r="D12" t="s">
        <v>116</v>
      </c>
      <c r="E12">
        <v>0.8666953111982223</v>
      </c>
      <c r="F12">
        <v>1.3196437659245384</v>
      </c>
      <c r="G12">
        <v>0.22831449959173594</v>
      </c>
      <c r="H12">
        <v>0.23241054947283415</v>
      </c>
      <c r="I12">
        <v>0.11029652607047127</v>
      </c>
      <c r="J12">
        <v>0.11074708369192322</v>
      </c>
      <c r="K12">
        <v>0.10902937213123313</v>
      </c>
      <c r="L12">
        <v>0.10946450533359224</v>
      </c>
    </row>
    <row r="13" spans="1:12" x14ac:dyDescent="0.25">
      <c r="A13" t="s">
        <v>14</v>
      </c>
      <c r="B13">
        <v>-2.7655810224735702</v>
      </c>
      <c r="C13">
        <v>-1.4516877060612901</v>
      </c>
      <c r="D13" t="s">
        <v>116</v>
      </c>
      <c r="E13">
        <v>0.96263316920510666</v>
      </c>
      <c r="F13">
        <v>1.9806294352519007</v>
      </c>
      <c r="G13">
        <v>3.7832835782894439E-2</v>
      </c>
      <c r="H13">
        <v>3.785090164213456E-2</v>
      </c>
      <c r="I13">
        <v>5.1057242629755022E-2</v>
      </c>
      <c r="J13">
        <v>5.1101678207663315E-2</v>
      </c>
      <c r="K13">
        <v>4.5662787832394365E-2</v>
      </c>
      <c r="L13">
        <v>4.5694564606701182E-2</v>
      </c>
    </row>
    <row r="14" spans="1:12" x14ac:dyDescent="0.25">
      <c r="A14" t="s">
        <v>15</v>
      </c>
      <c r="B14">
        <v>-1.73210942738467</v>
      </c>
      <c r="C14">
        <v>-1.21553490567364</v>
      </c>
      <c r="D14" t="s">
        <v>116</v>
      </c>
      <c r="E14">
        <v>0.96298654513187476</v>
      </c>
      <c r="F14">
        <v>1.9854704241948369</v>
      </c>
      <c r="G14">
        <v>7.9221259356692886E-2</v>
      </c>
      <c r="H14">
        <v>7.938761732992354E-2</v>
      </c>
      <c r="I14">
        <v>1.2391400430268328E-2</v>
      </c>
      <c r="J14">
        <v>1.239203470868454E-2</v>
      </c>
      <c r="K14">
        <v>9.3259319790995693E-2</v>
      </c>
      <c r="L14">
        <v>9.3531107615949474E-2</v>
      </c>
    </row>
    <row r="15" spans="1:12" x14ac:dyDescent="0.25">
      <c r="A15" t="s">
        <v>16</v>
      </c>
      <c r="B15">
        <v>-2.2415345263892301</v>
      </c>
      <c r="C15">
        <v>-1.3312230463155901</v>
      </c>
      <c r="D15" t="s">
        <v>116</v>
      </c>
      <c r="E15">
        <v>0.91307310659386476</v>
      </c>
      <c r="F15">
        <v>1.5456993623328832</v>
      </c>
      <c r="G15">
        <v>0.32446807299482056</v>
      </c>
      <c r="H15">
        <v>0.33663289146635833</v>
      </c>
      <c r="I15">
        <v>1.1174760528011767E-2</v>
      </c>
      <c r="J15">
        <v>1.1175225713289735E-2</v>
      </c>
      <c r="K15">
        <v>0.10464232801599213</v>
      </c>
      <c r="L15">
        <v>0.10502680227839883</v>
      </c>
    </row>
    <row r="16" spans="1:12" x14ac:dyDescent="0.25">
      <c r="A16" t="s">
        <v>17</v>
      </c>
      <c r="B16">
        <v>7.1030012549935799</v>
      </c>
      <c r="C16">
        <v>-0.180945840263536</v>
      </c>
      <c r="D16" t="s">
        <v>116</v>
      </c>
      <c r="E16">
        <v>0.63626728166613489</v>
      </c>
      <c r="F16">
        <v>0.75187678564899152</v>
      </c>
      <c r="G16">
        <v>0.10391809295196638</v>
      </c>
      <c r="H16">
        <v>0.10429460500250949</v>
      </c>
      <c r="I16">
        <v>0.40478177917103769</v>
      </c>
      <c r="J16">
        <v>0.42935457819333728</v>
      </c>
      <c r="K16">
        <v>0.14081579054665791</v>
      </c>
      <c r="L16">
        <v>0.14175777290928165</v>
      </c>
    </row>
    <row r="17" spans="1:12" x14ac:dyDescent="0.25">
      <c r="A17" t="s">
        <v>18</v>
      </c>
      <c r="B17">
        <v>5.0233638527717002</v>
      </c>
      <c r="C17">
        <v>-0.11962534584010701</v>
      </c>
      <c r="D17" t="s">
        <v>116</v>
      </c>
      <c r="E17">
        <v>0.62983966688256499</v>
      </c>
      <c r="F17">
        <v>0.7411503402802323</v>
      </c>
      <c r="G17">
        <v>1.0815334023301398E-2</v>
      </c>
      <c r="H17">
        <v>1.0815755748000772E-2</v>
      </c>
      <c r="I17">
        <v>0.2819051467887933</v>
      </c>
      <c r="J17">
        <v>0.28975048920988117</v>
      </c>
      <c r="K17">
        <v>0.29562481060632173</v>
      </c>
      <c r="L17">
        <v>0.30471859166737414</v>
      </c>
    </row>
    <row r="18" spans="1:12" x14ac:dyDescent="0.25">
      <c r="A18" t="s">
        <v>19</v>
      </c>
      <c r="B18">
        <v>8.22223143447283</v>
      </c>
      <c r="C18">
        <v>1.6482393401058999</v>
      </c>
      <c r="D18" t="s">
        <v>116</v>
      </c>
      <c r="E18">
        <v>0.52384022827034449</v>
      </c>
      <c r="F18">
        <v>0.58161772042584858</v>
      </c>
      <c r="G18">
        <v>0.2945537853387955</v>
      </c>
      <c r="H18">
        <v>0.30354540812792036</v>
      </c>
      <c r="I18">
        <v>8.4012844958220326E-2</v>
      </c>
      <c r="J18">
        <v>8.4211344913092123E-2</v>
      </c>
      <c r="K18">
        <v>0.18150901119446994</v>
      </c>
      <c r="L18">
        <v>0.18354266807912326</v>
      </c>
    </row>
    <row r="19" spans="1:12" x14ac:dyDescent="0.25">
      <c r="A19" t="s">
        <v>20</v>
      </c>
      <c r="B19">
        <v>1.18633768897324</v>
      </c>
      <c r="C19">
        <v>-2.0694239691703502</v>
      </c>
      <c r="D19" t="s">
        <v>116</v>
      </c>
      <c r="E19">
        <v>0.98814572117965871</v>
      </c>
      <c r="F19">
        <v>2.5611344003151268</v>
      </c>
      <c r="G19">
        <v>8.5221885679494083E-2</v>
      </c>
      <c r="H19">
        <v>8.5429105069673467E-2</v>
      </c>
      <c r="I19">
        <v>3.9384776781464993E-2</v>
      </c>
      <c r="J19">
        <v>3.9405159793773972E-2</v>
      </c>
      <c r="K19">
        <v>1.0345313228943004E-2</v>
      </c>
      <c r="L19">
        <v>1.0345682323438557E-2</v>
      </c>
    </row>
    <row r="20" spans="1:12" x14ac:dyDescent="0.25">
      <c r="A20" t="s">
        <v>21</v>
      </c>
      <c r="B20">
        <v>-1.54896742914276</v>
      </c>
      <c r="C20">
        <v>3.4417348580242599</v>
      </c>
      <c r="D20" t="s">
        <v>116</v>
      </c>
      <c r="E20">
        <v>0.94382238585870992</v>
      </c>
      <c r="F20">
        <v>1.771946631444083</v>
      </c>
      <c r="G20">
        <v>0.14931659665332395</v>
      </c>
      <c r="H20">
        <v>0.15044137527463577</v>
      </c>
      <c r="I20">
        <v>5.6603804191907275E-2</v>
      </c>
      <c r="J20">
        <v>5.6664373358882879E-2</v>
      </c>
      <c r="K20">
        <v>5.9361913993547033E-3</v>
      </c>
      <c r="L20">
        <v>5.9362611280620115E-3</v>
      </c>
    </row>
    <row r="21" spans="1:12" x14ac:dyDescent="0.25">
      <c r="A21" t="s">
        <v>22</v>
      </c>
      <c r="B21">
        <v>-2.2223967422114699</v>
      </c>
      <c r="C21">
        <v>-1.3249711135331399</v>
      </c>
      <c r="D21" t="s">
        <v>116</v>
      </c>
      <c r="E21">
        <v>0.97993767379210628</v>
      </c>
      <c r="F21">
        <v>2.2959884534962725</v>
      </c>
      <c r="G21">
        <v>0.13340944991611961</v>
      </c>
      <c r="H21">
        <v>0.13420948835671057</v>
      </c>
      <c r="I21">
        <v>5.8487489347910371E-3</v>
      </c>
      <c r="J21">
        <v>5.8488156272294518E-3</v>
      </c>
      <c r="K21">
        <v>1.4341334255300875E-2</v>
      </c>
      <c r="L21">
        <v>1.4342317589215349E-2</v>
      </c>
    </row>
    <row r="22" spans="1:12" x14ac:dyDescent="0.25">
      <c r="A22" t="s">
        <v>23</v>
      </c>
      <c r="B22">
        <v>1.1619390331550401</v>
      </c>
      <c r="C22">
        <v>-2.0773945238981502</v>
      </c>
      <c r="D22" t="s">
        <v>116</v>
      </c>
      <c r="E22">
        <v>0.965770843750278</v>
      </c>
      <c r="F22">
        <v>2.0252809657374722</v>
      </c>
      <c r="G22">
        <v>4.8716038239118895E-2</v>
      </c>
      <c r="H22">
        <v>4.8754631693840367E-2</v>
      </c>
      <c r="I22">
        <v>5.8342137532670013E-3</v>
      </c>
      <c r="J22">
        <v>5.8342799497056374E-3</v>
      </c>
      <c r="K22">
        <v>7.0779431449550054E-2</v>
      </c>
      <c r="L22">
        <v>7.0897983232614967E-2</v>
      </c>
    </row>
    <row r="23" spans="1:12" x14ac:dyDescent="0.25">
      <c r="A23" t="s">
        <v>24</v>
      </c>
      <c r="B23">
        <v>1.6905896368998601</v>
      </c>
      <c r="C23">
        <v>-1.95542579391375</v>
      </c>
      <c r="D23" t="s">
        <v>116</v>
      </c>
      <c r="E23">
        <v>0.97247205465984221</v>
      </c>
      <c r="F23">
        <v>2.1359206011312732</v>
      </c>
      <c r="G23">
        <v>4.635851421821173E-2</v>
      </c>
      <c r="H23">
        <v>4.6391766984374597E-2</v>
      </c>
      <c r="I23">
        <v>4.5837012150731167E-2</v>
      </c>
      <c r="J23">
        <v>4.5869154351132729E-2</v>
      </c>
      <c r="K23">
        <v>7.6048167054567711E-2</v>
      </c>
      <c r="L23">
        <v>7.6195281602209355E-2</v>
      </c>
    </row>
    <row r="24" spans="1:12" x14ac:dyDescent="0.25">
      <c r="A24" t="s">
        <v>25</v>
      </c>
      <c r="B24">
        <v>1.4918287953217699</v>
      </c>
      <c r="C24">
        <v>0.76854608598118701</v>
      </c>
      <c r="D24" t="s">
        <v>116</v>
      </c>
      <c r="E24">
        <v>0.94551102843853396</v>
      </c>
      <c r="F24">
        <v>1.7876408182888319</v>
      </c>
      <c r="G24">
        <v>0.27510452296100113</v>
      </c>
      <c r="H24">
        <v>0.28237797908276657</v>
      </c>
      <c r="I24">
        <v>2.5321022869322713E-2</v>
      </c>
      <c r="J24">
        <v>2.5326436512109755E-2</v>
      </c>
      <c r="K24">
        <v>8.8706277194098709E-3</v>
      </c>
      <c r="L24">
        <v>8.8708604011537469E-3</v>
      </c>
    </row>
    <row r="25" spans="1:12" x14ac:dyDescent="0.25">
      <c r="A25" t="s">
        <v>26</v>
      </c>
      <c r="B25">
        <v>1.15606176214284</v>
      </c>
      <c r="C25">
        <v>-2.07931451123688</v>
      </c>
      <c r="D25" t="s">
        <v>116</v>
      </c>
      <c r="E25">
        <v>0.94923113070609633</v>
      </c>
      <c r="F25">
        <v>1.8239534621468345</v>
      </c>
      <c r="G25">
        <v>0.250779934635457</v>
      </c>
      <c r="H25">
        <v>0.25624491541585542</v>
      </c>
      <c r="I25">
        <v>3.9962628673339724E-2</v>
      </c>
      <c r="J25">
        <v>3.9983922676187653E-2</v>
      </c>
      <c r="K25">
        <v>6.4590177778409349E-2</v>
      </c>
      <c r="L25">
        <v>6.4680224346653631E-2</v>
      </c>
    </row>
    <row r="26" spans="1:12" x14ac:dyDescent="0.25">
      <c r="A26" t="s">
        <v>27</v>
      </c>
      <c r="B26">
        <v>1.6018564509171</v>
      </c>
      <c r="C26">
        <v>2.6383932086541702</v>
      </c>
      <c r="D26" t="s">
        <v>116</v>
      </c>
      <c r="E26">
        <v>0.94094814616980027</v>
      </c>
      <c r="F26">
        <v>1.7462579657040975</v>
      </c>
      <c r="G26">
        <v>0.16494667199977195</v>
      </c>
      <c r="H26">
        <v>0.16646750058227128</v>
      </c>
      <c r="I26">
        <v>0.14595493659571759</v>
      </c>
      <c r="J26">
        <v>0.14700480715524872</v>
      </c>
      <c r="K26">
        <v>5.2770159633345408E-2</v>
      </c>
      <c r="L26">
        <v>5.2819224478534058E-2</v>
      </c>
    </row>
    <row r="27" spans="1:12" x14ac:dyDescent="0.25">
      <c r="A27" t="s">
        <v>28</v>
      </c>
      <c r="B27">
        <v>-1.4161362428557001</v>
      </c>
      <c r="C27">
        <v>1.62585943557057</v>
      </c>
      <c r="D27" t="s">
        <v>116</v>
      </c>
      <c r="E27">
        <v>0.94803093056520849</v>
      </c>
      <c r="F27">
        <v>1.8119628195724993</v>
      </c>
      <c r="G27">
        <v>0.27835991901423945</v>
      </c>
      <c r="H27">
        <v>0.28590335512530696</v>
      </c>
      <c r="I27">
        <v>2.7952984719940101E-2</v>
      </c>
      <c r="J27">
        <v>2.7960268670329805E-2</v>
      </c>
      <c r="K27">
        <v>1.0279661348986986E-2</v>
      </c>
      <c r="L27">
        <v>1.0280023460809957E-2</v>
      </c>
    </row>
    <row r="28" spans="1:12" x14ac:dyDescent="0.25">
      <c r="A28" t="s">
        <v>29</v>
      </c>
      <c r="B28">
        <v>-1.5204002497521101</v>
      </c>
      <c r="C28">
        <v>3.4510671863479501</v>
      </c>
      <c r="D28" t="s">
        <v>116</v>
      </c>
      <c r="E28">
        <v>0.95484705599871544</v>
      </c>
      <c r="F28">
        <v>1.8840058772475501</v>
      </c>
      <c r="G28">
        <v>0.27208199671010153</v>
      </c>
      <c r="H28">
        <v>0.2791108978176256</v>
      </c>
      <c r="I28">
        <v>1.4785377333121477E-2</v>
      </c>
      <c r="J28">
        <v>1.478645487200767E-2</v>
      </c>
      <c r="K28">
        <v>3.532938258982813E-2</v>
      </c>
      <c r="L28">
        <v>3.5344092577200073E-2</v>
      </c>
    </row>
    <row r="29" spans="1:12" x14ac:dyDescent="0.25">
      <c r="A29" t="s">
        <v>30</v>
      </c>
      <c r="B29">
        <v>-4.0325405583692904</v>
      </c>
      <c r="C29">
        <v>-1.2009778786469401</v>
      </c>
      <c r="D29" t="s">
        <v>116</v>
      </c>
      <c r="E29">
        <v>0.96879266288780508</v>
      </c>
      <c r="F29">
        <v>2.072261270678124</v>
      </c>
      <c r="G29">
        <v>0.11189490288110035</v>
      </c>
      <c r="H29">
        <v>0.11236543497300443</v>
      </c>
      <c r="I29">
        <v>2.0435785817782551E-2</v>
      </c>
      <c r="J29">
        <v>2.0438631337592449E-2</v>
      </c>
      <c r="K29">
        <v>0.14871079064394116</v>
      </c>
      <c r="L29">
        <v>0.14982181178722598</v>
      </c>
    </row>
    <row r="30" spans="1:12" x14ac:dyDescent="0.25">
      <c r="A30" t="s">
        <v>31</v>
      </c>
      <c r="B30">
        <v>0.91011465433705896</v>
      </c>
      <c r="C30">
        <v>-2.1342950864015702</v>
      </c>
      <c r="D30" t="s">
        <v>116</v>
      </c>
      <c r="E30">
        <v>0.70082517159447277</v>
      </c>
      <c r="F30">
        <v>0.86892034721662714</v>
      </c>
      <c r="G30">
        <v>0.12176069452637343</v>
      </c>
      <c r="H30">
        <v>0.12236783230662308</v>
      </c>
      <c r="I30">
        <v>6.9584053689990003E-2</v>
      </c>
      <c r="J30">
        <v>6.96966883770061E-2</v>
      </c>
      <c r="K30">
        <v>0.28425879007594745</v>
      </c>
      <c r="L30">
        <v>0.29230917543622259</v>
      </c>
    </row>
    <row r="31" spans="1:12" x14ac:dyDescent="0.25">
      <c r="A31" t="s">
        <v>32</v>
      </c>
      <c r="B31">
        <v>0.83488504782964601</v>
      </c>
      <c r="C31">
        <v>-1.2292367377269799</v>
      </c>
      <c r="D31" t="s">
        <v>116</v>
      </c>
      <c r="E31">
        <v>0.93785790254592172</v>
      </c>
      <c r="F31">
        <v>1.7199574054905342</v>
      </c>
      <c r="G31">
        <v>1.8509738977828535E-2</v>
      </c>
      <c r="H31">
        <v>1.8511853289063403E-2</v>
      </c>
      <c r="I31">
        <v>7.1528177288207595E-2</v>
      </c>
      <c r="J31">
        <v>7.1650539195545787E-2</v>
      </c>
      <c r="K31">
        <v>0.10498622254223891</v>
      </c>
      <c r="L31">
        <v>0.10537451681131528</v>
      </c>
    </row>
    <row r="32" spans="1:12" x14ac:dyDescent="0.25">
      <c r="A32" t="s">
        <v>33</v>
      </c>
      <c r="B32">
        <v>-2.1333712688444901</v>
      </c>
      <c r="C32">
        <v>1.73653589755342</v>
      </c>
      <c r="D32" t="s">
        <v>116</v>
      </c>
      <c r="E32">
        <v>0.9538999931072154</v>
      </c>
      <c r="F32">
        <v>1.873384775586032</v>
      </c>
      <c r="G32">
        <v>0.20928567848536847</v>
      </c>
      <c r="H32">
        <v>0.2124241872720018</v>
      </c>
      <c r="I32">
        <v>8.9181148871754046E-2</v>
      </c>
      <c r="J32">
        <v>8.941871101432837E-2</v>
      </c>
      <c r="K32">
        <v>6.4787877806440575E-2</v>
      </c>
      <c r="L32">
        <v>6.4878755161349597E-2</v>
      </c>
    </row>
    <row r="33" spans="1:12" x14ac:dyDescent="0.25">
      <c r="A33" t="s">
        <v>34</v>
      </c>
      <c r="B33">
        <v>-3.72296883389249</v>
      </c>
      <c r="C33">
        <v>-1.12521240889664</v>
      </c>
      <c r="D33" t="s">
        <v>116</v>
      </c>
      <c r="E33">
        <v>0.95254396246417461</v>
      </c>
      <c r="F33">
        <v>1.858542320265671</v>
      </c>
      <c r="G33">
        <v>9.0230162081945106E-2</v>
      </c>
      <c r="H33">
        <v>9.047623432537058E-2</v>
      </c>
      <c r="I33">
        <v>2.0271390578339175E-2</v>
      </c>
      <c r="J33">
        <v>2.0274167965775036E-2</v>
      </c>
      <c r="K33">
        <v>4.7985646527658202E-2</v>
      </c>
      <c r="L33">
        <v>4.8022528435632726E-2</v>
      </c>
    </row>
    <row r="34" spans="1:12" x14ac:dyDescent="0.25">
      <c r="A34" t="s">
        <v>35</v>
      </c>
      <c r="B34">
        <v>-3.4627141366925498</v>
      </c>
      <c r="C34">
        <v>1.6979798126932999</v>
      </c>
      <c r="D34" t="s">
        <v>116</v>
      </c>
      <c r="E34">
        <v>0.17870462722993088</v>
      </c>
      <c r="F34">
        <v>0.18064426211605006</v>
      </c>
      <c r="G34">
        <v>0.22367373737076171</v>
      </c>
      <c r="H34">
        <v>0.227519999874852</v>
      </c>
      <c r="I34">
        <v>0.10687162438252686</v>
      </c>
      <c r="J34">
        <v>0.10728131530755748</v>
      </c>
      <c r="K34">
        <v>0.21154713488937799</v>
      </c>
      <c r="L34">
        <v>0.21479040951295988</v>
      </c>
    </row>
    <row r="35" spans="1:12" x14ac:dyDescent="0.25">
      <c r="A35" t="s">
        <v>36</v>
      </c>
      <c r="B35">
        <v>-3.4421457675312799</v>
      </c>
      <c r="C35">
        <v>1.70469908908636</v>
      </c>
      <c r="D35" t="s">
        <v>116</v>
      </c>
      <c r="E35">
        <v>0.29173919710654328</v>
      </c>
      <c r="F35">
        <v>0.30046620630449289</v>
      </c>
      <c r="G35">
        <v>0.19605649788078194</v>
      </c>
      <c r="H35">
        <v>0.19862808835587822</v>
      </c>
      <c r="I35">
        <v>0.2763843729680992</v>
      </c>
      <c r="J35">
        <v>0.28376315087955789</v>
      </c>
      <c r="K35">
        <v>0.30129956537788455</v>
      </c>
      <c r="L35">
        <v>0.31094831109488491</v>
      </c>
    </row>
    <row r="36" spans="1:12" x14ac:dyDescent="0.25">
      <c r="A36" t="s">
        <v>37</v>
      </c>
      <c r="B36">
        <v>-1.39842683219658</v>
      </c>
      <c r="C36">
        <v>1.6316447471839399</v>
      </c>
      <c r="D36" t="s">
        <v>116</v>
      </c>
      <c r="E36">
        <v>0.80432250636186908</v>
      </c>
      <c r="F36">
        <v>1.1107362970939869</v>
      </c>
      <c r="G36">
        <v>0.29135265133687915</v>
      </c>
      <c r="H36">
        <v>0.30004375235325864</v>
      </c>
      <c r="I36">
        <v>0.37150837909055118</v>
      </c>
      <c r="J36">
        <v>0.39017186186960456</v>
      </c>
      <c r="K36">
        <v>5.5927538302080901E-2</v>
      </c>
      <c r="L36">
        <v>5.5985959703445977E-2</v>
      </c>
    </row>
    <row r="37" spans="1:12" x14ac:dyDescent="0.25">
      <c r="A37" t="s">
        <v>38</v>
      </c>
      <c r="B37">
        <v>-1.04116594580974</v>
      </c>
      <c r="C37">
        <v>-0.405165929156309</v>
      </c>
      <c r="D37" t="s">
        <v>116</v>
      </c>
      <c r="E37">
        <v>0.96391323763135039</v>
      </c>
      <c r="F37">
        <v>1.9983841034393288</v>
      </c>
      <c r="G37">
        <v>9.5199029079978681E-2</v>
      </c>
      <c r="H37">
        <v>9.5488194786267772E-2</v>
      </c>
      <c r="I37">
        <v>9.2973070782338449E-2</v>
      </c>
      <c r="J37">
        <v>9.3242354938832428E-2</v>
      </c>
      <c r="K37">
        <v>3.9774187253564457E-2</v>
      </c>
      <c r="L37">
        <v>3.9795181253254638E-2</v>
      </c>
    </row>
    <row r="38" spans="1:12" x14ac:dyDescent="0.25">
      <c r="A38" t="s">
        <v>39</v>
      </c>
      <c r="B38">
        <v>-2.92113324605466</v>
      </c>
      <c r="C38">
        <v>1.82417260977776</v>
      </c>
      <c r="D38" t="s">
        <v>116</v>
      </c>
      <c r="E38">
        <v>0.8612572183280669</v>
      </c>
      <c r="F38">
        <v>1.2981928674593655</v>
      </c>
      <c r="G38">
        <v>0.11505909108078197</v>
      </c>
      <c r="H38">
        <v>0.11557090288951206</v>
      </c>
      <c r="I38">
        <v>0.25506558417395492</v>
      </c>
      <c r="J38">
        <v>0.26082346322509609</v>
      </c>
      <c r="K38">
        <v>8.4613320015338764E-2</v>
      </c>
      <c r="L38">
        <v>8.4816119144992611E-2</v>
      </c>
    </row>
    <row r="39" spans="1:12" x14ac:dyDescent="0.25">
      <c r="A39" t="s">
        <v>40</v>
      </c>
      <c r="B39">
        <v>-1.41879931212775</v>
      </c>
      <c r="C39">
        <v>1.62498946389939</v>
      </c>
      <c r="D39" t="s">
        <v>116</v>
      </c>
      <c r="E39">
        <v>0.84015886877893731</v>
      </c>
      <c r="F39">
        <v>1.2217133982597157</v>
      </c>
      <c r="G39">
        <v>0.13665958258312191</v>
      </c>
      <c r="H39">
        <v>0.1375199888822416</v>
      </c>
      <c r="I39">
        <v>3.1467688597660373E-2</v>
      </c>
      <c r="J39">
        <v>3.1478081369896126E-2</v>
      </c>
      <c r="K39">
        <v>0.27121855258525074</v>
      </c>
      <c r="L39">
        <v>0.27817866019269549</v>
      </c>
    </row>
    <row r="40" spans="1:12" x14ac:dyDescent="0.25">
      <c r="A40" t="s">
        <v>41</v>
      </c>
      <c r="B40">
        <v>-1.41955384842149</v>
      </c>
      <c r="C40">
        <v>1.6247429719258899</v>
      </c>
      <c r="D40" t="s">
        <v>116</v>
      </c>
      <c r="E40">
        <v>0.88818787349282302</v>
      </c>
      <c r="F40">
        <v>1.4132764150530432</v>
      </c>
      <c r="G40">
        <v>0.1499854679865236</v>
      </c>
      <c r="H40">
        <v>0.15112556945966729</v>
      </c>
      <c r="I40">
        <v>0.11505349875398263</v>
      </c>
      <c r="J40">
        <v>0.11556523553859904</v>
      </c>
      <c r="K40">
        <v>0.26876973349783234</v>
      </c>
      <c r="L40">
        <v>0.27553729198148746</v>
      </c>
    </row>
    <row r="41" spans="1:12" x14ac:dyDescent="0.25">
      <c r="A41" t="s">
        <v>42</v>
      </c>
      <c r="B41">
        <v>-1.54845956817581</v>
      </c>
      <c r="C41">
        <v>3.44190076608335</v>
      </c>
      <c r="D41" t="s">
        <v>110</v>
      </c>
      <c r="E41">
        <v>0.9356106211301255</v>
      </c>
      <c r="F41">
        <v>1.7016147135154078</v>
      </c>
      <c r="G41">
        <v>3.5565417403409023E-2</v>
      </c>
      <c r="H41">
        <v>3.5580424347045829E-2</v>
      </c>
      <c r="I41">
        <v>0.23291880549339219</v>
      </c>
      <c r="J41">
        <v>0.23727349709902429</v>
      </c>
      <c r="K41">
        <v>8.4350705439390994E-2</v>
      </c>
      <c r="L41">
        <v>8.4551616758276077E-2</v>
      </c>
    </row>
    <row r="42" spans="1:12" x14ac:dyDescent="0.25">
      <c r="A42" t="s">
        <v>43</v>
      </c>
      <c r="B42">
        <v>-0.26749417703056699</v>
      </c>
      <c r="C42">
        <v>1.17802799863965</v>
      </c>
      <c r="D42" t="s">
        <v>110</v>
      </c>
      <c r="E42">
        <v>0.95050518135193973</v>
      </c>
      <c r="F42">
        <v>1.8369878475231027</v>
      </c>
      <c r="G42">
        <v>6.4846342603076534E-2</v>
      </c>
      <c r="H42">
        <v>6.4937466619974585E-2</v>
      </c>
      <c r="I42">
        <v>0.20576937290267033</v>
      </c>
      <c r="J42">
        <v>0.20874962225353355</v>
      </c>
      <c r="K42">
        <v>5.6982104718630806E-2</v>
      </c>
      <c r="L42">
        <v>5.7043898024104311E-2</v>
      </c>
    </row>
    <row r="43" spans="1:12" x14ac:dyDescent="0.25">
      <c r="A43" t="s">
        <v>44</v>
      </c>
      <c r="B43">
        <v>-0.71660229123277497</v>
      </c>
      <c r="C43">
        <v>3.2767515626808699</v>
      </c>
      <c r="D43" t="s">
        <v>110</v>
      </c>
      <c r="E43">
        <v>0.96409681803813074</v>
      </c>
      <c r="F43">
        <v>2.0009809292254941</v>
      </c>
      <c r="G43">
        <v>3.370265010806716E-2</v>
      </c>
      <c r="H43">
        <v>3.3715419406015662E-2</v>
      </c>
      <c r="I43">
        <v>8.3984341063011794E-2</v>
      </c>
      <c r="J43">
        <v>8.4182638472018803E-2</v>
      </c>
      <c r="K43">
        <v>0.14935699496824034</v>
      </c>
      <c r="L43">
        <v>0.15048269508236536</v>
      </c>
    </row>
    <row r="44" spans="1:12" x14ac:dyDescent="0.25">
      <c r="A44" t="s">
        <v>45</v>
      </c>
      <c r="B44">
        <v>-1.39163149746466</v>
      </c>
      <c r="C44">
        <v>-1.4904770620960599</v>
      </c>
      <c r="D44" t="s">
        <v>110</v>
      </c>
      <c r="E44">
        <v>0.86987917060462205</v>
      </c>
      <c r="F44">
        <v>1.3325828087227829</v>
      </c>
      <c r="G44">
        <v>8.2516365703012295E-2</v>
      </c>
      <c r="H44">
        <v>8.2704417851777498E-2</v>
      </c>
      <c r="I44">
        <v>0.37956176409165376</v>
      </c>
      <c r="J44">
        <v>0.39954755250202373</v>
      </c>
      <c r="K44">
        <v>0.10590429454336274</v>
      </c>
      <c r="L44">
        <v>0.10630291142412863</v>
      </c>
    </row>
    <row r="45" spans="1:12" x14ac:dyDescent="0.25">
      <c r="A45" t="s">
        <v>46</v>
      </c>
      <c r="B45">
        <v>1.10110611083913</v>
      </c>
      <c r="C45">
        <v>-1.1676330653431599</v>
      </c>
      <c r="D45" t="s">
        <v>110</v>
      </c>
      <c r="E45">
        <v>0.68533419217117386</v>
      </c>
      <c r="F45">
        <v>0.83910400431878451</v>
      </c>
      <c r="G45">
        <v>0.51336461261267108</v>
      </c>
      <c r="H45">
        <v>0.56728775990203939</v>
      </c>
      <c r="I45">
        <v>0.23791786993160419</v>
      </c>
      <c r="J45">
        <v>0.24256588899785803</v>
      </c>
      <c r="K45">
        <v>4.9768690858921799E-2</v>
      </c>
      <c r="L45">
        <v>4.9809843099689832E-2</v>
      </c>
    </row>
    <row r="46" spans="1:12" x14ac:dyDescent="0.25">
      <c r="A46" t="s">
        <v>47</v>
      </c>
      <c r="B46">
        <v>0.14393241512804</v>
      </c>
      <c r="C46">
        <v>-2.0396087037350701</v>
      </c>
      <c r="D46" t="s">
        <v>110</v>
      </c>
      <c r="E46">
        <v>0.42716444022006034</v>
      </c>
      <c r="F46">
        <v>0.45642307570466639</v>
      </c>
      <c r="G46">
        <v>0.18666135832273237</v>
      </c>
      <c r="H46">
        <v>0.1888757527971017</v>
      </c>
      <c r="I46">
        <v>0.64244599469384311</v>
      </c>
      <c r="J46">
        <v>0.76232772767841028</v>
      </c>
      <c r="K46">
        <v>0.23084661525592845</v>
      </c>
      <c r="L46">
        <v>0.2350835535289218</v>
      </c>
    </row>
    <row r="47" spans="1:12" x14ac:dyDescent="0.25">
      <c r="A47" t="s">
        <v>48</v>
      </c>
      <c r="B47">
        <v>0.85560485399685204</v>
      </c>
      <c r="C47">
        <v>-0.95358146920674103</v>
      </c>
      <c r="D47" t="s">
        <v>110</v>
      </c>
      <c r="E47">
        <v>0.58132957522761097</v>
      </c>
      <c r="F47">
        <v>0.66446862038865251</v>
      </c>
      <c r="G47">
        <v>6.784807401236527E-2</v>
      </c>
      <c r="H47">
        <v>6.7952472243353101E-2</v>
      </c>
      <c r="I47">
        <v>0.19223190592959022</v>
      </c>
      <c r="J47">
        <v>0.19465368781039166</v>
      </c>
      <c r="K47">
        <v>0.22757668992827323</v>
      </c>
      <c r="L47">
        <v>0.23163230269066021</v>
      </c>
    </row>
    <row r="48" spans="1:12" x14ac:dyDescent="0.25">
      <c r="A48" t="s">
        <v>49</v>
      </c>
      <c r="B48">
        <v>8.4123936481174209</v>
      </c>
      <c r="C48">
        <v>2.6146304640449198</v>
      </c>
      <c r="D48" t="s">
        <v>110</v>
      </c>
      <c r="E48">
        <v>0.72263351468424109</v>
      </c>
      <c r="F48">
        <v>0.91313491431509219</v>
      </c>
      <c r="G48">
        <v>0.2376169085876419</v>
      </c>
      <c r="H48">
        <v>0.24224689378905806</v>
      </c>
      <c r="I48">
        <v>0.18172170997960316</v>
      </c>
      <c r="J48">
        <v>0.18376262185102918</v>
      </c>
      <c r="K48">
        <v>0.1305211448233855</v>
      </c>
      <c r="L48">
        <v>0.13126999018611746</v>
      </c>
    </row>
    <row r="49" spans="1:12" x14ac:dyDescent="0.25">
      <c r="A49" t="s">
        <v>50</v>
      </c>
      <c r="B49">
        <v>2.6395792839206198</v>
      </c>
      <c r="C49">
        <v>0.32042338853455199</v>
      </c>
      <c r="D49" t="s">
        <v>110</v>
      </c>
      <c r="E49">
        <v>0.26625227135771579</v>
      </c>
      <c r="F49">
        <v>0.2728257868690554</v>
      </c>
      <c r="G49">
        <v>0.24524582596980665</v>
      </c>
      <c r="H49">
        <v>0.25034807053322844</v>
      </c>
      <c r="I49">
        <v>0.42736655987869038</v>
      </c>
      <c r="J49">
        <v>0.45667033375859395</v>
      </c>
      <c r="K49">
        <v>0.11406931266973121</v>
      </c>
      <c r="L49">
        <v>0.11456796082135944</v>
      </c>
    </row>
    <row r="50" spans="1:12" x14ac:dyDescent="0.25">
      <c r="A50" t="s">
        <v>51</v>
      </c>
      <c r="B50">
        <v>2.79226631345231</v>
      </c>
      <c r="C50">
        <v>-2.6874864084386001</v>
      </c>
      <c r="D50" t="s">
        <v>110</v>
      </c>
      <c r="E50">
        <v>9.5933471390790739E-2</v>
      </c>
      <c r="F50">
        <v>9.6229406550614752E-2</v>
      </c>
      <c r="G50">
        <v>0.33756702006462325</v>
      </c>
      <c r="H50">
        <v>0.35134409779644049</v>
      </c>
      <c r="I50">
        <v>0.24265700567929432</v>
      </c>
      <c r="J50">
        <v>0.24759543251521754</v>
      </c>
      <c r="K50">
        <v>0.17709623943971559</v>
      </c>
      <c r="L50">
        <v>0.17898330707886703</v>
      </c>
    </row>
    <row r="51" spans="1:12" x14ac:dyDescent="0.25">
      <c r="A51" t="s">
        <v>52</v>
      </c>
      <c r="B51">
        <v>2.4822837592357998</v>
      </c>
      <c r="C51">
        <v>1.1744813041025799</v>
      </c>
      <c r="D51" t="s">
        <v>110</v>
      </c>
      <c r="E51">
        <v>0.19195524573060793</v>
      </c>
      <c r="F51">
        <v>0.19436642772898949</v>
      </c>
      <c r="G51">
        <v>0.23880932986801112</v>
      </c>
      <c r="H51">
        <v>0.24351105044431812</v>
      </c>
      <c r="I51">
        <v>0.60268811847783121</v>
      </c>
      <c r="J51">
        <v>0.69735800224440159</v>
      </c>
      <c r="K51">
        <v>0.48251148272030636</v>
      </c>
      <c r="L51">
        <v>0.52625277014560667</v>
      </c>
    </row>
    <row r="52" spans="1:12" x14ac:dyDescent="0.25">
      <c r="A52" t="s">
        <v>53</v>
      </c>
      <c r="B52">
        <v>6.0198183159169201</v>
      </c>
      <c r="C52">
        <v>-3.1968759883044302</v>
      </c>
      <c r="D52" t="s">
        <v>110</v>
      </c>
      <c r="E52">
        <v>0.29391315912969268</v>
      </c>
      <c r="F52">
        <v>0.30284406420228394</v>
      </c>
      <c r="G52">
        <v>0.32237819043598914</v>
      </c>
      <c r="H52">
        <v>0.33429886232627332</v>
      </c>
      <c r="I52">
        <v>0.45469175459286021</v>
      </c>
      <c r="J52">
        <v>0.49059904098324153</v>
      </c>
      <c r="K52">
        <v>0.18373015138513696</v>
      </c>
      <c r="L52">
        <v>0.18584043982926748</v>
      </c>
    </row>
    <row r="53" spans="1:12" x14ac:dyDescent="0.25">
      <c r="A53" t="s">
        <v>54</v>
      </c>
      <c r="B53">
        <v>-3.7065725599402</v>
      </c>
      <c r="C53">
        <v>-1.4806601405861</v>
      </c>
      <c r="D53" t="s">
        <v>110</v>
      </c>
      <c r="E53">
        <v>0.82269461338243577</v>
      </c>
      <c r="F53">
        <v>1.165098823969186</v>
      </c>
      <c r="G53">
        <v>0.39443296125420024</v>
      </c>
      <c r="H53">
        <v>0.41703892951246196</v>
      </c>
      <c r="I53">
        <v>3.3047014993575992E-2</v>
      </c>
      <c r="J53">
        <v>3.3059053155030521E-2</v>
      </c>
      <c r="K53">
        <v>9.8350412717335231E-2</v>
      </c>
      <c r="L53">
        <v>9.8669374001901136E-2</v>
      </c>
    </row>
    <row r="54" spans="1:12" x14ac:dyDescent="0.25">
      <c r="A54" t="s">
        <v>55</v>
      </c>
      <c r="B54">
        <v>-1.7977928876413301</v>
      </c>
      <c r="C54">
        <v>3.38581398303758</v>
      </c>
      <c r="D54" t="s">
        <v>110</v>
      </c>
      <c r="E54">
        <v>0.97566062995142644</v>
      </c>
      <c r="F54">
        <v>2.1982814558406716</v>
      </c>
      <c r="G54">
        <v>1.375445549919271E-2</v>
      </c>
      <c r="H54">
        <v>1.3755322976762243E-2</v>
      </c>
      <c r="I54">
        <v>8.5762507163224269E-2</v>
      </c>
      <c r="J54">
        <v>8.5973707016751971E-2</v>
      </c>
      <c r="K54">
        <v>3.8215886304919101E-2</v>
      </c>
      <c r="L54">
        <v>3.8234506805181576E-2</v>
      </c>
    </row>
    <row r="55" spans="1:12" x14ac:dyDescent="0.25">
      <c r="A55" t="s">
        <v>56</v>
      </c>
      <c r="B55">
        <v>-2.92688207720628</v>
      </c>
      <c r="C55">
        <v>-1.3020471285617099</v>
      </c>
      <c r="D55" t="s">
        <v>110</v>
      </c>
      <c r="E55">
        <v>0.92817320062605679</v>
      </c>
      <c r="F55">
        <v>1.645035324369085</v>
      </c>
      <c r="G55">
        <v>0.23397119849751108</v>
      </c>
      <c r="H55">
        <v>0.23838654766656137</v>
      </c>
      <c r="I55">
        <v>4.018744765518429E-2</v>
      </c>
      <c r="J55">
        <v>4.0209103301025728E-2</v>
      </c>
      <c r="K55">
        <v>0.18345262601779086</v>
      </c>
      <c r="L55">
        <v>0.1855532339566939</v>
      </c>
    </row>
    <row r="56" spans="1:12" x14ac:dyDescent="0.25">
      <c r="A56" t="s">
        <v>57</v>
      </c>
      <c r="B56">
        <v>-2.1907324263552201</v>
      </c>
      <c r="C56">
        <v>-1.6754310801387899</v>
      </c>
      <c r="D56" t="s">
        <v>110</v>
      </c>
      <c r="E56">
        <v>0.95351007388312492</v>
      </c>
      <c r="F56">
        <v>1.8690737124224106</v>
      </c>
      <c r="G56">
        <v>0.23169091004440659</v>
      </c>
      <c r="H56">
        <v>0.23597555742536164</v>
      </c>
      <c r="I56">
        <v>1.5679732526813484E-2</v>
      </c>
      <c r="J56">
        <v>1.5681017691446621E-2</v>
      </c>
      <c r="K56">
        <v>6.9450587131326999E-2</v>
      </c>
      <c r="L56">
        <v>6.9562573687735899E-2</v>
      </c>
    </row>
    <row r="57" spans="1:12" x14ac:dyDescent="0.25">
      <c r="A57" t="s">
        <v>58</v>
      </c>
      <c r="B57">
        <v>3.9364563295394599</v>
      </c>
      <c r="C57">
        <v>1.1860903513216901</v>
      </c>
      <c r="D57" t="s">
        <v>110</v>
      </c>
      <c r="E57">
        <v>0.8382916577823154</v>
      </c>
      <c r="F57">
        <v>1.2153988082551486</v>
      </c>
      <c r="G57">
        <v>6.8610506966445994E-2</v>
      </c>
      <c r="H57">
        <v>6.8718471140940346E-2</v>
      </c>
      <c r="I57">
        <v>9.6829470406805479E-2</v>
      </c>
      <c r="J57">
        <v>9.7133806955612717E-2</v>
      </c>
      <c r="K57">
        <v>9.0162824550980181E-2</v>
      </c>
      <c r="L57">
        <v>9.0408344482851524E-2</v>
      </c>
    </row>
    <row r="58" spans="1:12" x14ac:dyDescent="0.25">
      <c r="A58" t="s">
        <v>59</v>
      </c>
      <c r="B58">
        <v>6.5016163528308901</v>
      </c>
      <c r="C58">
        <v>-3.0902130583954799</v>
      </c>
      <c r="D58" t="s">
        <v>110</v>
      </c>
      <c r="E58">
        <v>0.87265791212911215</v>
      </c>
      <c r="F58">
        <v>1.3441184867964866</v>
      </c>
      <c r="G58">
        <v>0.19580804779081704</v>
      </c>
      <c r="H58">
        <v>0.19836971962964373</v>
      </c>
      <c r="I58">
        <v>0.22978201148674612</v>
      </c>
      <c r="J58">
        <v>0.23395931473963438</v>
      </c>
      <c r="K58">
        <v>0.18656611709485163</v>
      </c>
      <c r="L58">
        <v>0.18877707515098568</v>
      </c>
    </row>
    <row r="59" spans="1:12" x14ac:dyDescent="0.25">
      <c r="A59" t="s">
        <v>60</v>
      </c>
      <c r="B59">
        <v>1.94062747923256</v>
      </c>
      <c r="C59">
        <v>-2.51030012146443</v>
      </c>
      <c r="D59" t="s">
        <v>110</v>
      </c>
      <c r="E59">
        <v>0.96309713668157337</v>
      </c>
      <c r="F59">
        <v>1.986994766050878</v>
      </c>
      <c r="G59">
        <v>5.6623078074318337E-2</v>
      </c>
      <c r="H59">
        <v>5.6683709214291216E-2</v>
      </c>
      <c r="I59">
        <v>0.1126538987323962</v>
      </c>
      <c r="J59">
        <v>0.11313412056083876</v>
      </c>
      <c r="K59">
        <v>3.9777364925967541E-2</v>
      </c>
      <c r="L59">
        <v>3.9798363961059173E-2</v>
      </c>
    </row>
    <row r="60" spans="1:12" x14ac:dyDescent="0.25">
      <c r="A60" t="s">
        <v>61</v>
      </c>
      <c r="B60">
        <v>0.97753530916889397</v>
      </c>
      <c r="C60">
        <v>1.3728756756657401</v>
      </c>
      <c r="D60" t="s">
        <v>110</v>
      </c>
      <c r="E60">
        <v>0.24534029278157501</v>
      </c>
      <c r="F60">
        <v>0.25044858517915725</v>
      </c>
      <c r="G60">
        <v>0.41565432636421101</v>
      </c>
      <c r="H60">
        <v>0.44242720501063315</v>
      </c>
      <c r="I60">
        <v>0.27590523440409054</v>
      </c>
      <c r="J60">
        <v>0.28324445895557898</v>
      </c>
      <c r="K60">
        <v>0.25723338489670511</v>
      </c>
      <c r="L60">
        <v>0.26314348786375075</v>
      </c>
    </row>
    <row r="61" spans="1:12" x14ac:dyDescent="0.25">
      <c r="A61" t="s">
        <v>62</v>
      </c>
      <c r="B61">
        <v>-1.29860168053388</v>
      </c>
      <c r="C61">
        <v>1.6642556352782401</v>
      </c>
      <c r="D61" t="s">
        <v>110</v>
      </c>
      <c r="E61">
        <v>0.24290243959198551</v>
      </c>
      <c r="F61">
        <v>0.24785623887645283</v>
      </c>
      <c r="G61">
        <v>0.13761959071169297</v>
      </c>
      <c r="H61">
        <v>0.13849839829807861</v>
      </c>
      <c r="I61">
        <v>0.14787496421681026</v>
      </c>
      <c r="J61">
        <v>0.14896719154221452</v>
      </c>
      <c r="K61">
        <v>0.42511599493499175</v>
      </c>
      <c r="L61">
        <v>0.45392009960950358</v>
      </c>
    </row>
    <row r="62" spans="1:12" x14ac:dyDescent="0.25">
      <c r="A62" t="s">
        <v>63</v>
      </c>
      <c r="B62">
        <v>-1.2943008236595299</v>
      </c>
      <c r="C62">
        <v>1.6656606395272</v>
      </c>
      <c r="D62" t="s">
        <v>110</v>
      </c>
      <c r="E62">
        <v>0.74540864645689409</v>
      </c>
      <c r="F62">
        <v>0.96254213198527883</v>
      </c>
      <c r="G62">
        <v>4.9787929664398198E-2</v>
      </c>
      <c r="H62">
        <v>4.9829129695038984E-2</v>
      </c>
      <c r="I62">
        <v>0.15156767193710904</v>
      </c>
      <c r="J62">
        <v>0.15274457966788393</v>
      </c>
      <c r="K62">
        <v>0.13938341348934405</v>
      </c>
      <c r="L62">
        <v>0.14029671814761432</v>
      </c>
    </row>
    <row r="63" spans="1:12" x14ac:dyDescent="0.25">
      <c r="A63" t="s">
        <v>64</v>
      </c>
      <c r="B63">
        <v>5.0929839734253504</v>
      </c>
      <c r="C63">
        <v>-9.6881839560056804E-2</v>
      </c>
      <c r="D63" t="s">
        <v>110</v>
      </c>
      <c r="E63">
        <v>0.1892674872248831</v>
      </c>
      <c r="F63">
        <v>0.19157733192948362</v>
      </c>
      <c r="G63">
        <v>0.20669465661938438</v>
      </c>
      <c r="H63">
        <v>0.20971600802704707</v>
      </c>
      <c r="I63">
        <v>8.2570522592434165E-2</v>
      </c>
      <c r="J63">
        <v>8.2758946266211803E-2</v>
      </c>
      <c r="K63">
        <v>0.19675926993587678</v>
      </c>
      <c r="L63">
        <v>0.19935905838738577</v>
      </c>
    </row>
    <row r="64" spans="1:12" x14ac:dyDescent="0.25">
      <c r="A64" t="s">
        <v>65</v>
      </c>
      <c r="B64">
        <v>1.48018973001969</v>
      </c>
      <c r="C64">
        <v>0.76474383524811496</v>
      </c>
      <c r="D64" t="s">
        <v>110</v>
      </c>
      <c r="E64">
        <v>0.91790831078404234</v>
      </c>
      <c r="F64">
        <v>1.5755768329731958</v>
      </c>
      <c r="G64">
        <v>0.15293457805991159</v>
      </c>
      <c r="H64">
        <v>0.1541439233833983</v>
      </c>
      <c r="I64">
        <v>2.77472666819857E-2</v>
      </c>
      <c r="J64">
        <v>2.7754390946811095E-2</v>
      </c>
      <c r="K64">
        <v>0.11472887018350304</v>
      </c>
      <c r="L64">
        <v>0.11523626455324425</v>
      </c>
    </row>
    <row r="65" spans="1:12" x14ac:dyDescent="0.25">
      <c r="A65" t="s">
        <v>66</v>
      </c>
      <c r="B65">
        <v>-1.36643390061686</v>
      </c>
      <c r="C65">
        <v>-1.8430495769564299</v>
      </c>
      <c r="D65" t="s">
        <v>110</v>
      </c>
      <c r="E65">
        <v>0.90910883818498811</v>
      </c>
      <c r="F65">
        <v>1.5223645342974266</v>
      </c>
      <c r="G65">
        <v>0.22586341330188228</v>
      </c>
      <c r="H65">
        <v>0.22982618763340804</v>
      </c>
      <c r="I65">
        <v>9.4565300130060079E-2</v>
      </c>
      <c r="J65">
        <v>9.4848708761190462E-2</v>
      </c>
      <c r="K65">
        <v>0.15905144075627464</v>
      </c>
      <c r="L65">
        <v>0.16041336708634016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22D3-237A-41D5-A91C-8C9480598A0C}">
  <dimension ref="A1:FM81"/>
  <sheetViews>
    <sheetView tabSelected="1" topLeftCell="DL1" workbookViewId="0">
      <selection activeCell="EA3" sqref="EA3:FM3"/>
    </sheetView>
  </sheetViews>
  <sheetFormatPr defaultRowHeight="13.2" x14ac:dyDescent="0.25"/>
  <sheetData>
    <row r="1" spans="1:169" x14ac:dyDescent="0.25">
      <c r="A1" t="s">
        <v>125</v>
      </c>
      <c r="DZ1" t="s">
        <v>127</v>
      </c>
      <c r="EA1" t="s">
        <v>128</v>
      </c>
    </row>
    <row r="2" spans="1:169" ht="14.4" x14ac:dyDescent="0.3">
      <c r="B2">
        <v>0.28788201179245276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Q2">
        <v>0.28788201179245276</v>
      </c>
      <c r="AR2">
        <v>0.29577533018867919</v>
      </c>
      <c r="AS2">
        <v>0.5255654363207547</v>
      </c>
      <c r="AT2">
        <v>0.19094258962264152</v>
      </c>
      <c r="AU2">
        <v>0.22925861320754715</v>
      </c>
      <c r="AV2">
        <v>0.23435357075471699</v>
      </c>
      <c r="AW2">
        <v>8.1569749999999996E-2</v>
      </c>
      <c r="AX2">
        <v>0.22559867688679242</v>
      </c>
      <c r="AY2">
        <v>0.3535258089622641</v>
      </c>
      <c r="AZ2">
        <v>0.26921204716981129</v>
      </c>
      <c r="BA2">
        <v>0.22315947641509432</v>
      </c>
      <c r="BB2">
        <v>0.23538402594339619</v>
      </c>
      <c r="BC2">
        <v>0.14482895754716979</v>
      </c>
      <c r="BD2">
        <v>8.8960172169811322E-2</v>
      </c>
      <c r="BE2">
        <v>0.17322799528301885</v>
      </c>
      <c r="BF2">
        <v>0.15150790566037736</v>
      </c>
      <c r="BG2">
        <v>0.32035219103773582</v>
      </c>
      <c r="BH2">
        <v>0.22512874056603771</v>
      </c>
      <c r="BI2">
        <v>0.22869586320754715</v>
      </c>
      <c r="BJ2">
        <v>6.8885459905660376E-2</v>
      </c>
      <c r="BK2">
        <v>7.9856382075471702E-2</v>
      </c>
      <c r="BL2">
        <v>0.31227037971698113</v>
      </c>
      <c r="BM2">
        <v>0.1461871438679245</v>
      </c>
      <c r="BN2">
        <v>0.17072622169811319</v>
      </c>
      <c r="BO2">
        <v>0.28132813915094335</v>
      </c>
      <c r="BP2">
        <v>0.28322009905660372</v>
      </c>
      <c r="BQ2">
        <v>0.15808195283018867</v>
      </c>
      <c r="BR2">
        <v>0.24606758018867925</v>
      </c>
      <c r="BS2">
        <v>0.17948043396226415</v>
      </c>
      <c r="BT2">
        <v>8.2080660377358491E-2</v>
      </c>
      <c r="BU2">
        <v>0.18941173584905657</v>
      </c>
      <c r="BV2">
        <v>0.22308557547169811</v>
      </c>
      <c r="BW2">
        <v>0.21949510849056603</v>
      </c>
      <c r="BX2">
        <v>0.10879614386792452</v>
      </c>
      <c r="BY2">
        <v>0.13496530896226414</v>
      </c>
      <c r="BZ2">
        <v>9.475091745283018E-2</v>
      </c>
      <c r="CA2">
        <v>0.28824248349056603</v>
      </c>
      <c r="CB2">
        <v>0.15078325235849055</v>
      </c>
      <c r="CC2">
        <v>3.2221882075471692E-2</v>
      </c>
      <c r="CJ2">
        <v>0.28788201179245276</v>
      </c>
      <c r="CK2">
        <v>0.29577533018867919</v>
      </c>
      <c r="CL2">
        <v>0.5255654363207547</v>
      </c>
      <c r="CM2">
        <v>0.19094258962264152</v>
      </c>
      <c r="CN2">
        <v>0.22925861320754715</v>
      </c>
      <c r="CO2">
        <v>0.23435357075471699</v>
      </c>
      <c r="CP2">
        <v>8.1569749999999996E-2</v>
      </c>
      <c r="CQ2">
        <v>0.22559867688679242</v>
      </c>
      <c r="CR2">
        <v>0.3535258089622641</v>
      </c>
      <c r="CS2">
        <v>0.26921204716981129</v>
      </c>
      <c r="CT2">
        <v>0.22315947641509432</v>
      </c>
      <c r="CU2">
        <v>0.23538402594339619</v>
      </c>
      <c r="CV2">
        <v>0.14482895754716979</v>
      </c>
      <c r="CW2">
        <v>8.8960172169811322E-2</v>
      </c>
      <c r="CX2">
        <v>0.17322799528301885</v>
      </c>
      <c r="CY2">
        <v>0.15150790566037736</v>
      </c>
      <c r="CZ2">
        <v>0.32035219103773582</v>
      </c>
      <c r="DA2">
        <v>0.22512874056603771</v>
      </c>
      <c r="DB2">
        <v>0.22869586320754715</v>
      </c>
      <c r="DC2">
        <v>6.8885459905660376E-2</v>
      </c>
      <c r="DD2">
        <v>7.9856382075471702E-2</v>
      </c>
      <c r="DE2">
        <v>0.31227037971698113</v>
      </c>
      <c r="DF2">
        <v>0.1461871438679245</v>
      </c>
      <c r="DG2">
        <v>0.17072622169811319</v>
      </c>
      <c r="DH2">
        <v>0.28132813915094335</v>
      </c>
      <c r="DI2">
        <v>0.28322009905660372</v>
      </c>
      <c r="DJ2">
        <v>0.15808195283018867</v>
      </c>
      <c r="DK2">
        <v>0.24606758018867925</v>
      </c>
      <c r="DL2">
        <v>0.17948043396226415</v>
      </c>
      <c r="DM2">
        <v>8.2080660377358491E-2</v>
      </c>
      <c r="DN2">
        <v>0.18941173584905657</v>
      </c>
      <c r="DO2">
        <v>0.22308557547169811</v>
      </c>
      <c r="DP2">
        <v>0.21949510849056603</v>
      </c>
      <c r="DQ2">
        <v>0.10879614386792452</v>
      </c>
      <c r="DR2">
        <v>0.13496530896226414</v>
      </c>
      <c r="DS2">
        <v>9.475091745283018E-2</v>
      </c>
      <c r="DT2">
        <v>0.28824248349056603</v>
      </c>
      <c r="DU2">
        <v>0.15078325235849055</v>
      </c>
      <c r="DV2">
        <v>3.2221882075471692E-2</v>
      </c>
      <c r="DY2" t="s">
        <v>131</v>
      </c>
      <c r="DZ2">
        <v>21.055274600116814</v>
      </c>
      <c r="EA2" s="5">
        <v>6.2099752879619538E-2</v>
      </c>
      <c r="EB2" s="5">
        <v>0.13014064073515405</v>
      </c>
      <c r="EC2" s="5">
        <v>0.2223411178077257</v>
      </c>
      <c r="ED2" s="5">
        <v>0.15289650657820325</v>
      </c>
      <c r="EE2" s="5">
        <v>0.17098693470977336</v>
      </c>
      <c r="EF2" s="5">
        <v>0.12103848770709758</v>
      </c>
      <c r="EG2" s="5">
        <v>7.6366945293680696E-2</v>
      </c>
      <c r="EH2" s="5">
        <v>0.11887911299227648</v>
      </c>
      <c r="EI2" s="5">
        <v>0.21051194394509534</v>
      </c>
      <c r="EJ2" s="5">
        <v>0.21270414499224094</v>
      </c>
      <c r="EK2" s="5">
        <v>0.12110350367704607</v>
      </c>
      <c r="EL2" s="5">
        <v>0.16887427031927379</v>
      </c>
      <c r="EM2" s="5">
        <v>0.12164197649228822</v>
      </c>
      <c r="EN2" s="5">
        <v>0.11925751896072956</v>
      </c>
      <c r="EO2" s="5">
        <v>3.3286418356493243E-2</v>
      </c>
      <c r="EP2" s="5">
        <v>0.19750946697386634</v>
      </c>
      <c r="EQ2" s="5">
        <v>0.31990284363456695</v>
      </c>
      <c r="ER2" s="5">
        <v>0.26139319375604131</v>
      </c>
      <c r="ES2" s="5">
        <v>0.28030662087764191</v>
      </c>
      <c r="ET2" s="5">
        <v>0.15666048315539319</v>
      </c>
      <c r="EU2" s="5">
        <v>5.696084413627802E-2</v>
      </c>
      <c r="EV2" s="5">
        <v>0.21808215138269099</v>
      </c>
      <c r="EW2" s="5">
        <v>0.11266509459564743</v>
      </c>
      <c r="EX2" s="5">
        <v>0.11841584221314128</v>
      </c>
      <c r="EY2" s="5">
        <v>0.18639488771793755</v>
      </c>
      <c r="EZ2" s="5">
        <v>0.21037724301523544</v>
      </c>
      <c r="FA2" s="5">
        <v>8.7880713020410089E-2</v>
      </c>
      <c r="FB2" s="5">
        <v>0.14641224907285288</v>
      </c>
      <c r="FC2" s="5">
        <v>0.13118177925624239</v>
      </c>
      <c r="FD2" s="5">
        <v>4.5440761010029855E-2</v>
      </c>
      <c r="FE2" s="5">
        <v>0.12081288463170756</v>
      </c>
      <c r="FF2" s="5">
        <v>0.13916350845656739</v>
      </c>
      <c r="FG2" s="5">
        <v>0.16321457749073376</v>
      </c>
      <c r="FH2" s="5">
        <v>5.3008166757607736E-2</v>
      </c>
      <c r="FI2" s="5">
        <v>6.6668715661250488E-2</v>
      </c>
      <c r="FJ2" s="5">
        <v>7.1244884167932343E-2</v>
      </c>
      <c r="FK2" s="5">
        <v>0.28281374320079999</v>
      </c>
      <c r="FL2" s="5">
        <v>9.4452908617266462E-2</v>
      </c>
      <c r="FM2" s="5">
        <v>9.6500671198635323E-3</v>
      </c>
    </row>
    <row r="3" spans="1:169" ht="14.4" x14ac:dyDescent="0.3">
      <c r="B3">
        <v>0.29577533018867919</v>
      </c>
      <c r="C3">
        <v>1.4976137028301886</v>
      </c>
      <c r="AQ3">
        <v>0</v>
      </c>
      <c r="AR3">
        <v>1.4976137028301886</v>
      </c>
      <c r="AS3">
        <v>0.97195511320754724</v>
      </c>
      <c r="AT3">
        <v>0.70101887735849044</v>
      </c>
      <c r="AU3">
        <v>0.61157404481132072</v>
      </c>
      <c r="AV3">
        <v>0.45003987971698106</v>
      </c>
      <c r="AW3">
        <v>-0.21364916273584905</v>
      </c>
      <c r="AX3">
        <v>0.24784202830188679</v>
      </c>
      <c r="AY3">
        <v>0.60701965801886792</v>
      </c>
      <c r="AZ3">
        <v>0.41966795047169808</v>
      </c>
      <c r="BA3">
        <v>0.39101127594339624</v>
      </c>
      <c r="BB3">
        <v>0.49117255896226408</v>
      </c>
      <c r="BC3">
        <v>0.18400557311320753</v>
      </c>
      <c r="BD3">
        <v>0.20169017688679247</v>
      </c>
      <c r="BE3">
        <v>0.43393910613207543</v>
      </c>
      <c r="BF3">
        <v>0.20717131839622641</v>
      </c>
      <c r="BG3">
        <v>0.58509222405660366</v>
      </c>
      <c r="BH3">
        <v>0.42200266037735834</v>
      </c>
      <c r="BI3">
        <v>0.5293419410377358</v>
      </c>
      <c r="BJ3">
        <v>8.6711415094339619E-2</v>
      </c>
      <c r="BK3">
        <v>0.25421858962264149</v>
      </c>
      <c r="BL3">
        <v>0.77193199764150933</v>
      </c>
      <c r="BM3">
        <v>0.27963988915094334</v>
      </c>
      <c r="BN3">
        <v>0.41055021698113198</v>
      </c>
      <c r="BO3">
        <v>0.67226819339622645</v>
      </c>
      <c r="BP3">
        <v>0.72454799292452821</v>
      </c>
      <c r="BQ3">
        <v>0.33001502594339616</v>
      </c>
      <c r="BR3">
        <v>0.66062077594339619</v>
      </c>
      <c r="BS3">
        <v>0.39551286792452833</v>
      </c>
      <c r="BT3">
        <v>8.4466011792452819E-2</v>
      </c>
      <c r="BU3">
        <v>0.31685440094339623</v>
      </c>
      <c r="BV3">
        <v>0.56836818396226407</v>
      </c>
      <c r="BW3">
        <v>0.55420367688679251</v>
      </c>
      <c r="BX3">
        <v>4.5208589622641501E-2</v>
      </c>
      <c r="BY3">
        <v>0.20995460377358488</v>
      </c>
      <c r="BZ3">
        <v>-2.4504148584905655E-2</v>
      </c>
      <c r="CA3">
        <v>0.56575176886792444</v>
      </c>
      <c r="CB3">
        <v>0.18940812971698112</v>
      </c>
      <c r="CC3">
        <v>3.1877153301886792E-2</v>
      </c>
      <c r="CJ3">
        <v>0.29577533018867919</v>
      </c>
      <c r="CK3">
        <v>1.4976137028301886</v>
      </c>
      <c r="CL3">
        <v>0.97195511320754724</v>
      </c>
      <c r="CM3">
        <v>0.70101887735849044</v>
      </c>
      <c r="CN3">
        <v>0.61157404481132072</v>
      </c>
      <c r="CO3">
        <v>0.45003987971698106</v>
      </c>
      <c r="CP3">
        <v>-0.21364916273584905</v>
      </c>
      <c r="CQ3">
        <v>0.24784202830188679</v>
      </c>
      <c r="CR3">
        <v>0.60701965801886792</v>
      </c>
      <c r="CS3">
        <v>0.41966795047169808</v>
      </c>
      <c r="CT3">
        <v>0.39101127594339624</v>
      </c>
      <c r="CU3">
        <v>0.49117255896226408</v>
      </c>
      <c r="CV3">
        <v>0.18400557311320753</v>
      </c>
      <c r="CW3">
        <v>0.20169017688679247</v>
      </c>
      <c r="CX3">
        <v>0.43393910613207543</v>
      </c>
      <c r="CY3">
        <v>0.20717131839622641</v>
      </c>
      <c r="CZ3">
        <v>0.58509222405660366</v>
      </c>
      <c r="DA3">
        <v>0.42200266037735834</v>
      </c>
      <c r="DB3">
        <v>0.5293419410377358</v>
      </c>
      <c r="DC3">
        <v>8.6711415094339619E-2</v>
      </c>
      <c r="DD3">
        <v>0.25421858962264149</v>
      </c>
      <c r="DE3">
        <v>0.77193199764150933</v>
      </c>
      <c r="DF3">
        <v>0.27963988915094334</v>
      </c>
      <c r="DG3">
        <v>0.41055021698113198</v>
      </c>
      <c r="DH3">
        <v>0.67226819339622645</v>
      </c>
      <c r="DI3">
        <v>0.72454799292452821</v>
      </c>
      <c r="DJ3">
        <v>0.33001502594339616</v>
      </c>
      <c r="DK3">
        <v>0.66062077594339619</v>
      </c>
      <c r="DL3">
        <v>0.39551286792452833</v>
      </c>
      <c r="DM3">
        <v>8.4466011792452819E-2</v>
      </c>
      <c r="DN3">
        <v>0.31685440094339623</v>
      </c>
      <c r="DO3">
        <v>0.56836818396226407</v>
      </c>
      <c r="DP3">
        <v>0.55420367688679251</v>
      </c>
      <c r="DQ3">
        <v>4.5208589622641501E-2</v>
      </c>
      <c r="DR3">
        <v>0.20995460377358488</v>
      </c>
      <c r="DS3">
        <v>-2.4504148584905655E-2</v>
      </c>
      <c r="DT3">
        <v>0.56575176886792444</v>
      </c>
      <c r="DU3">
        <v>0.18940812971698112</v>
      </c>
      <c r="DV3">
        <v>3.1877153301886792E-2</v>
      </c>
      <c r="DY3" t="s">
        <v>132</v>
      </c>
      <c r="DZ3">
        <v>8.4418858003484747</v>
      </c>
      <c r="EA3" s="6">
        <v>1.2302480046003587E-2</v>
      </c>
      <c r="EB3" s="6">
        <v>1.7436115744460502E-2</v>
      </c>
      <c r="EC3" s="6">
        <v>4.1574886424874891E-2</v>
      </c>
      <c r="ED3" s="6">
        <v>2.3134786866625422E-2</v>
      </c>
      <c r="EE3" s="6">
        <v>2.8237828179914198E-2</v>
      </c>
      <c r="EF3" s="6">
        <v>3.437379253098035E-2</v>
      </c>
      <c r="EG3" s="6">
        <v>1.0029076589493629E-3</v>
      </c>
      <c r="EH3" s="6">
        <v>1.1105898970345746E-2</v>
      </c>
      <c r="EI3" s="6">
        <v>2.9511961376609358E-2</v>
      </c>
      <c r="EJ3" s="6">
        <v>0.53712554690702885</v>
      </c>
      <c r="EK3" s="6">
        <v>1.2366715669878771E-2</v>
      </c>
      <c r="EL3" s="6">
        <v>2.5368089891005009E-2</v>
      </c>
      <c r="EM3" s="6">
        <v>0.39853125107422332</v>
      </c>
      <c r="EN3" s="6">
        <v>0.12962131553611589</v>
      </c>
      <c r="EO3" s="6">
        <v>0.13346641086268082</v>
      </c>
      <c r="EP3" s="6">
        <v>-0.13806320618806153</v>
      </c>
      <c r="EQ3" s="6">
        <v>-0.13749065491826706</v>
      </c>
      <c r="ER3" s="6">
        <v>-0.15029819902339162</v>
      </c>
      <c r="ES3" s="6">
        <v>-0.17836541302248179</v>
      </c>
      <c r="ET3" s="6">
        <v>-0.18563088737664749</v>
      </c>
      <c r="EU3" s="6">
        <v>-1.9787545439697053E-3</v>
      </c>
      <c r="EV3" s="6">
        <v>2.5240451864021261E-2</v>
      </c>
      <c r="EW3" s="6">
        <v>2.283728412758498E-2</v>
      </c>
      <c r="EX3" s="6">
        <v>1.607433409261173E-2</v>
      </c>
      <c r="EY3" s="6">
        <v>2.9434841777542719E-3</v>
      </c>
      <c r="EZ3" s="6">
        <v>9.2405993510442531E-3</v>
      </c>
      <c r="FA3" s="6">
        <v>1.2127308345520223E-2</v>
      </c>
      <c r="FB3" s="6">
        <v>6.5724601059048418E-3</v>
      </c>
      <c r="FC3" s="6">
        <v>-8.7460014352723709E-4</v>
      </c>
      <c r="FD3" s="6">
        <v>1.4636053014880641E-2</v>
      </c>
      <c r="FE3" s="6">
        <v>2.0729421407446977E-2</v>
      </c>
      <c r="FF3" s="6">
        <v>1.8434131555683384E-2</v>
      </c>
      <c r="FG3" s="6">
        <v>3.0042412965211943E-3</v>
      </c>
      <c r="FH3" s="6">
        <v>9.7971368686060392E-2</v>
      </c>
      <c r="FI3" s="6">
        <v>-0.58365565021205312</v>
      </c>
      <c r="FJ3" s="6">
        <v>0.14459699863376715</v>
      </c>
      <c r="FK3" s="6">
        <v>-0.10317526659099603</v>
      </c>
      <c r="FL3" s="6">
        <v>8.1266681831372277E-3</v>
      </c>
      <c r="FM3" s="6">
        <v>1.288236990515897E-2</v>
      </c>
    </row>
    <row r="4" spans="1:169" x14ac:dyDescent="0.25">
      <c r="B4">
        <v>0.5255654363207547</v>
      </c>
      <c r="C4">
        <v>0.97195511320754724</v>
      </c>
      <c r="D4">
        <v>2.467458808962264</v>
      </c>
      <c r="AQ4">
        <v>0</v>
      </c>
      <c r="AR4">
        <v>0</v>
      </c>
      <c r="AS4">
        <v>2.467458808962264</v>
      </c>
      <c r="AT4">
        <v>0.97906395518867906</v>
      </c>
      <c r="AU4">
        <v>1.1059457334905658</v>
      </c>
      <c r="AV4">
        <v>0.94922220047169792</v>
      </c>
      <c r="AW4">
        <v>0.3949344174528302</v>
      </c>
      <c r="AX4">
        <v>0.68021466037735845</v>
      </c>
      <c r="AY4">
        <v>1.1813304410377359</v>
      </c>
      <c r="AZ4">
        <v>0.82781401179245273</v>
      </c>
      <c r="BA4">
        <v>0.67492120518867926</v>
      </c>
      <c r="BB4">
        <v>1.0775110778301886</v>
      </c>
      <c r="BC4">
        <v>0.44731990330188676</v>
      </c>
      <c r="BD4">
        <v>0.33282697405660377</v>
      </c>
      <c r="BE4">
        <v>0.58713485377358499</v>
      </c>
      <c r="BF4">
        <v>0.52058988679245266</v>
      </c>
      <c r="BG4">
        <v>1.1318878042452827</v>
      </c>
      <c r="BH4">
        <v>0.78523228537735845</v>
      </c>
      <c r="BI4">
        <v>0.81560532783018858</v>
      </c>
      <c r="BJ4">
        <v>0.21319549056603773</v>
      </c>
      <c r="BK4">
        <v>0.24826763207547164</v>
      </c>
      <c r="BL4">
        <v>1.1066464646226413</v>
      </c>
      <c r="BM4">
        <v>0.62180616037735847</v>
      </c>
      <c r="BN4">
        <v>0.57884508254716982</v>
      </c>
      <c r="BO4">
        <v>0.98216085613207538</v>
      </c>
      <c r="BP4">
        <v>1.0818817617924528</v>
      </c>
      <c r="BQ4">
        <v>0.52985169575471702</v>
      </c>
      <c r="BR4">
        <v>0.18208902358490558</v>
      </c>
      <c r="BS4">
        <v>0.63284749056603762</v>
      </c>
      <c r="BT4">
        <v>0.19791445283018866</v>
      </c>
      <c r="BU4">
        <v>0.64536091981132071</v>
      </c>
      <c r="BV4">
        <v>0.73133210141509419</v>
      </c>
      <c r="BW4">
        <v>0.79402954245283008</v>
      </c>
      <c r="BX4">
        <v>0.39209741981132068</v>
      </c>
      <c r="BY4">
        <v>0.43042457075471691</v>
      </c>
      <c r="BZ4">
        <v>0.34889442216981126</v>
      </c>
      <c r="CA4">
        <v>0.96629306367924539</v>
      </c>
      <c r="CB4">
        <v>0.49681074764150945</v>
      </c>
      <c r="CC4">
        <v>8.5031804245283019E-2</v>
      </c>
      <c r="CJ4">
        <v>0.5255654363207547</v>
      </c>
      <c r="CK4">
        <v>0.97195511320754724</v>
      </c>
      <c r="CL4">
        <v>2.467458808962264</v>
      </c>
      <c r="CM4">
        <v>0.97906395518867906</v>
      </c>
      <c r="CN4">
        <v>1.1059457334905658</v>
      </c>
      <c r="CO4">
        <v>0.94922220047169792</v>
      </c>
      <c r="CP4">
        <v>0.3949344174528302</v>
      </c>
      <c r="CQ4">
        <v>0.68021466037735845</v>
      </c>
      <c r="CR4">
        <v>1.1813304410377359</v>
      </c>
      <c r="CS4">
        <v>0.82781401179245273</v>
      </c>
      <c r="CT4">
        <v>0.67492120518867926</v>
      </c>
      <c r="CU4">
        <v>1.0775110778301886</v>
      </c>
      <c r="CV4">
        <v>0.44731990330188676</v>
      </c>
      <c r="CW4">
        <v>0.33282697405660377</v>
      </c>
      <c r="CX4">
        <v>0.58713485377358499</v>
      </c>
      <c r="CY4">
        <v>0.52058988679245266</v>
      </c>
      <c r="CZ4">
        <v>1.1318878042452827</v>
      </c>
      <c r="DA4">
        <v>0.78523228537735845</v>
      </c>
      <c r="DB4">
        <v>0.81560532783018858</v>
      </c>
      <c r="DC4">
        <v>0.21319549056603773</v>
      </c>
      <c r="DD4">
        <v>0.24826763207547164</v>
      </c>
      <c r="DE4">
        <v>1.1066464646226413</v>
      </c>
      <c r="DF4">
        <v>0.62180616037735847</v>
      </c>
      <c r="DG4">
        <v>0.57884508254716982</v>
      </c>
      <c r="DH4">
        <v>0.98216085613207538</v>
      </c>
      <c r="DI4">
        <v>1.0818817617924528</v>
      </c>
      <c r="DJ4">
        <v>0.52985169575471702</v>
      </c>
      <c r="DK4">
        <v>0.18208902358490558</v>
      </c>
      <c r="DL4">
        <v>0.63284749056603762</v>
      </c>
      <c r="DM4">
        <v>0.19791445283018866</v>
      </c>
      <c r="DN4">
        <v>0.64536091981132071</v>
      </c>
      <c r="DO4">
        <v>0.73133210141509419</v>
      </c>
      <c r="DP4">
        <v>0.79402954245283008</v>
      </c>
      <c r="DQ4">
        <v>0.39209741981132068</v>
      </c>
      <c r="DR4">
        <v>0.43042457075471691</v>
      </c>
      <c r="DS4">
        <v>0.34889442216981126</v>
      </c>
      <c r="DT4">
        <v>0.96629306367924539</v>
      </c>
      <c r="DU4">
        <v>0.49681074764150945</v>
      </c>
      <c r="DV4">
        <v>8.5031804245283019E-2</v>
      </c>
      <c r="DZ4">
        <v>7.6284904507945344</v>
      </c>
      <c r="EA4">
        <v>-4.9114868603201287E-2</v>
      </c>
      <c r="EB4">
        <v>-0.14017355299101103</v>
      </c>
      <c r="EC4">
        <v>-0.1917337951139606</v>
      </c>
      <c r="ED4">
        <v>-0.15524580733195378</v>
      </c>
      <c r="EE4">
        <v>-0.15281619710060323</v>
      </c>
      <c r="EF4">
        <v>-9.1537930057077152E-2</v>
      </c>
      <c r="EG4">
        <v>-4.4524650995873195E-2</v>
      </c>
      <c r="EH4">
        <v>-9.2209613943048566E-2</v>
      </c>
      <c r="EI4">
        <v>-0.15610194040499586</v>
      </c>
      <c r="EJ4">
        <v>0.1121897196661059</v>
      </c>
      <c r="EK4">
        <v>-6.4166622406589199E-2</v>
      </c>
      <c r="EL4">
        <v>-8.7946061137770579E-2</v>
      </c>
      <c r="EM4">
        <v>0.11688394360019737</v>
      </c>
      <c r="EN4">
        <v>1.0839041859616998E-2</v>
      </c>
      <c r="EO4">
        <v>-0.35992726907893524</v>
      </c>
      <c r="EP4">
        <v>0.29314594576013436</v>
      </c>
      <c r="EQ4">
        <v>0.2349049900854569</v>
      </c>
      <c r="ER4">
        <v>0.26217367825929444</v>
      </c>
      <c r="ES4">
        <v>0.21698325851058214</v>
      </c>
      <c r="ET4">
        <v>0.37403411436963369</v>
      </c>
      <c r="EU4">
        <v>9.0398129143710333E-3</v>
      </c>
      <c r="EV4">
        <v>-0.12698508701547195</v>
      </c>
      <c r="EW4">
        <v>-8.3705965902917193E-2</v>
      </c>
      <c r="EX4">
        <v>-8.6333953464562754E-2</v>
      </c>
      <c r="EY4">
        <v>-6.4695794527429337E-2</v>
      </c>
      <c r="EZ4">
        <v>-0.18180004111220849</v>
      </c>
      <c r="FA4">
        <v>-5.209477410919422E-2</v>
      </c>
      <c r="FB4">
        <v>-0.10914210642032925</v>
      </c>
      <c r="FC4">
        <v>-6.7813794693104196E-2</v>
      </c>
      <c r="FD4">
        <v>-9.7675164364723534E-3</v>
      </c>
      <c r="FE4">
        <v>-4.4850801935043302E-2</v>
      </c>
      <c r="FF4">
        <v>-0.13876815553633357</v>
      </c>
      <c r="FG4">
        <v>-0.12662543722052061</v>
      </c>
      <c r="FH4">
        <v>2.4573518504286888E-3</v>
      </c>
      <c r="FI4">
        <v>-0.36484786674991676</v>
      </c>
      <c r="FJ4">
        <v>5.2371689504235819E-2</v>
      </c>
      <c r="FK4">
        <v>0.1534535988563854</v>
      </c>
      <c r="FL4">
        <v>-4.4222310800265716E-2</v>
      </c>
      <c r="FM4">
        <v>-1.1679504474551781E-5</v>
      </c>
    </row>
    <row r="5" spans="1:169" x14ac:dyDescent="0.25">
      <c r="B5">
        <v>0.19094258962264152</v>
      </c>
      <c r="C5">
        <v>0.70101887735849044</v>
      </c>
      <c r="D5">
        <v>0.97906395518867906</v>
      </c>
      <c r="E5">
        <v>1.3784210448113208</v>
      </c>
      <c r="AQ5">
        <v>0</v>
      </c>
      <c r="AR5">
        <v>0</v>
      </c>
      <c r="AS5">
        <v>0</v>
      </c>
      <c r="AT5">
        <v>1.3784210448113208</v>
      </c>
      <c r="AU5">
        <v>0.91820280660377351</v>
      </c>
      <c r="AV5">
        <v>0.57603503066037731</v>
      </c>
      <c r="AW5">
        <v>0.44761389386792455</v>
      </c>
      <c r="AX5">
        <v>0.86293524528301879</v>
      </c>
      <c r="AY5">
        <v>0.81851635613207541</v>
      </c>
      <c r="AZ5">
        <v>0.5627564150943396</v>
      </c>
      <c r="BA5">
        <v>0.50464834669811309</v>
      </c>
      <c r="BB5">
        <v>0.58140999528301884</v>
      </c>
      <c r="BC5">
        <v>0.28381877594339622</v>
      </c>
      <c r="BD5">
        <v>0.27118552594339618</v>
      </c>
      <c r="BE5">
        <v>0.38984386084905653</v>
      </c>
      <c r="BF5">
        <v>0.27857859198113205</v>
      </c>
      <c r="BG5">
        <v>0.69432571226415085</v>
      </c>
      <c r="BH5">
        <v>0.50160526650943393</v>
      </c>
      <c r="BI5">
        <v>0.60497673349056602</v>
      </c>
      <c r="BJ5">
        <v>0.10542846462264149</v>
      </c>
      <c r="BK5">
        <v>-0.18831636792452833</v>
      </c>
      <c r="BL5">
        <v>0.7788940283018867</v>
      </c>
      <c r="BM5">
        <v>0.3319134976415094</v>
      </c>
      <c r="BN5">
        <v>0.46392601415094337</v>
      </c>
      <c r="BO5">
        <v>0.60490389622641494</v>
      </c>
      <c r="BP5">
        <v>0.75003196933962246</v>
      </c>
      <c r="BQ5">
        <v>0.3398770330188679</v>
      </c>
      <c r="BR5">
        <v>0.67575869811320743</v>
      </c>
      <c r="BS5">
        <v>0.46499594103773573</v>
      </c>
      <c r="BT5">
        <v>0.14445926179245283</v>
      </c>
      <c r="BU5">
        <v>0.37293839386792454</v>
      </c>
      <c r="BV5">
        <v>0.58648265330188676</v>
      </c>
      <c r="BW5">
        <v>0.61082471462264132</v>
      </c>
      <c r="BX5">
        <v>0.16264633726415095</v>
      </c>
      <c r="BY5">
        <v>0.35154470990566039</v>
      </c>
      <c r="BZ5">
        <v>0.14597288679245279</v>
      </c>
      <c r="CA5">
        <v>0.65087991981132065</v>
      </c>
      <c r="CB5">
        <v>0.29121547169811318</v>
      </c>
      <c r="CC5">
        <v>-3.4823844339622601E-3</v>
      </c>
      <c r="CJ5">
        <v>0.19094258962264152</v>
      </c>
      <c r="CK5">
        <v>0.70101887735849044</v>
      </c>
      <c r="CL5">
        <v>0.97906395518867906</v>
      </c>
      <c r="CM5">
        <v>1.3784210448113208</v>
      </c>
      <c r="CN5">
        <v>0.91820280660377351</v>
      </c>
      <c r="CO5">
        <v>0.57603503066037731</v>
      </c>
      <c r="CP5">
        <v>0.44761389386792455</v>
      </c>
      <c r="CQ5">
        <v>0.86293524528301879</v>
      </c>
      <c r="CR5">
        <v>0.81851635613207541</v>
      </c>
      <c r="CS5">
        <v>0.5627564150943396</v>
      </c>
      <c r="CT5">
        <v>0.50464834669811309</v>
      </c>
      <c r="CU5">
        <v>0.58140999528301884</v>
      </c>
      <c r="CV5">
        <v>0.28381877594339622</v>
      </c>
      <c r="CW5">
        <v>0.27118552594339618</v>
      </c>
      <c r="CX5">
        <v>0.38984386084905653</v>
      </c>
      <c r="CY5">
        <v>0.27857859198113205</v>
      </c>
      <c r="CZ5">
        <v>0.69432571226415085</v>
      </c>
      <c r="DA5">
        <v>0.50160526650943393</v>
      </c>
      <c r="DB5">
        <v>0.60497673349056602</v>
      </c>
      <c r="DC5">
        <v>0.10542846462264149</v>
      </c>
      <c r="DD5">
        <v>-0.18831636792452833</v>
      </c>
      <c r="DE5">
        <v>0.7788940283018867</v>
      </c>
      <c r="DF5">
        <v>0.3319134976415094</v>
      </c>
      <c r="DG5">
        <v>0.46392601415094337</v>
      </c>
      <c r="DH5">
        <v>0.60490389622641494</v>
      </c>
      <c r="DI5">
        <v>0.75003196933962246</v>
      </c>
      <c r="DJ5">
        <v>0.3398770330188679</v>
      </c>
      <c r="DK5">
        <v>0.67575869811320743</v>
      </c>
      <c r="DL5">
        <v>0.46499594103773573</v>
      </c>
      <c r="DM5">
        <v>0.14445926179245283</v>
      </c>
      <c r="DN5">
        <v>0.37293839386792454</v>
      </c>
      <c r="DO5">
        <v>0.58648265330188676</v>
      </c>
      <c r="DP5">
        <v>0.61082471462264132</v>
      </c>
      <c r="DQ5">
        <v>0.16264633726415095</v>
      </c>
      <c r="DR5">
        <v>0.35154470990566039</v>
      </c>
      <c r="DS5">
        <v>0.14597288679245279</v>
      </c>
      <c r="DT5">
        <v>0.65087991981132065</v>
      </c>
      <c r="DU5">
        <v>0.29121547169811318</v>
      </c>
      <c r="DV5">
        <v>-3.4823844339622601E-3</v>
      </c>
      <c r="DZ5">
        <v>3.8851926823041802</v>
      </c>
      <c r="EA5">
        <v>6.377434063631652E-4</v>
      </c>
      <c r="EB5">
        <v>0.14029894896271397</v>
      </c>
      <c r="EC5">
        <v>-4.745144845423948E-2</v>
      </c>
      <c r="ED5">
        <v>-1.601859968099857E-3</v>
      </c>
      <c r="EE5">
        <v>-0.18937456526987273</v>
      </c>
      <c r="EF5">
        <v>-8.5485134692323272E-2</v>
      </c>
      <c r="EG5">
        <v>-7.4139307177988251E-2</v>
      </c>
      <c r="EH5">
        <v>-3.9094522285600057E-2</v>
      </c>
      <c r="EI5">
        <v>-0.16343979419382684</v>
      </c>
      <c r="EJ5">
        <v>1.3951403826379237E-2</v>
      </c>
      <c r="EK5">
        <v>-1.3104414387557451E-2</v>
      </c>
      <c r="EL5">
        <v>-5.4607277976832014E-2</v>
      </c>
      <c r="EM5">
        <v>-0.23149741080286418</v>
      </c>
      <c r="EN5">
        <v>-0.23627701207843113</v>
      </c>
      <c r="EO5">
        <v>0.10384847757420221</v>
      </c>
      <c r="EP5">
        <v>-5.2301549465908384E-2</v>
      </c>
      <c r="EQ5">
        <v>-4.1171728107784057E-2</v>
      </c>
      <c r="ER5">
        <v>1.8884995520253491E-2</v>
      </c>
      <c r="ES5">
        <v>0.20668412422439056</v>
      </c>
      <c r="ET5">
        <v>6.2919457249419695E-3</v>
      </c>
      <c r="EU5">
        <v>8.9074088597073428E-2</v>
      </c>
      <c r="EV5">
        <v>7.9318333455721299E-2</v>
      </c>
      <c r="EW5">
        <v>-0.13708208897571966</v>
      </c>
      <c r="EX5">
        <v>-8.93851004574466E-3</v>
      </c>
      <c r="EY5">
        <v>0.38626737100698633</v>
      </c>
      <c r="EZ5">
        <v>0.31532959471004501</v>
      </c>
      <c r="FA5">
        <v>3.4475746356308686E-2</v>
      </c>
      <c r="FB5">
        <v>0.16780435673722269</v>
      </c>
      <c r="FC5">
        <v>1.9318794824830818E-2</v>
      </c>
      <c r="FD5">
        <v>-2.640525764786765E-2</v>
      </c>
      <c r="FE5">
        <v>-3.2578191439576E-2</v>
      </c>
      <c r="FF5">
        <v>4.8178249351264489E-2</v>
      </c>
      <c r="FG5">
        <v>0.17179070904328506</v>
      </c>
      <c r="FH5">
        <v>-0.26320162495619642</v>
      </c>
      <c r="FI5">
        <v>-0.36766601787648984</v>
      </c>
      <c r="FJ5">
        <v>-0.40326734489946781</v>
      </c>
      <c r="FK5">
        <v>-9.8349831485554359E-2</v>
      </c>
      <c r="FL5">
        <v>-9.0491810932413666E-2</v>
      </c>
      <c r="FM5">
        <v>-8.6173831428661019E-3</v>
      </c>
    </row>
    <row r="6" spans="1:169" x14ac:dyDescent="0.25">
      <c r="B6">
        <v>0.22925861320754715</v>
      </c>
      <c r="C6">
        <v>0.61157404481132072</v>
      </c>
      <c r="D6">
        <v>1.1059457334905658</v>
      </c>
      <c r="E6">
        <v>0.91820280660377351</v>
      </c>
      <c r="F6">
        <v>1.6606166415094337</v>
      </c>
      <c r="AQ6">
        <v>0</v>
      </c>
      <c r="AR6">
        <v>0</v>
      </c>
      <c r="AS6">
        <v>0</v>
      </c>
      <c r="AT6">
        <v>0</v>
      </c>
      <c r="AU6">
        <v>1.6606166415094337</v>
      </c>
      <c r="AV6">
        <v>0.73215125707547157</v>
      </c>
      <c r="AW6">
        <v>0.34680850707547167</v>
      </c>
      <c r="AX6">
        <v>0.60695180188679243</v>
      </c>
      <c r="AY6">
        <v>1.4997597641509433</v>
      </c>
      <c r="AZ6">
        <v>0.65674392924528291</v>
      </c>
      <c r="BA6">
        <v>0.47408379952830182</v>
      </c>
      <c r="BB6">
        <v>0.65687069103773588</v>
      </c>
      <c r="BC6">
        <v>0.31972380424528296</v>
      </c>
      <c r="BD6">
        <v>0.3411392429245283</v>
      </c>
      <c r="BE6">
        <v>0.41262888207547166</v>
      </c>
      <c r="BF6">
        <v>0.3787560094339622</v>
      </c>
      <c r="BG6">
        <v>0.8288603773584905</v>
      </c>
      <c r="BH6">
        <v>0.61387774292452824</v>
      </c>
      <c r="BI6">
        <v>0.66839606603773583</v>
      </c>
      <c r="BJ6">
        <v>0.18166238207547164</v>
      </c>
      <c r="BK6">
        <v>0.10476645283018865</v>
      </c>
      <c r="BL6">
        <v>0.83775942452830177</v>
      </c>
      <c r="BM6">
        <v>0.9192799905660376</v>
      </c>
      <c r="BN6">
        <v>0.65852656603773574</v>
      </c>
      <c r="BO6">
        <v>6.2437226415094332E-2</v>
      </c>
      <c r="BP6">
        <v>0.47800348113207541</v>
      </c>
      <c r="BQ6">
        <v>0.35136970047169813</v>
      </c>
      <c r="BR6">
        <v>0.64220254245283015</v>
      </c>
      <c r="BS6">
        <v>0.50200182547169803</v>
      </c>
      <c r="BT6">
        <v>0.18484931367924529</v>
      </c>
      <c r="BU6">
        <v>0.44544432075471696</v>
      </c>
      <c r="BV6">
        <v>0.5156968443396226</v>
      </c>
      <c r="BW6">
        <v>0.59817429009433953</v>
      </c>
      <c r="BX6">
        <v>0.21228117924528303</v>
      </c>
      <c r="BY6">
        <v>0.38229033490566039</v>
      </c>
      <c r="BZ6">
        <v>0.24011147405660374</v>
      </c>
      <c r="CA6">
        <v>0.77920459905660366</v>
      </c>
      <c r="CB6">
        <v>0.38541737500000001</v>
      </c>
      <c r="CC6">
        <v>1.5597554245283019E-2</v>
      </c>
      <c r="CJ6">
        <v>0.22925861320754715</v>
      </c>
      <c r="CK6">
        <v>0.61157404481132072</v>
      </c>
      <c r="CL6">
        <v>1.1059457334905658</v>
      </c>
      <c r="CM6">
        <v>0.91820280660377351</v>
      </c>
      <c r="CN6">
        <v>1.6606166415094337</v>
      </c>
      <c r="CO6">
        <v>0.73215125707547157</v>
      </c>
      <c r="CP6">
        <v>0.34680850707547167</v>
      </c>
      <c r="CQ6">
        <v>0.60695180188679243</v>
      </c>
      <c r="CR6">
        <v>1.4997597641509433</v>
      </c>
      <c r="CS6">
        <v>0.65674392924528291</v>
      </c>
      <c r="CT6">
        <v>0.47408379952830182</v>
      </c>
      <c r="CU6">
        <v>0.65687069103773588</v>
      </c>
      <c r="CV6">
        <v>0.31972380424528296</v>
      </c>
      <c r="CW6">
        <v>0.3411392429245283</v>
      </c>
      <c r="CX6">
        <v>0.41262888207547166</v>
      </c>
      <c r="CY6">
        <v>0.3787560094339622</v>
      </c>
      <c r="CZ6">
        <v>0.8288603773584905</v>
      </c>
      <c r="DA6">
        <v>0.61387774292452824</v>
      </c>
      <c r="DB6">
        <v>0.66839606603773583</v>
      </c>
      <c r="DC6">
        <v>0.18166238207547164</v>
      </c>
      <c r="DD6">
        <v>0.10476645283018865</v>
      </c>
      <c r="DE6">
        <v>0.83775942452830177</v>
      </c>
      <c r="DF6">
        <v>0.9192799905660376</v>
      </c>
      <c r="DG6">
        <v>0.65852656603773574</v>
      </c>
      <c r="DH6">
        <v>6.2437226415094332E-2</v>
      </c>
      <c r="DI6">
        <v>0.47800348113207541</v>
      </c>
      <c r="DJ6">
        <v>0.35136970047169813</v>
      </c>
      <c r="DK6">
        <v>0.64220254245283015</v>
      </c>
      <c r="DL6">
        <v>0.50200182547169803</v>
      </c>
      <c r="DM6">
        <v>0.18484931367924529</v>
      </c>
      <c r="DN6">
        <v>0.44544432075471696</v>
      </c>
      <c r="DO6">
        <v>0.5156968443396226</v>
      </c>
      <c r="DP6">
        <v>0.59817429009433953</v>
      </c>
      <c r="DQ6">
        <v>0.21228117924528303</v>
      </c>
      <c r="DR6">
        <v>0.38229033490566039</v>
      </c>
      <c r="DS6">
        <v>0.24011147405660374</v>
      </c>
      <c r="DT6">
        <v>0.77920459905660366</v>
      </c>
      <c r="DU6">
        <v>0.38541737500000001</v>
      </c>
      <c r="DV6">
        <v>1.5597554245283019E-2</v>
      </c>
      <c r="DZ6">
        <v>3.410493284171789</v>
      </c>
      <c r="EA6">
        <v>-1.652622178946116E-2</v>
      </c>
      <c r="EB6">
        <v>-1.6607556835807072E-2</v>
      </c>
      <c r="EC6">
        <v>-0.17710040261940363</v>
      </c>
      <c r="ED6">
        <v>-9.3720707664176756E-2</v>
      </c>
      <c r="EE6">
        <v>-0.19321201878903316</v>
      </c>
      <c r="EF6">
        <v>-7.8900939724450656E-2</v>
      </c>
      <c r="EG6">
        <v>-0.16638021456586277</v>
      </c>
      <c r="EH6">
        <v>-8.8951591202975133E-2</v>
      </c>
      <c r="EI6">
        <v>-0.19519124838256724</v>
      </c>
      <c r="EJ6">
        <v>0.36410612992164687</v>
      </c>
      <c r="EK6">
        <v>4.6690451981200847E-3</v>
      </c>
      <c r="EL6">
        <v>-0.11809228772803709</v>
      </c>
      <c r="EM6">
        <v>0.36288879723840839</v>
      </c>
      <c r="EN6">
        <v>0.23139568544900477</v>
      </c>
      <c r="EO6">
        <v>1.565912046033778E-2</v>
      </c>
      <c r="EP6">
        <v>-7.2497391829507186E-3</v>
      </c>
      <c r="EQ6">
        <v>3.1445261602227833E-3</v>
      </c>
      <c r="ER6">
        <v>1.6642167421124517E-2</v>
      </c>
      <c r="ES6">
        <v>-0.13169512275141168</v>
      </c>
      <c r="ET6">
        <v>-6.7212853573054482E-2</v>
      </c>
      <c r="EU6">
        <v>3.655608428559249E-2</v>
      </c>
      <c r="EV6">
        <v>-2.988838310635885E-2</v>
      </c>
      <c r="EW6">
        <v>-0.1465797497585897</v>
      </c>
      <c r="EX6">
        <v>-3.2798972277151048E-2</v>
      </c>
      <c r="EY6">
        <v>0.11000843280912632</v>
      </c>
      <c r="EZ6">
        <v>3.7159245013889536E-2</v>
      </c>
      <c r="FA6">
        <v>3.9600270836973178E-3</v>
      </c>
      <c r="FB6">
        <v>9.2176901079780993E-2</v>
      </c>
      <c r="FC6">
        <v>-2.1079406906828805E-2</v>
      </c>
      <c r="FD6">
        <v>8.6683459646915342E-3</v>
      </c>
      <c r="FE6">
        <v>9.7107194280541542E-3</v>
      </c>
      <c r="FF6">
        <v>3.9855774015760521E-2</v>
      </c>
      <c r="FG6">
        <v>-3.4918495191677071E-2</v>
      </c>
      <c r="FH6">
        <v>-0.13052846163892876</v>
      </c>
      <c r="FI6">
        <v>0.50082631231896191</v>
      </c>
      <c r="FJ6">
        <v>-0.34665665942242407</v>
      </c>
      <c r="FK6">
        <v>0.20908340258862498</v>
      </c>
      <c r="FL6">
        <v>-6.1448125147834038E-3</v>
      </c>
      <c r="FM6">
        <v>7.6398438881093586E-2</v>
      </c>
    </row>
    <row r="7" spans="1:169" x14ac:dyDescent="0.25">
      <c r="B7">
        <v>0.23435357075471699</v>
      </c>
      <c r="C7">
        <v>0.45003987971698106</v>
      </c>
      <c r="D7">
        <v>0.94922220047169792</v>
      </c>
      <c r="E7">
        <v>0.57603503066037731</v>
      </c>
      <c r="F7">
        <v>0.73215125707547157</v>
      </c>
      <c r="G7">
        <v>0.94270237971698101</v>
      </c>
      <c r="AQ7">
        <v>0</v>
      </c>
      <c r="AR7">
        <v>0</v>
      </c>
      <c r="AS7">
        <v>0</v>
      </c>
      <c r="AT7">
        <v>0</v>
      </c>
      <c r="AU7">
        <v>0</v>
      </c>
      <c r="AV7">
        <v>0.94270237971698101</v>
      </c>
      <c r="AW7">
        <v>0.22896892688679243</v>
      </c>
      <c r="AX7">
        <v>0.39104660849056599</v>
      </c>
      <c r="AY7">
        <v>0.70221950943396216</v>
      </c>
      <c r="AZ7">
        <v>0.51267505896226417</v>
      </c>
      <c r="BA7">
        <v>0.35875498584905663</v>
      </c>
      <c r="BB7">
        <v>0.50650006839622641</v>
      </c>
      <c r="BC7">
        <v>0.34250525471698118</v>
      </c>
      <c r="BD7">
        <v>0.27099766037735851</v>
      </c>
      <c r="BE7">
        <v>0.26174800471698112</v>
      </c>
      <c r="BF7">
        <v>0.30782414858490564</v>
      </c>
      <c r="BG7">
        <v>0.64237909669811322</v>
      </c>
      <c r="BH7">
        <v>0.43313271698113198</v>
      </c>
      <c r="BI7">
        <v>0.40214799292452819</v>
      </c>
      <c r="BJ7">
        <v>0.10455380896226413</v>
      </c>
      <c r="BK7">
        <v>0.11243739622641509</v>
      </c>
      <c r="BL7">
        <v>0.56667859198113191</v>
      </c>
      <c r="BM7">
        <v>0.37738795283018861</v>
      </c>
      <c r="BN7">
        <v>0.3441392617924528</v>
      </c>
      <c r="BO7">
        <v>0.42413138915094339</v>
      </c>
      <c r="BP7">
        <v>0.44927885849056598</v>
      </c>
      <c r="BQ7">
        <v>0.23616966745283013</v>
      </c>
      <c r="BR7">
        <v>0.38522588443396222</v>
      </c>
      <c r="BS7">
        <v>0.35740279952830184</v>
      </c>
      <c r="BT7">
        <v>0.15582965566037735</v>
      </c>
      <c r="BU7">
        <v>0.36201872405660379</v>
      </c>
      <c r="BV7">
        <v>0.3262851603773585</v>
      </c>
      <c r="BW7">
        <v>0.34201210849056601</v>
      </c>
      <c r="BX7">
        <v>0.25165004481132075</v>
      </c>
      <c r="BY7">
        <v>0.2187348938679245</v>
      </c>
      <c r="BZ7">
        <v>0.26566457547169814</v>
      </c>
      <c r="CA7">
        <v>0.56111944575471695</v>
      </c>
      <c r="CB7">
        <v>0.28356274764150941</v>
      </c>
      <c r="CC7">
        <v>5.966087028301887E-2</v>
      </c>
      <c r="CJ7">
        <v>0.23435357075471699</v>
      </c>
      <c r="CK7">
        <v>0.45003987971698106</v>
      </c>
      <c r="CL7">
        <v>0.94922220047169792</v>
      </c>
      <c r="CM7">
        <v>0.57603503066037731</v>
      </c>
      <c r="CN7">
        <v>0.73215125707547157</v>
      </c>
      <c r="CO7">
        <v>0.94270237971698101</v>
      </c>
      <c r="CP7">
        <v>0.22896892688679243</v>
      </c>
      <c r="CQ7">
        <v>0.39104660849056599</v>
      </c>
      <c r="CR7">
        <v>0.70221950943396216</v>
      </c>
      <c r="CS7">
        <v>0.51267505896226417</v>
      </c>
      <c r="CT7">
        <v>0.35875498584905663</v>
      </c>
      <c r="CU7">
        <v>0.50650006839622641</v>
      </c>
      <c r="CV7">
        <v>0.34250525471698118</v>
      </c>
      <c r="CW7">
        <v>0.27099766037735851</v>
      </c>
      <c r="CX7">
        <v>0.26174800471698112</v>
      </c>
      <c r="CY7">
        <v>0.30782414858490564</v>
      </c>
      <c r="CZ7">
        <v>0.64237909669811322</v>
      </c>
      <c r="DA7">
        <v>0.43313271698113198</v>
      </c>
      <c r="DB7">
        <v>0.40214799292452819</v>
      </c>
      <c r="DC7">
        <v>0.10455380896226413</v>
      </c>
      <c r="DD7">
        <v>0.11243739622641509</v>
      </c>
      <c r="DE7">
        <v>0.56667859198113191</v>
      </c>
      <c r="DF7">
        <v>0.37738795283018861</v>
      </c>
      <c r="DG7">
        <v>0.3441392617924528</v>
      </c>
      <c r="DH7">
        <v>0.42413138915094339</v>
      </c>
      <c r="DI7">
        <v>0.44927885849056598</v>
      </c>
      <c r="DJ7">
        <v>0.23616966745283013</v>
      </c>
      <c r="DK7">
        <v>0.38522588443396222</v>
      </c>
      <c r="DL7">
        <v>0.35740279952830184</v>
      </c>
      <c r="DM7">
        <v>0.15582965566037735</v>
      </c>
      <c r="DN7">
        <v>0.36201872405660379</v>
      </c>
      <c r="DO7">
        <v>0.3262851603773585</v>
      </c>
      <c r="DP7">
        <v>0.34201210849056601</v>
      </c>
      <c r="DQ7">
        <v>0.25165004481132075</v>
      </c>
      <c r="DR7">
        <v>0.2187348938679245</v>
      </c>
      <c r="DS7">
        <v>0.26566457547169814</v>
      </c>
      <c r="DT7">
        <v>0.56111944575471695</v>
      </c>
      <c r="DU7">
        <v>0.28356274764150941</v>
      </c>
      <c r="DV7">
        <v>5.966087028301887E-2</v>
      </c>
      <c r="DZ7">
        <v>3.2321673169765717</v>
      </c>
      <c r="EA7">
        <v>1.4691645688274183E-3</v>
      </c>
      <c r="EB7">
        <v>-5.4709601494997366E-2</v>
      </c>
      <c r="EC7">
        <v>5.4497558178239367E-3</v>
      </c>
      <c r="ED7">
        <v>-8.7508012879998084E-2</v>
      </c>
      <c r="EE7">
        <v>-0.28372374144872969</v>
      </c>
      <c r="EF7">
        <v>-3.2452977954220093E-2</v>
      </c>
      <c r="EG7">
        <v>2.097007464118188E-2</v>
      </c>
      <c r="EH7">
        <v>-5.5817744265367286E-2</v>
      </c>
      <c r="EI7">
        <v>-0.22724094563495759</v>
      </c>
      <c r="EJ7">
        <v>-7.9794401323332959E-2</v>
      </c>
      <c r="EK7">
        <v>6.6081756480245741E-3</v>
      </c>
      <c r="EL7">
        <v>2.5574964971254294E-2</v>
      </c>
      <c r="EM7">
        <v>-3.1972874190580765E-2</v>
      </c>
      <c r="EN7">
        <v>0.20235409988312839</v>
      </c>
      <c r="EO7">
        <v>5.2099232878030345E-2</v>
      </c>
      <c r="EP7">
        <v>-6.5904697160844962E-3</v>
      </c>
      <c r="EQ7">
        <v>-8.2763887467944951E-3</v>
      </c>
      <c r="ER7">
        <v>-6.561124530205438E-2</v>
      </c>
      <c r="ES7">
        <v>6.7152537932145873E-2</v>
      </c>
      <c r="ET7">
        <v>-3.6532021509603482E-2</v>
      </c>
      <c r="EU7">
        <v>6.380854751882202E-2</v>
      </c>
      <c r="EV7">
        <v>2.6763312702033359E-2</v>
      </c>
      <c r="EW7">
        <v>-0.14807233882618276</v>
      </c>
      <c r="EX7">
        <v>-7.1100374253932896E-2</v>
      </c>
      <c r="EY7">
        <v>0.49448019941769877</v>
      </c>
      <c r="EZ7">
        <v>0.21562533309171097</v>
      </c>
      <c r="FA7">
        <v>-9.8690282206418463E-5</v>
      </c>
      <c r="FB7">
        <v>-6.5699661824270339E-2</v>
      </c>
      <c r="FC7">
        <v>1.7883948707831256E-2</v>
      </c>
      <c r="FD7">
        <v>1.131740358583967E-2</v>
      </c>
      <c r="FE7">
        <v>4.3574780895885415E-2</v>
      </c>
      <c r="FF7">
        <v>-0.27434040390801662</v>
      </c>
      <c r="FG7">
        <v>2.0097409844558906E-2</v>
      </c>
      <c r="FH7">
        <v>0.28166281013345912</v>
      </c>
      <c r="FI7">
        <v>0.12870746729055652</v>
      </c>
      <c r="FJ7">
        <v>0.52256972692149195</v>
      </c>
      <c r="FK7">
        <v>-0.10540419178000299</v>
      </c>
      <c r="FL7">
        <v>6.6233444421377852E-2</v>
      </c>
      <c r="FM7">
        <v>-3.1352316857617135E-2</v>
      </c>
    </row>
    <row r="8" spans="1:169" x14ac:dyDescent="0.25">
      <c r="B8">
        <v>8.1569749999999996E-2</v>
      </c>
      <c r="C8">
        <v>-0.21364916273584905</v>
      </c>
      <c r="D8">
        <v>0.3949344174528302</v>
      </c>
      <c r="E8">
        <v>0.44761389386792455</v>
      </c>
      <c r="F8">
        <v>0.34680850707547167</v>
      </c>
      <c r="G8">
        <v>0.22896892688679243</v>
      </c>
      <c r="H8">
        <v>1.5974259764150942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1.5974259764150942</v>
      </c>
      <c r="AX8">
        <v>0.40849158018867926</v>
      </c>
      <c r="AY8">
        <v>0.4813208160377358</v>
      </c>
      <c r="AZ8">
        <v>-7.2897514150943393E-2</v>
      </c>
      <c r="BA8">
        <v>0.12105920518867924</v>
      </c>
      <c r="BB8">
        <v>0.63540725235849049</v>
      </c>
      <c r="BC8">
        <v>0.26142719103773582</v>
      </c>
      <c r="BD8">
        <v>0.18848679716981132</v>
      </c>
      <c r="BE8">
        <v>0.1050512358490566</v>
      </c>
      <c r="BF8">
        <v>0.19222494339622639</v>
      </c>
      <c r="BG8">
        <v>0.38739332783018859</v>
      </c>
      <c r="BH8">
        <v>0.31371295283018863</v>
      </c>
      <c r="BI8">
        <v>0.32769440566037733</v>
      </c>
      <c r="BJ8">
        <v>0.105233304245283</v>
      </c>
      <c r="BK8">
        <v>0.13151348584905662</v>
      </c>
      <c r="BL8">
        <v>0.36976095754716987</v>
      </c>
      <c r="BM8">
        <v>0.23811404009433959</v>
      </c>
      <c r="BN8">
        <v>0.1825354858490566</v>
      </c>
      <c r="BO8">
        <v>0.28286254009433959</v>
      </c>
      <c r="BP8">
        <v>0.35839523349056607</v>
      </c>
      <c r="BQ8">
        <v>0.10075386084905658</v>
      </c>
      <c r="BR8">
        <v>0.29127638443396231</v>
      </c>
      <c r="BS8">
        <v>0.22276373820754714</v>
      </c>
      <c r="BT8">
        <v>9.0774139150943386E-2</v>
      </c>
      <c r="BU8">
        <v>0.20802043867924527</v>
      </c>
      <c r="BV8">
        <v>0.2136582948113207</v>
      </c>
      <c r="BW8">
        <v>0.2383032075471698</v>
      </c>
      <c r="BX8">
        <v>0.17380108726415094</v>
      </c>
      <c r="BY8">
        <v>1.5599051886792458E-2</v>
      </c>
      <c r="BZ8">
        <v>0.19514112028301886</v>
      </c>
      <c r="CA8">
        <v>0.41281798584905655</v>
      </c>
      <c r="CB8">
        <v>0.1521812146226415</v>
      </c>
      <c r="CC8">
        <v>4.9081679245283019E-2</v>
      </c>
      <c r="CJ8">
        <v>8.1569749999999996E-2</v>
      </c>
      <c r="CK8">
        <v>-0.21364916273584905</v>
      </c>
      <c r="CL8">
        <v>0.3949344174528302</v>
      </c>
      <c r="CM8">
        <v>0.44761389386792455</v>
      </c>
      <c r="CN8">
        <v>0.34680850707547167</v>
      </c>
      <c r="CO8">
        <v>0.22896892688679243</v>
      </c>
      <c r="CP8">
        <v>1.5974259764150942</v>
      </c>
      <c r="CQ8">
        <v>0.40849158018867926</v>
      </c>
      <c r="CR8">
        <v>0.4813208160377358</v>
      </c>
      <c r="CS8">
        <v>-7.2897514150943393E-2</v>
      </c>
      <c r="CT8">
        <v>0.12105920518867924</v>
      </c>
      <c r="CU8">
        <v>0.63540725235849049</v>
      </c>
      <c r="CV8">
        <v>0.26142719103773582</v>
      </c>
      <c r="CW8">
        <v>0.18848679716981132</v>
      </c>
      <c r="CX8">
        <v>0.1050512358490566</v>
      </c>
      <c r="CY8">
        <v>0.19222494339622639</v>
      </c>
      <c r="CZ8">
        <v>0.38739332783018859</v>
      </c>
      <c r="DA8">
        <v>0.31371295283018863</v>
      </c>
      <c r="DB8">
        <v>0.32769440566037733</v>
      </c>
      <c r="DC8">
        <v>0.105233304245283</v>
      </c>
      <c r="DD8">
        <v>0.13151348584905662</v>
      </c>
      <c r="DE8">
        <v>0.36976095754716987</v>
      </c>
      <c r="DF8">
        <v>0.23811404009433959</v>
      </c>
      <c r="DG8">
        <v>0.1825354858490566</v>
      </c>
      <c r="DH8">
        <v>0.28286254009433959</v>
      </c>
      <c r="DI8">
        <v>0.35839523349056607</v>
      </c>
      <c r="DJ8">
        <v>0.10075386084905658</v>
      </c>
      <c r="DK8">
        <v>0.29127638443396231</v>
      </c>
      <c r="DL8">
        <v>0.22276373820754714</v>
      </c>
      <c r="DM8">
        <v>9.0774139150943386E-2</v>
      </c>
      <c r="DN8">
        <v>0.20802043867924527</v>
      </c>
      <c r="DO8">
        <v>0.2136582948113207</v>
      </c>
      <c r="DP8">
        <v>0.2383032075471698</v>
      </c>
      <c r="DQ8">
        <v>0.17380108726415094</v>
      </c>
      <c r="DR8">
        <v>1.5599051886792458E-2</v>
      </c>
      <c r="DS8">
        <v>0.19514112028301886</v>
      </c>
      <c r="DT8">
        <v>0.41281798584905655</v>
      </c>
      <c r="DU8">
        <v>0.1521812146226415</v>
      </c>
      <c r="DV8">
        <v>4.9081679245283019E-2</v>
      </c>
      <c r="DZ8">
        <v>2.5140368277438063</v>
      </c>
      <c r="EA8">
        <v>-3.5319937386773755E-2</v>
      </c>
      <c r="EB8">
        <v>7.659253780902606E-3</v>
      </c>
      <c r="EC8">
        <v>-0.31602111306316694</v>
      </c>
      <c r="ED8">
        <v>-8.3399212769253869E-2</v>
      </c>
      <c r="EE8">
        <v>-6.6073388757680276E-2</v>
      </c>
      <c r="EF8">
        <v>-0.1145614986374292</v>
      </c>
      <c r="EG8">
        <v>-6.7882812394880587E-2</v>
      </c>
      <c r="EH8">
        <v>-0.15804659450165587</v>
      </c>
      <c r="EI8">
        <v>-0.10411690342655154</v>
      </c>
      <c r="EJ8">
        <v>-4.4600795418378011E-2</v>
      </c>
      <c r="EK8">
        <v>-9.1889078356865522E-2</v>
      </c>
      <c r="EL8">
        <v>-0.1275806363820518</v>
      </c>
      <c r="EM8">
        <v>-0.11579682289522236</v>
      </c>
      <c r="EN8">
        <v>0.15872079172254355</v>
      </c>
      <c r="EO8">
        <v>0.10680569947881656</v>
      </c>
      <c r="EP8">
        <v>4.3255665049165379E-2</v>
      </c>
      <c r="EQ8">
        <v>6.171123669041715E-4</v>
      </c>
      <c r="ER8">
        <v>3.6924980537517783E-2</v>
      </c>
      <c r="ES8">
        <v>1.3729796591586008E-2</v>
      </c>
      <c r="ET8">
        <v>4.1435643246891952E-2</v>
      </c>
      <c r="EU8">
        <v>9.8642482631140047E-2</v>
      </c>
      <c r="EV8">
        <v>0.10111495176164587</v>
      </c>
      <c r="EW8">
        <v>-1.6159774618238774E-2</v>
      </c>
      <c r="EX8">
        <v>8.524090916156056E-2</v>
      </c>
      <c r="EY8">
        <v>-0.31677985599241026</v>
      </c>
      <c r="EZ8">
        <v>0.19347732849144061</v>
      </c>
      <c r="FA8">
        <v>-1.6173659247847048E-2</v>
      </c>
      <c r="FB8">
        <v>0.36973806928935499</v>
      </c>
      <c r="FC8">
        <v>-4.3297963089642941E-2</v>
      </c>
      <c r="FD8">
        <v>-5.9494056760427988E-2</v>
      </c>
      <c r="FE8">
        <v>-6.6778721955702572E-2</v>
      </c>
      <c r="FF8">
        <v>0.56124012514438693</v>
      </c>
      <c r="FG8">
        <v>7.9936757021330143E-2</v>
      </c>
      <c r="FH8">
        <v>7.5988098351406533E-2</v>
      </c>
      <c r="FI8">
        <v>-2.6210518863557145E-2</v>
      </c>
      <c r="FJ8">
        <v>0.32764322925356049</v>
      </c>
      <c r="FK8">
        <v>-3.2568784669013626E-2</v>
      </c>
      <c r="FL8">
        <v>-5.7438676382192966E-3</v>
      </c>
      <c r="FM8">
        <v>-6.0842214135624031E-2</v>
      </c>
    </row>
    <row r="9" spans="1:169" x14ac:dyDescent="0.25">
      <c r="B9">
        <v>0.22559867688679242</v>
      </c>
      <c r="C9">
        <v>0.24784202830188679</v>
      </c>
      <c r="D9">
        <v>0.68021466037735845</v>
      </c>
      <c r="E9">
        <v>0.86293524528301879</v>
      </c>
      <c r="F9">
        <v>0.60695180188679243</v>
      </c>
      <c r="G9">
        <v>0.39104660849056599</v>
      </c>
      <c r="H9">
        <v>0.40849158018867926</v>
      </c>
      <c r="I9">
        <v>1.1652556627358488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1.1652556627358488</v>
      </c>
      <c r="AY9">
        <v>0.90378074056603763</v>
      </c>
      <c r="AZ9">
        <v>0.44316238207547165</v>
      </c>
      <c r="BA9">
        <v>0.57732053537735839</v>
      </c>
      <c r="BB9">
        <v>0.48548011792452828</v>
      </c>
      <c r="BC9">
        <v>0.24046815566037735</v>
      </c>
      <c r="BD9">
        <v>0.12343860613207547</v>
      </c>
      <c r="BE9">
        <v>0.15237618396226416</v>
      </c>
      <c r="BF9">
        <v>0.26396185377358489</v>
      </c>
      <c r="BG9">
        <v>0.59750796226415082</v>
      </c>
      <c r="BH9">
        <v>0.44758381132075464</v>
      </c>
      <c r="BI9">
        <v>0.49769340330188672</v>
      </c>
      <c r="BJ9">
        <v>0.12290311792452829</v>
      </c>
      <c r="BK9">
        <v>-0.18243470047169813</v>
      </c>
      <c r="BL9">
        <v>0.43360889386792456</v>
      </c>
      <c r="BM9">
        <v>4.5434917452830174E-2</v>
      </c>
      <c r="BN9">
        <v>0.29975694339622638</v>
      </c>
      <c r="BO9">
        <v>0.48153019811320752</v>
      </c>
      <c r="BP9">
        <v>0.53006509905660371</v>
      </c>
      <c r="BQ9">
        <v>0.2547504575471698</v>
      </c>
      <c r="BR9">
        <v>0.40393194575471697</v>
      </c>
      <c r="BS9">
        <v>0.37964888679245279</v>
      </c>
      <c r="BT9">
        <v>0.15812723820754715</v>
      </c>
      <c r="BU9">
        <v>0.32298137264150939</v>
      </c>
      <c r="BV9">
        <v>0.35892671462264147</v>
      </c>
      <c r="BW9">
        <v>0.45168982311320749</v>
      </c>
      <c r="BX9">
        <v>0.16837669103773584</v>
      </c>
      <c r="BY9">
        <v>0.2643360047169811</v>
      </c>
      <c r="BZ9">
        <v>0.16185360141509431</v>
      </c>
      <c r="CA9">
        <v>0.56501082783018863</v>
      </c>
      <c r="CB9">
        <v>0.24126435377358488</v>
      </c>
      <c r="CC9">
        <v>3.4589143867924527E-2</v>
      </c>
      <c r="CJ9">
        <v>0.22559867688679242</v>
      </c>
      <c r="CK9">
        <v>0.24784202830188679</v>
      </c>
      <c r="CL9">
        <v>0.68021466037735845</v>
      </c>
      <c r="CM9">
        <v>0.86293524528301879</v>
      </c>
      <c r="CN9">
        <v>0.60695180188679243</v>
      </c>
      <c r="CO9">
        <v>0.39104660849056599</v>
      </c>
      <c r="CP9">
        <v>0.40849158018867926</v>
      </c>
      <c r="CQ9">
        <v>1.1652556627358488</v>
      </c>
      <c r="CR9">
        <v>0.90378074056603763</v>
      </c>
      <c r="CS9">
        <v>0.44316238207547165</v>
      </c>
      <c r="CT9">
        <v>0.57732053537735839</v>
      </c>
      <c r="CU9">
        <v>0.48548011792452828</v>
      </c>
      <c r="CV9">
        <v>0.24046815566037735</v>
      </c>
      <c r="CW9">
        <v>0.12343860613207547</v>
      </c>
      <c r="CX9">
        <v>0.15237618396226416</v>
      </c>
      <c r="CY9">
        <v>0.26396185377358489</v>
      </c>
      <c r="CZ9">
        <v>0.59750796226415082</v>
      </c>
      <c r="DA9">
        <v>0.44758381132075464</v>
      </c>
      <c r="DB9">
        <v>0.49769340330188672</v>
      </c>
      <c r="DC9">
        <v>0.12290311792452829</v>
      </c>
      <c r="DD9">
        <v>-0.18243470047169813</v>
      </c>
      <c r="DE9">
        <v>0.43360889386792456</v>
      </c>
      <c r="DF9">
        <v>4.5434917452830174E-2</v>
      </c>
      <c r="DG9">
        <v>0.29975694339622638</v>
      </c>
      <c r="DH9">
        <v>0.48153019811320752</v>
      </c>
      <c r="DI9">
        <v>0.53006509905660371</v>
      </c>
      <c r="DJ9">
        <v>0.2547504575471698</v>
      </c>
      <c r="DK9">
        <v>0.40393194575471697</v>
      </c>
      <c r="DL9">
        <v>0.37964888679245279</v>
      </c>
      <c r="DM9">
        <v>0.15812723820754715</v>
      </c>
      <c r="DN9">
        <v>0.32298137264150939</v>
      </c>
      <c r="DO9">
        <v>0.35892671462264147</v>
      </c>
      <c r="DP9">
        <v>0.45168982311320749</v>
      </c>
      <c r="DQ9">
        <v>0.16837669103773584</v>
      </c>
      <c r="DR9">
        <v>0.2643360047169811</v>
      </c>
      <c r="DS9">
        <v>0.16185360141509431</v>
      </c>
      <c r="DT9">
        <v>0.56501082783018863</v>
      </c>
      <c r="DU9">
        <v>0.24126435377358488</v>
      </c>
      <c r="DV9">
        <v>3.4589143867924527E-2</v>
      </c>
      <c r="DZ9">
        <v>2.0016139792573382</v>
      </c>
      <c r="EA9">
        <v>-2.400489873597933E-2</v>
      </c>
      <c r="EB9">
        <v>-0.26111447167660129</v>
      </c>
      <c r="EC9">
        <v>-0.17230506860679559</v>
      </c>
      <c r="ED9">
        <v>0.22415169867092244</v>
      </c>
      <c r="EE9">
        <v>-0.11152572127855891</v>
      </c>
      <c r="EF9">
        <v>-2.5910490372590175E-2</v>
      </c>
      <c r="EG9">
        <v>0.61884501276643755</v>
      </c>
      <c r="EH9">
        <v>0.3414013296164633</v>
      </c>
      <c r="EI9">
        <v>-4.6011736528744358E-2</v>
      </c>
      <c r="EJ9">
        <v>-0.16907758023393152</v>
      </c>
      <c r="EK9">
        <v>6.6102059305068114E-2</v>
      </c>
      <c r="EL9">
        <v>7.7959530511705066E-2</v>
      </c>
      <c r="EM9">
        <v>0.1657559760346077</v>
      </c>
      <c r="EN9">
        <v>-7.0610964345221974E-2</v>
      </c>
      <c r="EO9">
        <v>-0.11496706377512249</v>
      </c>
      <c r="EP9">
        <v>-1.9382876930553718E-2</v>
      </c>
      <c r="EQ9">
        <v>1.3053233537101272E-2</v>
      </c>
      <c r="ER9">
        <v>3.9886001480043787E-2</v>
      </c>
      <c r="ES9">
        <v>-0.15529839565696943</v>
      </c>
      <c r="ET9">
        <v>-9.9843306064740373E-2</v>
      </c>
      <c r="EU9">
        <v>-0.14169486743743578</v>
      </c>
      <c r="EV9">
        <v>-0.13694448408043722</v>
      </c>
      <c r="EW9">
        <v>-0.24815458126689088</v>
      </c>
      <c r="EX9">
        <v>-4.4398404258504158E-2</v>
      </c>
      <c r="EY9">
        <v>8.6522178542760161E-2</v>
      </c>
      <c r="EZ9">
        <v>6.7087265171535834E-2</v>
      </c>
      <c r="FA9">
        <v>-1.9543663719751355E-2</v>
      </c>
      <c r="FB9">
        <v>0.2292305843550769</v>
      </c>
      <c r="FC9">
        <v>3.1574237170871569E-3</v>
      </c>
      <c r="FD9">
        <v>1.41718446904705E-2</v>
      </c>
      <c r="FE9">
        <v>-4.9425941656744809E-3</v>
      </c>
      <c r="FF9">
        <v>0.13648270841337728</v>
      </c>
      <c r="FG9">
        <v>-2.6154809060354414E-2</v>
      </c>
      <c r="FH9">
        <v>-3.4384296162726334E-3</v>
      </c>
      <c r="FI9">
        <v>-6.5014249171577596E-2</v>
      </c>
      <c r="FJ9">
        <v>-2.8903418943815755E-2</v>
      </c>
      <c r="FK9">
        <v>0.14918308037915462</v>
      </c>
      <c r="FL9">
        <v>-3.2689710352752109E-2</v>
      </c>
      <c r="FM9">
        <v>1.9488542969928187E-2</v>
      </c>
    </row>
    <row r="10" spans="1:169" x14ac:dyDescent="0.25">
      <c r="B10">
        <v>0.3535258089622641</v>
      </c>
      <c r="C10">
        <v>0.60701965801886792</v>
      </c>
      <c r="D10">
        <v>1.1813304410377359</v>
      </c>
      <c r="E10">
        <v>0.81851635613207541</v>
      </c>
      <c r="F10">
        <v>1.4997597641509433</v>
      </c>
      <c r="G10">
        <v>0.70221950943396216</v>
      </c>
      <c r="H10">
        <v>0.4813208160377358</v>
      </c>
      <c r="I10">
        <v>0.90378074056603763</v>
      </c>
      <c r="J10">
        <v>1.9305215990566036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1.9305215990566036</v>
      </c>
      <c r="AZ10">
        <v>0.82516554952830168</v>
      </c>
      <c r="BA10">
        <v>0.67995883254716971</v>
      </c>
      <c r="BB10">
        <v>0.88895915801886782</v>
      </c>
      <c r="BC10">
        <v>0.42500790330188676</v>
      </c>
      <c r="BD10">
        <v>0.37625015566037734</v>
      </c>
      <c r="BE10">
        <v>0.46437726650943389</v>
      </c>
      <c r="BF10">
        <v>0.47260973113207549</v>
      </c>
      <c r="BG10">
        <v>1.0613612995283019</v>
      </c>
      <c r="BH10">
        <v>0.80102240566037741</v>
      </c>
      <c r="BI10">
        <v>0.94529377594339625</v>
      </c>
      <c r="BJ10">
        <v>0.26665282547169805</v>
      </c>
      <c r="BK10">
        <v>0.15670271226415092</v>
      </c>
      <c r="BL10">
        <v>0.98673460141509439</v>
      </c>
      <c r="BM10">
        <v>1.0922759386792451</v>
      </c>
      <c r="BN10">
        <v>0.68914961320754708</v>
      </c>
      <c r="BO10">
        <v>0.37454517452830183</v>
      </c>
      <c r="BP10">
        <v>0.80107376650943396</v>
      </c>
      <c r="BQ10">
        <v>0.44013779952830179</v>
      </c>
      <c r="BR10">
        <v>0.66188904716981123</v>
      </c>
      <c r="BS10">
        <v>0.6493562311320753</v>
      </c>
      <c r="BT10">
        <v>0.24153839150943396</v>
      </c>
      <c r="BU10">
        <v>0.5756433183962264</v>
      </c>
      <c r="BV10">
        <v>0.5925571863207546</v>
      </c>
      <c r="BW10">
        <v>0.78977022877358483</v>
      </c>
      <c r="BX10">
        <v>0.26715795518867924</v>
      </c>
      <c r="BY10">
        <v>0.42835864858490569</v>
      </c>
      <c r="BZ10">
        <v>0.32311587971698108</v>
      </c>
      <c r="CA10">
        <v>1.0332105212264149</v>
      </c>
      <c r="CB10">
        <v>0.47152163207547165</v>
      </c>
      <c r="CC10">
        <v>3.2977981132075465E-2</v>
      </c>
      <c r="CJ10">
        <v>0.3535258089622641</v>
      </c>
      <c r="CK10">
        <v>0.60701965801886792</v>
      </c>
      <c r="CL10">
        <v>1.1813304410377359</v>
      </c>
      <c r="CM10">
        <v>0.81851635613207541</v>
      </c>
      <c r="CN10">
        <v>1.4997597641509433</v>
      </c>
      <c r="CO10">
        <v>0.70221950943396216</v>
      </c>
      <c r="CP10">
        <v>0.4813208160377358</v>
      </c>
      <c r="CQ10">
        <v>0.90378074056603763</v>
      </c>
      <c r="CR10">
        <v>1.9305215990566036</v>
      </c>
      <c r="CS10">
        <v>0.82516554952830168</v>
      </c>
      <c r="CT10">
        <v>0.67995883254716971</v>
      </c>
      <c r="CU10">
        <v>0.88895915801886782</v>
      </c>
      <c r="CV10">
        <v>0.42500790330188676</v>
      </c>
      <c r="CW10">
        <v>0.37625015566037734</v>
      </c>
      <c r="CX10">
        <v>0.46437726650943389</v>
      </c>
      <c r="CY10">
        <v>0.47260973113207549</v>
      </c>
      <c r="CZ10">
        <v>1.0613612995283019</v>
      </c>
      <c r="DA10">
        <v>0.80102240566037741</v>
      </c>
      <c r="DB10">
        <v>0.94529377594339625</v>
      </c>
      <c r="DC10">
        <v>0.26665282547169805</v>
      </c>
      <c r="DD10">
        <v>0.15670271226415092</v>
      </c>
      <c r="DE10">
        <v>0.98673460141509439</v>
      </c>
      <c r="DF10">
        <v>1.0922759386792451</v>
      </c>
      <c r="DG10">
        <v>0.68914961320754708</v>
      </c>
      <c r="DH10">
        <v>0.37454517452830183</v>
      </c>
      <c r="DI10">
        <v>0.80107376650943396</v>
      </c>
      <c r="DJ10">
        <v>0.44013779952830179</v>
      </c>
      <c r="DK10">
        <v>0.66188904716981123</v>
      </c>
      <c r="DL10">
        <v>0.6493562311320753</v>
      </c>
      <c r="DM10">
        <v>0.24153839150943396</v>
      </c>
      <c r="DN10">
        <v>0.5756433183962264</v>
      </c>
      <c r="DO10">
        <v>0.5925571863207546</v>
      </c>
      <c r="DP10">
        <v>0.78977022877358483</v>
      </c>
      <c r="DQ10">
        <v>0.26715795518867924</v>
      </c>
      <c r="DR10">
        <v>0.42835864858490569</v>
      </c>
      <c r="DS10">
        <v>0.32311587971698108</v>
      </c>
      <c r="DT10">
        <v>1.0332105212264149</v>
      </c>
      <c r="DU10">
        <v>0.47152163207547165</v>
      </c>
      <c r="DV10">
        <v>3.2977981132075465E-2</v>
      </c>
      <c r="DZ10">
        <v>1.8791098530408692</v>
      </c>
      <c r="EA10">
        <v>-9.3825442832133371E-2</v>
      </c>
      <c r="EB10">
        <v>-0.33549766758884031</v>
      </c>
      <c r="EC10">
        <v>-0.4258129468037663</v>
      </c>
      <c r="ED10">
        <v>-0.12775250833034585</v>
      </c>
      <c r="EE10">
        <v>0.14893257764618487</v>
      </c>
      <c r="EF10">
        <v>-0.12202940253367303</v>
      </c>
      <c r="EG10">
        <v>0.27665231457634692</v>
      </c>
      <c r="EH10">
        <v>-8.5780708043782239E-2</v>
      </c>
      <c r="EI10">
        <v>0.24177254884746124</v>
      </c>
      <c r="EJ10">
        <v>0.10714105775040769</v>
      </c>
      <c r="EK10">
        <v>-0.11800732158482787</v>
      </c>
      <c r="EL10">
        <v>4.4225947714486215E-2</v>
      </c>
      <c r="EM10">
        <v>-5.19895482048984E-2</v>
      </c>
      <c r="EN10">
        <v>0.17206658242184117</v>
      </c>
      <c r="EO10">
        <v>0.15359879330918416</v>
      </c>
      <c r="EP10">
        <v>-3.8495530977717254E-2</v>
      </c>
      <c r="EQ10">
        <v>-0.10035918616723563</v>
      </c>
      <c r="ER10">
        <v>-5.1927080668623185E-2</v>
      </c>
      <c r="ES10">
        <v>0.28399743063165006</v>
      </c>
      <c r="ET10">
        <v>-1.0554426034857895E-2</v>
      </c>
      <c r="EU10">
        <v>3.4240243578937096E-2</v>
      </c>
      <c r="EV10">
        <v>0.11264629310231465</v>
      </c>
      <c r="EW10">
        <v>0.3530798595560195</v>
      </c>
      <c r="EX10">
        <v>4.8542301437687042E-2</v>
      </c>
      <c r="EY10">
        <v>2.9936213992147541E-2</v>
      </c>
      <c r="EZ10">
        <v>5.2989739514682803E-3</v>
      </c>
      <c r="FA10">
        <v>-5.4229238986410015E-2</v>
      </c>
      <c r="FB10">
        <v>0.11104050297557137</v>
      </c>
      <c r="FC10">
        <v>-3.105588514381041E-2</v>
      </c>
      <c r="FD10">
        <v>-8.4568444189418929E-4</v>
      </c>
      <c r="FE10">
        <v>-4.9276548386389873E-3</v>
      </c>
      <c r="FF10">
        <v>-0.34200978128208553</v>
      </c>
      <c r="FG10">
        <v>0.13211180346491216</v>
      </c>
      <c r="FH10">
        <v>-9.9105367739912409E-2</v>
      </c>
      <c r="FI10">
        <v>4.78259943669955E-2</v>
      </c>
      <c r="FJ10">
        <v>-9.4272138904706149E-2</v>
      </c>
      <c r="FK10">
        <v>-8.5242774542237651E-2</v>
      </c>
      <c r="FL10">
        <v>4.9813459244850408E-2</v>
      </c>
      <c r="FM10">
        <v>-8.0067658937447456E-3</v>
      </c>
    </row>
    <row r="11" spans="1:169" x14ac:dyDescent="0.25">
      <c r="B11">
        <v>0.26921204716981129</v>
      </c>
      <c r="C11">
        <v>0.41966795047169808</v>
      </c>
      <c r="D11">
        <v>0.82781401179245273</v>
      </c>
      <c r="E11">
        <v>0.5627564150943396</v>
      </c>
      <c r="F11">
        <v>0.65674392924528291</v>
      </c>
      <c r="G11">
        <v>0.51267505896226417</v>
      </c>
      <c r="H11">
        <v>-7.2897514150943393E-2</v>
      </c>
      <c r="I11">
        <v>0.44316238207547165</v>
      </c>
      <c r="J11">
        <v>0.82516554952830168</v>
      </c>
      <c r="K11">
        <v>4.3799370849056611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4.3799370849056611</v>
      </c>
      <c r="BA11">
        <v>0.58111360849056592</v>
      </c>
      <c r="BB11">
        <v>0.57732068160377359</v>
      </c>
      <c r="BC11">
        <v>2.6245006745283015</v>
      </c>
      <c r="BD11">
        <v>1.2663944575471697</v>
      </c>
      <c r="BE11">
        <v>0.51119209198113191</v>
      </c>
      <c r="BF11">
        <v>0.4638592924528302</v>
      </c>
      <c r="BG11">
        <v>0.94422141273584903</v>
      </c>
      <c r="BH11">
        <v>0.71819910849056601</v>
      </c>
      <c r="BI11">
        <v>0.69010062971698094</v>
      </c>
      <c r="BJ11">
        <v>0.198949429245283</v>
      </c>
      <c r="BK11">
        <v>0.27462166745283012</v>
      </c>
      <c r="BL11">
        <v>0.91094780424528299</v>
      </c>
      <c r="BM11">
        <v>0.44374872641509427</v>
      </c>
      <c r="BN11">
        <v>0.46235223584905655</v>
      </c>
      <c r="BO11">
        <v>0.76097990094339618</v>
      </c>
      <c r="BP11">
        <v>0.82114020754716976</v>
      </c>
      <c r="BQ11">
        <v>0.39351873113207547</v>
      </c>
      <c r="BR11">
        <v>0.60179650943396212</v>
      </c>
      <c r="BS11">
        <v>0.50826013915094337</v>
      </c>
      <c r="BT11">
        <v>0.27369148349056605</v>
      </c>
      <c r="BU11">
        <v>0.57499104952830171</v>
      </c>
      <c r="BV11">
        <v>0.56287128537735842</v>
      </c>
      <c r="BW11">
        <v>0.62944683490566034</v>
      </c>
      <c r="BX11">
        <v>0.44699003066037729</v>
      </c>
      <c r="BY11">
        <v>-1.9317824056603774</v>
      </c>
      <c r="BZ11">
        <v>0.45298988915094335</v>
      </c>
      <c r="CA11">
        <v>1.0504408372641509</v>
      </c>
      <c r="CB11">
        <v>0.39534726886792454</v>
      </c>
      <c r="CC11">
        <v>0.16108059198113206</v>
      </c>
      <c r="CJ11">
        <v>0.26921204716981129</v>
      </c>
      <c r="CK11">
        <v>0.41966795047169808</v>
      </c>
      <c r="CL11">
        <v>0.82781401179245273</v>
      </c>
      <c r="CM11">
        <v>0.5627564150943396</v>
      </c>
      <c r="CN11">
        <v>0.65674392924528291</v>
      </c>
      <c r="CO11">
        <v>0.51267505896226417</v>
      </c>
      <c r="CP11">
        <v>-7.2897514150943393E-2</v>
      </c>
      <c r="CQ11">
        <v>0.44316238207547165</v>
      </c>
      <c r="CR11">
        <v>0.82516554952830168</v>
      </c>
      <c r="CS11">
        <v>4.3799370849056611</v>
      </c>
      <c r="CT11">
        <v>0.58111360849056592</v>
      </c>
      <c r="CU11">
        <v>0.57732068160377359</v>
      </c>
      <c r="CV11">
        <v>2.6245006745283015</v>
      </c>
      <c r="CW11">
        <v>1.2663944575471697</v>
      </c>
      <c r="CX11">
        <v>0.51119209198113191</v>
      </c>
      <c r="CY11">
        <v>0.4638592924528302</v>
      </c>
      <c r="CZ11">
        <v>0.94422141273584903</v>
      </c>
      <c r="DA11">
        <v>0.71819910849056601</v>
      </c>
      <c r="DB11">
        <v>0.69010062971698094</v>
      </c>
      <c r="DC11">
        <v>0.198949429245283</v>
      </c>
      <c r="DD11">
        <v>0.27462166745283012</v>
      </c>
      <c r="DE11">
        <v>0.91094780424528299</v>
      </c>
      <c r="DF11">
        <v>0.44374872641509427</v>
      </c>
      <c r="DG11">
        <v>0.46235223584905655</v>
      </c>
      <c r="DH11">
        <v>0.76097990094339618</v>
      </c>
      <c r="DI11">
        <v>0.82114020754716976</v>
      </c>
      <c r="DJ11">
        <v>0.39351873113207547</v>
      </c>
      <c r="DK11">
        <v>0.60179650943396212</v>
      </c>
      <c r="DL11">
        <v>0.50826013915094337</v>
      </c>
      <c r="DM11">
        <v>0.27369148349056605</v>
      </c>
      <c r="DN11">
        <v>0.57499104952830171</v>
      </c>
      <c r="DO11">
        <v>0.56287128537735842</v>
      </c>
      <c r="DP11">
        <v>0.62944683490566034</v>
      </c>
      <c r="DQ11">
        <v>0.44699003066037729</v>
      </c>
      <c r="DR11">
        <v>-1.9317824056603774</v>
      </c>
      <c r="DS11">
        <v>0.45298988915094335</v>
      </c>
      <c r="DT11">
        <v>1.0504408372641509</v>
      </c>
      <c r="DU11">
        <v>0.39534726886792454</v>
      </c>
      <c r="DV11">
        <v>0.16108059198113206</v>
      </c>
      <c r="DZ11">
        <v>1.7545379970788118</v>
      </c>
      <c r="EA11">
        <v>1.7387437264425405E-3</v>
      </c>
      <c r="EB11">
        <v>0.14965605945795016</v>
      </c>
      <c r="EC11">
        <v>-0.26429867984759453</v>
      </c>
      <c r="ED11">
        <v>0.27868976273880885</v>
      </c>
      <c r="EE11">
        <v>0.1850526342965004</v>
      </c>
      <c r="EF11">
        <v>3.7608854063723794E-2</v>
      </c>
      <c r="EG11">
        <v>-0.35563339212853701</v>
      </c>
      <c r="EH11">
        <v>0.29105739274056985</v>
      </c>
      <c r="EI11">
        <v>0.13878595385127263</v>
      </c>
      <c r="EJ11">
        <v>0.10612672890394634</v>
      </c>
      <c r="EK11">
        <v>0.14690773242133928</v>
      </c>
      <c r="EL11">
        <v>-0.34307893851864296</v>
      </c>
      <c r="EM11">
        <v>-7.1826438761886977E-2</v>
      </c>
      <c r="EN11">
        <v>-7.2136455013055531E-2</v>
      </c>
      <c r="EO11">
        <v>-8.5396076220682293E-2</v>
      </c>
      <c r="EP11">
        <v>5.1792619953382635E-4</v>
      </c>
      <c r="EQ11">
        <v>-3.5603215735328368E-2</v>
      </c>
      <c r="ER11">
        <v>-1.5521932075521713E-2</v>
      </c>
      <c r="ES11">
        <v>8.9383677612171974E-2</v>
      </c>
      <c r="ET11">
        <v>-7.2217887637993161E-3</v>
      </c>
      <c r="EU11">
        <v>-0.25695357739717734</v>
      </c>
      <c r="EV11">
        <v>-0.19076808115539062</v>
      </c>
      <c r="EW11">
        <v>-6.9343285579485783E-2</v>
      </c>
      <c r="EX11">
        <v>-2.250275490501967E-2</v>
      </c>
      <c r="EY11">
        <v>0.11845492898092243</v>
      </c>
      <c r="EZ11">
        <v>-0.11782621457389973</v>
      </c>
      <c r="FA11">
        <v>3.563018502585362E-2</v>
      </c>
      <c r="FB11">
        <v>0.38991893073820427</v>
      </c>
      <c r="FC11">
        <v>-5.2817024749116002E-2</v>
      </c>
      <c r="FD11">
        <v>-1.6771181517919845E-2</v>
      </c>
      <c r="FE11">
        <v>-3.6317003262050652E-2</v>
      </c>
      <c r="FF11">
        <v>-0.22736729897962299</v>
      </c>
      <c r="FG11">
        <v>2.217658267708111E-2</v>
      </c>
      <c r="FH11">
        <v>7.9073855723668207E-2</v>
      </c>
      <c r="FI11">
        <v>4.7650490341515001E-2</v>
      </c>
      <c r="FJ11">
        <v>0.14907709853870457</v>
      </c>
      <c r="FK11">
        <v>-3.9635200064592431E-2</v>
      </c>
      <c r="FL11">
        <v>-4.0102419680491407E-2</v>
      </c>
      <c r="FM11">
        <v>-8.2204304153797564E-2</v>
      </c>
    </row>
    <row r="12" spans="1:169" x14ac:dyDescent="0.25">
      <c r="B12">
        <v>0.22315947641509432</v>
      </c>
      <c r="C12">
        <v>0.39101127594339624</v>
      </c>
      <c r="D12">
        <v>0.67492120518867926</v>
      </c>
      <c r="E12">
        <v>0.50464834669811309</v>
      </c>
      <c r="F12">
        <v>0.47408379952830182</v>
      </c>
      <c r="G12">
        <v>0.35875498584905663</v>
      </c>
      <c r="H12">
        <v>0.12105920518867924</v>
      </c>
      <c r="I12">
        <v>0.57732053537735839</v>
      </c>
      <c r="J12">
        <v>0.67995883254716971</v>
      </c>
      <c r="K12">
        <v>0.58111360849056592</v>
      </c>
      <c r="L12">
        <v>0.93412032075471696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0.93412032075471696</v>
      </c>
      <c r="BB12">
        <v>0.52069787264150924</v>
      </c>
      <c r="BC12">
        <v>0.32024628301886793</v>
      </c>
      <c r="BD12">
        <v>0.2017688797169811</v>
      </c>
      <c r="BE12">
        <v>8.2595198113207549E-2</v>
      </c>
      <c r="BF12">
        <v>0.35506841745283019</v>
      </c>
      <c r="BG12">
        <v>0.66452024292452827</v>
      </c>
      <c r="BH12">
        <v>0.44422565330188674</v>
      </c>
      <c r="BI12">
        <v>0.53090448584905658</v>
      </c>
      <c r="BJ12">
        <v>0.20759527122641508</v>
      </c>
      <c r="BK12">
        <v>0.15222810377358487</v>
      </c>
      <c r="BL12">
        <v>0.47322393396226409</v>
      </c>
      <c r="BM12">
        <v>0.21717602358490562</v>
      </c>
      <c r="BN12">
        <v>0.30545680424528293</v>
      </c>
      <c r="BO12">
        <v>0.571550787735849</v>
      </c>
      <c r="BP12">
        <v>0.57313740330188667</v>
      </c>
      <c r="BQ12">
        <v>0.30371273820754707</v>
      </c>
      <c r="BR12">
        <v>0.39433418867924519</v>
      </c>
      <c r="BS12">
        <v>0.35935314386792461</v>
      </c>
      <c r="BT12">
        <v>0.14509471933962265</v>
      </c>
      <c r="BU12">
        <v>0.33575246933962261</v>
      </c>
      <c r="BV12">
        <v>0.37999551179245278</v>
      </c>
      <c r="BW12">
        <v>0.45019290094339615</v>
      </c>
      <c r="BX12">
        <v>0.19098008018867921</v>
      </c>
      <c r="BY12">
        <v>0.33251181367924526</v>
      </c>
      <c r="BZ12">
        <v>0.16972961556603774</v>
      </c>
      <c r="CA12">
        <v>0.5989870094339621</v>
      </c>
      <c r="CB12">
        <v>0.24522093867924524</v>
      </c>
      <c r="CC12">
        <v>1.5766141509433968E-2</v>
      </c>
      <c r="CJ12">
        <v>0.22315947641509432</v>
      </c>
      <c r="CK12">
        <v>0.39101127594339624</v>
      </c>
      <c r="CL12">
        <v>0.67492120518867926</v>
      </c>
      <c r="CM12">
        <v>0.50464834669811309</v>
      </c>
      <c r="CN12">
        <v>0.47408379952830182</v>
      </c>
      <c r="CO12">
        <v>0.35875498584905663</v>
      </c>
      <c r="CP12">
        <v>0.12105920518867924</v>
      </c>
      <c r="CQ12">
        <v>0.57732053537735839</v>
      </c>
      <c r="CR12">
        <v>0.67995883254716971</v>
      </c>
      <c r="CS12">
        <v>0.58111360849056592</v>
      </c>
      <c r="CT12">
        <v>0.93412032075471696</v>
      </c>
      <c r="CU12">
        <v>0.52069787264150924</v>
      </c>
      <c r="CV12">
        <v>0.32024628301886793</v>
      </c>
      <c r="CW12">
        <v>0.2017688797169811</v>
      </c>
      <c r="CX12">
        <v>8.2595198113207549E-2</v>
      </c>
      <c r="CY12">
        <v>0.35506841745283019</v>
      </c>
      <c r="CZ12">
        <v>0.66452024292452827</v>
      </c>
      <c r="DA12">
        <v>0.44422565330188674</v>
      </c>
      <c r="DB12">
        <v>0.53090448584905658</v>
      </c>
      <c r="DC12">
        <v>0.20759527122641508</v>
      </c>
      <c r="DD12">
        <v>0.15222810377358487</v>
      </c>
      <c r="DE12">
        <v>0.47322393396226409</v>
      </c>
      <c r="DF12">
        <v>0.21717602358490562</v>
      </c>
      <c r="DG12">
        <v>0.30545680424528293</v>
      </c>
      <c r="DH12">
        <v>0.571550787735849</v>
      </c>
      <c r="DI12">
        <v>0.57313740330188667</v>
      </c>
      <c r="DJ12">
        <v>0.30371273820754707</v>
      </c>
      <c r="DK12">
        <v>0.39433418867924519</v>
      </c>
      <c r="DL12">
        <v>0.35935314386792461</v>
      </c>
      <c r="DM12">
        <v>0.14509471933962265</v>
      </c>
      <c r="DN12">
        <v>0.33575246933962261</v>
      </c>
      <c r="DO12">
        <v>0.37999551179245278</v>
      </c>
      <c r="DP12">
        <v>0.45019290094339615</v>
      </c>
      <c r="DQ12">
        <v>0.19098008018867921</v>
      </c>
      <c r="DR12">
        <v>0.33251181367924526</v>
      </c>
      <c r="DS12">
        <v>0.16972961556603774</v>
      </c>
      <c r="DT12">
        <v>0.5989870094339621</v>
      </c>
      <c r="DU12">
        <v>0.24522093867924524</v>
      </c>
      <c r="DV12">
        <v>1.5766141509433968E-2</v>
      </c>
      <c r="DZ12">
        <v>1.4822656223536022</v>
      </c>
      <c r="EA12">
        <v>-3.9480586862927346E-2</v>
      </c>
      <c r="EB12">
        <v>-0.30965766361569119</v>
      </c>
      <c r="EC12">
        <v>4.156289199957644E-2</v>
      </c>
      <c r="ED12">
        <v>2.9365501908312507E-2</v>
      </c>
      <c r="EE12">
        <v>-0.11271259436089912</v>
      </c>
      <c r="EF12">
        <v>-0.13683697868328262</v>
      </c>
      <c r="EG12">
        <v>-0.13133695870833376</v>
      </c>
      <c r="EH12">
        <v>0.23691507297961567</v>
      </c>
      <c r="EI12">
        <v>3.3057781337221551E-2</v>
      </c>
      <c r="EJ12">
        <v>0.23630249074619258</v>
      </c>
      <c r="EK12">
        <v>9.6653474059351666E-2</v>
      </c>
      <c r="EL12">
        <v>-3.9548061805297657E-2</v>
      </c>
      <c r="EM12">
        <v>-0.13165697850080241</v>
      </c>
      <c r="EN12">
        <v>-5.1731988147785081E-3</v>
      </c>
      <c r="EO12">
        <v>-4.5021491352116721E-2</v>
      </c>
      <c r="EP12">
        <v>-8.8547227992669578E-2</v>
      </c>
      <c r="EQ12">
        <v>-4.4011099468250527E-2</v>
      </c>
      <c r="ER12">
        <v>3.0762081662527214E-2</v>
      </c>
      <c r="ES12">
        <v>0.28111869193542249</v>
      </c>
      <c r="ET12">
        <v>-8.9328824833189255E-2</v>
      </c>
      <c r="EU12">
        <v>-0.28195228680256251</v>
      </c>
      <c r="EV12">
        <v>-0.22081921757625256</v>
      </c>
      <c r="EW12">
        <v>-6.3994097441626416E-2</v>
      </c>
      <c r="EX12">
        <v>-6.1764127402069713E-2</v>
      </c>
      <c r="EY12">
        <v>-0.18540741103317157</v>
      </c>
      <c r="EZ12">
        <v>0.23919617274514679</v>
      </c>
      <c r="FA12">
        <v>-5.3940950259316568E-3</v>
      </c>
      <c r="FB12">
        <v>-0.44551119848682685</v>
      </c>
      <c r="FC12">
        <v>0.10618700885546324</v>
      </c>
      <c r="FD12">
        <v>5.1155014649123046E-2</v>
      </c>
      <c r="FE12">
        <v>-2.4492729225058754E-2</v>
      </c>
      <c r="FF12">
        <v>0.20652887610602749</v>
      </c>
      <c r="FG12">
        <v>0.33581818672135139</v>
      </c>
      <c r="FH12">
        <v>1.5198432053383308E-2</v>
      </c>
      <c r="FI12">
        <v>8.409626221288756E-2</v>
      </c>
      <c r="FJ12">
        <v>2.7940939899298876E-2</v>
      </c>
      <c r="FK12">
        <v>-6.6755383362362725E-2</v>
      </c>
      <c r="FL12">
        <v>3.833938706363705E-2</v>
      </c>
      <c r="FM12">
        <v>1.4165005728863094E-3</v>
      </c>
    </row>
    <row r="13" spans="1:169" x14ac:dyDescent="0.25">
      <c r="B13">
        <v>0.23538402594339619</v>
      </c>
      <c r="C13">
        <v>0.49117255896226408</v>
      </c>
      <c r="D13">
        <v>1.0775110778301886</v>
      </c>
      <c r="E13">
        <v>0.58140999528301884</v>
      </c>
      <c r="F13">
        <v>0.65687069103773588</v>
      </c>
      <c r="G13">
        <v>0.50650006839622641</v>
      </c>
      <c r="H13">
        <v>0.63540725235849049</v>
      </c>
      <c r="I13">
        <v>0.48548011792452828</v>
      </c>
      <c r="J13">
        <v>0.88895915801886782</v>
      </c>
      <c r="K13">
        <v>0.57732068160377359</v>
      </c>
      <c r="L13">
        <v>0.52069787264150924</v>
      </c>
      <c r="M13">
        <v>1.4546117051886791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1.4546117051886791</v>
      </c>
      <c r="BC13">
        <v>0.42301649292452825</v>
      </c>
      <c r="BD13">
        <v>0.44653709669811315</v>
      </c>
      <c r="BE13">
        <v>0.40647640094339621</v>
      </c>
      <c r="BF13">
        <v>0.50309887264150932</v>
      </c>
      <c r="BG13">
        <v>0.9435791792452829</v>
      </c>
      <c r="BH13">
        <v>0.70315857547169813</v>
      </c>
      <c r="BI13">
        <v>0.78245961556603771</v>
      </c>
      <c r="BJ13">
        <v>0.2789653183962264</v>
      </c>
      <c r="BK13">
        <v>0.17565563443396223</v>
      </c>
      <c r="BL13">
        <v>0.98136838679245275</v>
      </c>
      <c r="BM13">
        <v>0.52387639622641502</v>
      </c>
      <c r="BN13">
        <v>0.47012117216981136</v>
      </c>
      <c r="BO13">
        <v>0.65220809433962257</v>
      </c>
      <c r="BP13">
        <v>0.72867352830188681</v>
      </c>
      <c r="BQ13">
        <v>0.22483677358490564</v>
      </c>
      <c r="BR13">
        <v>0.26494317924528299</v>
      </c>
      <c r="BS13">
        <v>0.48704364622641499</v>
      </c>
      <c r="BT13">
        <v>0.16635249764150944</v>
      </c>
      <c r="BU13">
        <v>0.47945390330188675</v>
      </c>
      <c r="BV13">
        <v>0.47927397877358491</v>
      </c>
      <c r="BW13">
        <v>0.58297403301886785</v>
      </c>
      <c r="BX13">
        <v>0.23713267452830183</v>
      </c>
      <c r="BY13">
        <v>0.22040583018867926</v>
      </c>
      <c r="BZ13">
        <v>0.31047670754716977</v>
      </c>
      <c r="CA13">
        <v>0.82337477358490552</v>
      </c>
      <c r="CB13">
        <v>0.39804525943396218</v>
      </c>
      <c r="CC13">
        <v>7.2262665094339623E-2</v>
      </c>
      <c r="CJ13">
        <v>0.23538402594339619</v>
      </c>
      <c r="CK13">
        <v>0.49117255896226408</v>
      </c>
      <c r="CL13">
        <v>1.0775110778301886</v>
      </c>
      <c r="CM13">
        <v>0.58140999528301884</v>
      </c>
      <c r="CN13">
        <v>0.65687069103773588</v>
      </c>
      <c r="CO13">
        <v>0.50650006839622641</v>
      </c>
      <c r="CP13">
        <v>0.63540725235849049</v>
      </c>
      <c r="CQ13">
        <v>0.48548011792452828</v>
      </c>
      <c r="CR13">
        <v>0.88895915801886782</v>
      </c>
      <c r="CS13">
        <v>0.57732068160377359</v>
      </c>
      <c r="CT13">
        <v>0.52069787264150924</v>
      </c>
      <c r="CU13">
        <v>1.4546117051886791</v>
      </c>
      <c r="CV13">
        <v>0.42301649292452825</v>
      </c>
      <c r="CW13">
        <v>0.44653709669811315</v>
      </c>
      <c r="CX13">
        <v>0.40647640094339621</v>
      </c>
      <c r="CY13">
        <v>0.50309887264150932</v>
      </c>
      <c r="CZ13">
        <v>0.9435791792452829</v>
      </c>
      <c r="DA13">
        <v>0.70315857547169813</v>
      </c>
      <c r="DB13">
        <v>0.78245961556603771</v>
      </c>
      <c r="DC13">
        <v>0.2789653183962264</v>
      </c>
      <c r="DD13">
        <v>0.17565563443396223</v>
      </c>
      <c r="DE13">
        <v>0.98136838679245275</v>
      </c>
      <c r="DF13">
        <v>0.52387639622641502</v>
      </c>
      <c r="DG13">
        <v>0.47012117216981136</v>
      </c>
      <c r="DH13">
        <v>0.65220809433962257</v>
      </c>
      <c r="DI13">
        <v>0.72867352830188681</v>
      </c>
      <c r="DJ13">
        <v>0.22483677358490564</v>
      </c>
      <c r="DK13">
        <v>0.26494317924528299</v>
      </c>
      <c r="DL13">
        <v>0.48704364622641499</v>
      </c>
      <c r="DM13">
        <v>0.16635249764150944</v>
      </c>
      <c r="DN13">
        <v>0.47945390330188675</v>
      </c>
      <c r="DO13">
        <v>0.47927397877358491</v>
      </c>
      <c r="DP13">
        <v>0.58297403301886785</v>
      </c>
      <c r="DQ13">
        <v>0.23713267452830183</v>
      </c>
      <c r="DR13">
        <v>0.22040583018867926</v>
      </c>
      <c r="DS13">
        <v>0.31047670754716977</v>
      </c>
      <c r="DT13">
        <v>0.82337477358490552</v>
      </c>
      <c r="DU13">
        <v>0.39804525943396218</v>
      </c>
      <c r="DV13">
        <v>7.2262665094339623E-2</v>
      </c>
      <c r="DZ13">
        <v>1.3180242982063342</v>
      </c>
      <c r="EA13">
        <v>2.3345352446537187E-3</v>
      </c>
      <c r="EB13">
        <v>-6.6752355971275212E-2</v>
      </c>
      <c r="EC13">
        <v>-0.15392239220506754</v>
      </c>
      <c r="ED13">
        <v>-0.24311274993692844</v>
      </c>
      <c r="EE13">
        <v>-2.5948591193407779E-2</v>
      </c>
      <c r="EF13">
        <v>-3.9078557601276709E-2</v>
      </c>
      <c r="EG13">
        <v>-0.1293621888415119</v>
      </c>
      <c r="EH13">
        <v>-0.11280134247581886</v>
      </c>
      <c r="EI13">
        <v>0.10040375279487002</v>
      </c>
      <c r="EJ13">
        <v>-9.2053048473032889E-2</v>
      </c>
      <c r="EK13">
        <v>-1.1342893708293686E-2</v>
      </c>
      <c r="EL13">
        <v>-0.10034502401248675</v>
      </c>
      <c r="EM13">
        <v>8.3617225735774011E-3</v>
      </c>
      <c r="EN13">
        <v>-0.30721128164910771</v>
      </c>
      <c r="EO13">
        <v>-2.4429704003787068E-2</v>
      </c>
      <c r="EP13">
        <v>-0.14990281624147692</v>
      </c>
      <c r="EQ13">
        <v>0.23303526462323948</v>
      </c>
      <c r="ER13">
        <v>6.109354345293385E-2</v>
      </c>
      <c r="ES13">
        <v>-0.16221841620271091</v>
      </c>
      <c r="ET13">
        <v>-0.38392582658100277</v>
      </c>
      <c r="EU13">
        <v>7.2326132685710143E-2</v>
      </c>
      <c r="EV13">
        <v>-9.4388463233900155E-2</v>
      </c>
      <c r="EW13">
        <v>0.1173705600740533</v>
      </c>
      <c r="EX13">
        <v>-5.1917465162836914E-2</v>
      </c>
      <c r="EY13">
        <v>5.4632737820659076E-2</v>
      </c>
      <c r="EZ13">
        <v>-3.2781874362164933E-2</v>
      </c>
      <c r="FA13">
        <v>3.7968048744970083E-2</v>
      </c>
      <c r="FB13">
        <v>5.7353477786474677E-3</v>
      </c>
      <c r="FC13">
        <v>0.36044764303599236</v>
      </c>
      <c r="FD13">
        <v>9.6842542197071155E-2</v>
      </c>
      <c r="FE13">
        <v>0.18884215580208036</v>
      </c>
      <c r="FF13">
        <v>-3.8332155340321875E-2</v>
      </c>
      <c r="FG13">
        <v>0.10217206696633094</v>
      </c>
      <c r="FH13">
        <v>-0.15016567533808337</v>
      </c>
      <c r="FI13">
        <v>-9.1435325362605041E-2</v>
      </c>
      <c r="FJ13">
        <v>0.1737469706407305</v>
      </c>
      <c r="FK13">
        <v>0.40150918037996663</v>
      </c>
      <c r="FL13">
        <v>0.17083094824815162</v>
      </c>
      <c r="FM13">
        <v>-0.16898473721796925</v>
      </c>
    </row>
    <row r="14" spans="1:169" x14ac:dyDescent="0.25">
      <c r="B14">
        <v>0.14482895754716979</v>
      </c>
      <c r="C14">
        <v>0.18400557311320753</v>
      </c>
      <c r="D14">
        <v>0.44731990330188676</v>
      </c>
      <c r="E14">
        <v>0.28381877594339622</v>
      </c>
      <c r="F14">
        <v>0.31972380424528296</v>
      </c>
      <c r="G14">
        <v>0.34250525471698118</v>
      </c>
      <c r="H14">
        <v>0.26142719103773582</v>
      </c>
      <c r="I14">
        <v>0.24046815566037735</v>
      </c>
      <c r="J14">
        <v>0.42500790330188676</v>
      </c>
      <c r="K14">
        <v>2.6245006745283015</v>
      </c>
      <c r="L14">
        <v>0.32024628301886793</v>
      </c>
      <c r="M14">
        <v>0.42301649292452825</v>
      </c>
      <c r="N14">
        <v>2.7903653113207545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2.7903653113207545</v>
      </c>
      <c r="BD14">
        <v>1.1164676344339621</v>
      </c>
      <c r="BE14">
        <v>1.5278242924528299E-2</v>
      </c>
      <c r="BF14">
        <v>0.31761443632075465</v>
      </c>
      <c r="BG14">
        <v>0.61126763443396226</v>
      </c>
      <c r="BH14">
        <v>0.42483142924528294</v>
      </c>
      <c r="BI14">
        <v>-0.14833050707547163</v>
      </c>
      <c r="BJ14">
        <v>-6.3907429245282713E-3</v>
      </c>
      <c r="BK14">
        <v>6.3348462264150945E-2</v>
      </c>
      <c r="BL14">
        <v>0.39805485613207542</v>
      </c>
      <c r="BM14">
        <v>0.23734662028301884</v>
      </c>
      <c r="BN14">
        <v>0.25194944811320757</v>
      </c>
      <c r="BO14">
        <v>0.32339576650943397</v>
      </c>
      <c r="BP14">
        <v>0.14057930188679246</v>
      </c>
      <c r="BQ14">
        <v>0.20858216509433963</v>
      </c>
      <c r="BR14">
        <v>0.2290020117924528</v>
      </c>
      <c r="BS14">
        <v>0.19051929481132071</v>
      </c>
      <c r="BT14">
        <v>0.17974494575471694</v>
      </c>
      <c r="BU14">
        <v>0.35103583962264151</v>
      </c>
      <c r="BV14">
        <v>0.23932443396226416</v>
      </c>
      <c r="BW14">
        <v>0.12022357075471699</v>
      </c>
      <c r="BX14">
        <v>0.51892834198113191</v>
      </c>
      <c r="BY14">
        <v>-1.221163625</v>
      </c>
      <c r="BZ14">
        <v>0.46713701650943396</v>
      </c>
      <c r="CA14">
        <v>0.93300612971698094</v>
      </c>
      <c r="CB14">
        <v>0.22285396933962262</v>
      </c>
      <c r="CC14">
        <v>0.15364915566037732</v>
      </c>
      <c r="CJ14">
        <v>0.14482895754716979</v>
      </c>
      <c r="CK14">
        <v>0.18400557311320753</v>
      </c>
      <c r="CL14">
        <v>0.44731990330188676</v>
      </c>
      <c r="CM14">
        <v>0.28381877594339622</v>
      </c>
      <c r="CN14">
        <v>0.31972380424528296</v>
      </c>
      <c r="CO14">
        <v>0.34250525471698118</v>
      </c>
      <c r="CP14">
        <v>0.26142719103773582</v>
      </c>
      <c r="CQ14">
        <v>0.24046815566037735</v>
      </c>
      <c r="CR14">
        <v>0.42500790330188676</v>
      </c>
      <c r="CS14">
        <v>2.6245006745283015</v>
      </c>
      <c r="CT14">
        <v>0.32024628301886793</v>
      </c>
      <c r="CU14">
        <v>0.42301649292452825</v>
      </c>
      <c r="CV14">
        <v>2.7903653113207545</v>
      </c>
      <c r="CW14">
        <v>1.1164676344339621</v>
      </c>
      <c r="CX14">
        <v>1.5278242924528299E-2</v>
      </c>
      <c r="CY14">
        <v>0.31761443632075465</v>
      </c>
      <c r="CZ14">
        <v>0.61126763443396226</v>
      </c>
      <c r="DA14">
        <v>0.42483142924528294</v>
      </c>
      <c r="DB14">
        <v>-0.14833050707547163</v>
      </c>
      <c r="DC14">
        <v>-6.3907429245282713E-3</v>
      </c>
      <c r="DD14">
        <v>6.3348462264150945E-2</v>
      </c>
      <c r="DE14">
        <v>0.39805485613207542</v>
      </c>
      <c r="DF14">
        <v>0.23734662028301884</v>
      </c>
      <c r="DG14">
        <v>0.25194944811320757</v>
      </c>
      <c r="DH14">
        <v>0.32339576650943397</v>
      </c>
      <c r="DI14">
        <v>0.14057930188679246</v>
      </c>
      <c r="DJ14">
        <v>0.20858216509433963</v>
      </c>
      <c r="DK14">
        <v>0.2290020117924528</v>
      </c>
      <c r="DL14">
        <v>0.19051929481132071</v>
      </c>
      <c r="DM14">
        <v>0.17974494575471694</v>
      </c>
      <c r="DN14">
        <v>0.35103583962264151</v>
      </c>
      <c r="DO14">
        <v>0.23932443396226416</v>
      </c>
      <c r="DP14">
        <v>0.12022357075471699</v>
      </c>
      <c r="DQ14">
        <v>0.51892834198113191</v>
      </c>
      <c r="DR14">
        <v>-1.221163625</v>
      </c>
      <c r="DS14">
        <v>0.46713701650943396</v>
      </c>
      <c r="DT14">
        <v>0.93300612971698094</v>
      </c>
      <c r="DU14">
        <v>0.22285396933962262</v>
      </c>
      <c r="DV14">
        <v>0.15364915566037732</v>
      </c>
      <c r="DZ14">
        <v>1.1333524802906656</v>
      </c>
      <c r="EA14">
        <v>2.2978669803672986E-2</v>
      </c>
      <c r="EB14">
        <v>0.1001752229265417</v>
      </c>
      <c r="EC14">
        <v>3.686851393687593E-2</v>
      </c>
      <c r="ED14">
        <v>-0.1235487622170942</v>
      </c>
      <c r="EE14">
        <v>3.8170248260946588E-2</v>
      </c>
      <c r="EF14">
        <v>2.9794199084508324E-2</v>
      </c>
      <c r="EG14">
        <v>6.2925205012370825E-2</v>
      </c>
      <c r="EH14">
        <v>-7.2807293036913176E-2</v>
      </c>
      <c r="EI14">
        <v>3.973935233848052E-2</v>
      </c>
      <c r="EJ14">
        <v>-7.851973837593676E-2</v>
      </c>
      <c r="EK14">
        <v>9.6303830926175171E-2</v>
      </c>
      <c r="EL14">
        <v>-4.0619939649355917E-2</v>
      </c>
      <c r="EM14">
        <v>0.10590225787813259</v>
      </c>
      <c r="EN14">
        <v>-9.4885199915077448E-3</v>
      </c>
      <c r="EO14">
        <v>-0.35293842444914064</v>
      </c>
      <c r="EP14">
        <v>0.15528471995061213</v>
      </c>
      <c r="EQ14">
        <v>1.4383943812132694E-2</v>
      </c>
      <c r="ER14">
        <v>1.9053082484444955E-2</v>
      </c>
      <c r="ES14">
        <v>0.16006744774727652</v>
      </c>
      <c r="ET14">
        <v>-0.47093277929214483</v>
      </c>
      <c r="EU14">
        <v>0.30623221277215645</v>
      </c>
      <c r="EV14">
        <v>-4.2071305559238284E-2</v>
      </c>
      <c r="EW14">
        <v>-3.3808032892145512E-2</v>
      </c>
      <c r="EX14">
        <v>-2.6634146959358004E-2</v>
      </c>
      <c r="EY14">
        <v>-6.7562900783114277E-2</v>
      </c>
      <c r="EZ14">
        <v>-8.8438729899691176E-2</v>
      </c>
      <c r="FA14">
        <v>3.5810773548661377E-2</v>
      </c>
      <c r="FB14">
        <v>7.1659448097897718E-2</v>
      </c>
      <c r="FC14">
        <v>-0.18427308653975763</v>
      </c>
      <c r="FD14">
        <v>-4.1090182353157194E-2</v>
      </c>
      <c r="FE14">
        <v>2.2175507409668603E-3</v>
      </c>
      <c r="FF14">
        <v>-2.8059252255002387E-2</v>
      </c>
      <c r="FG14">
        <v>0.41836581533228145</v>
      </c>
      <c r="FH14">
        <v>0.29850692888862124</v>
      </c>
      <c r="FI14">
        <v>1.7139657252372074E-2</v>
      </c>
      <c r="FJ14">
        <v>-9.9956017013880766E-2</v>
      </c>
      <c r="FK14">
        <v>-9.6774872357869107E-2</v>
      </c>
      <c r="FL14">
        <v>-0.25837235545939058</v>
      </c>
      <c r="FM14">
        <v>0.17720459065753852</v>
      </c>
    </row>
    <row r="15" spans="1:169" x14ac:dyDescent="0.25">
      <c r="B15">
        <v>8.8960172169811322E-2</v>
      </c>
      <c r="C15">
        <v>0.20169017688679247</v>
      </c>
      <c r="D15">
        <v>0.33282697405660377</v>
      </c>
      <c r="E15">
        <v>0.27118552594339618</v>
      </c>
      <c r="F15">
        <v>0.3411392429245283</v>
      </c>
      <c r="G15">
        <v>0.27099766037735851</v>
      </c>
      <c r="H15">
        <v>0.18848679716981132</v>
      </c>
      <c r="I15">
        <v>0.12343860613207547</v>
      </c>
      <c r="J15">
        <v>0.37625015566037734</v>
      </c>
      <c r="K15">
        <v>1.2663944575471697</v>
      </c>
      <c r="L15">
        <v>0.2017688797169811</v>
      </c>
      <c r="M15">
        <v>0.44653709669811315</v>
      </c>
      <c r="N15">
        <v>1.1164676344339621</v>
      </c>
      <c r="O15">
        <v>1.6226755400943396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1.6226755400943396</v>
      </c>
      <c r="BE15">
        <v>0.23454187735849052</v>
      </c>
      <c r="BF15">
        <v>0.49774190330188672</v>
      </c>
      <c r="BG15">
        <v>0.64710788443396217</v>
      </c>
      <c r="BH15">
        <v>0.41228094103773583</v>
      </c>
      <c r="BI15">
        <v>0.4441356462264151</v>
      </c>
      <c r="BJ15">
        <v>0.23216267452830186</v>
      </c>
      <c r="BK15">
        <v>0.14247529952830187</v>
      </c>
      <c r="BL15">
        <v>0.58452156367924524</v>
      </c>
      <c r="BM15">
        <v>0.28581430424528298</v>
      </c>
      <c r="BN15">
        <v>0.31818955188679243</v>
      </c>
      <c r="BO15">
        <v>0.36552554481132077</v>
      </c>
      <c r="BP15">
        <v>0.47623598584905652</v>
      </c>
      <c r="BQ15">
        <v>0.14755490801886792</v>
      </c>
      <c r="BR15">
        <v>0.29658995518867926</v>
      </c>
      <c r="BS15">
        <v>0.23633349764150943</v>
      </c>
      <c r="BT15">
        <v>9.9499283018867901E-2</v>
      </c>
      <c r="BU15">
        <v>0.31666360849056596</v>
      </c>
      <c r="BV15">
        <v>0.29901277358490563</v>
      </c>
      <c r="BW15">
        <v>0.2993808325471698</v>
      </c>
      <c r="BX15">
        <v>0.44954060377358485</v>
      </c>
      <c r="BY15">
        <v>0.25517808962264144</v>
      </c>
      <c r="BZ15">
        <v>0.75223637264150944</v>
      </c>
      <c r="CA15">
        <v>0.56870238443396226</v>
      </c>
      <c r="CB15">
        <v>0.3505149858490566</v>
      </c>
      <c r="CC15">
        <v>0.12898099056603771</v>
      </c>
      <c r="CJ15">
        <v>8.8960172169811322E-2</v>
      </c>
      <c r="CK15">
        <v>0.20169017688679247</v>
      </c>
      <c r="CL15">
        <v>0.33282697405660377</v>
      </c>
      <c r="CM15">
        <v>0.27118552594339618</v>
      </c>
      <c r="CN15">
        <v>0.3411392429245283</v>
      </c>
      <c r="CO15">
        <v>0.27099766037735851</v>
      </c>
      <c r="CP15">
        <v>0.18848679716981132</v>
      </c>
      <c r="CQ15">
        <v>0.12343860613207547</v>
      </c>
      <c r="CR15">
        <v>0.37625015566037734</v>
      </c>
      <c r="CS15">
        <v>1.2663944575471697</v>
      </c>
      <c r="CT15">
        <v>0.2017688797169811</v>
      </c>
      <c r="CU15">
        <v>0.44653709669811315</v>
      </c>
      <c r="CV15">
        <v>1.1164676344339621</v>
      </c>
      <c r="CW15">
        <v>1.6226755400943396</v>
      </c>
      <c r="CX15">
        <v>0.23454187735849052</v>
      </c>
      <c r="CY15">
        <v>0.49774190330188672</v>
      </c>
      <c r="CZ15">
        <v>0.64710788443396217</v>
      </c>
      <c r="DA15">
        <v>0.41228094103773583</v>
      </c>
      <c r="DB15">
        <v>0.4441356462264151</v>
      </c>
      <c r="DC15">
        <v>0.23216267452830186</v>
      </c>
      <c r="DD15">
        <v>0.14247529952830187</v>
      </c>
      <c r="DE15">
        <v>0.58452156367924524</v>
      </c>
      <c r="DF15">
        <v>0.28581430424528298</v>
      </c>
      <c r="DG15">
        <v>0.31818955188679243</v>
      </c>
      <c r="DH15">
        <v>0.36552554481132077</v>
      </c>
      <c r="DI15">
        <v>0.47623598584905652</v>
      </c>
      <c r="DJ15">
        <v>0.14755490801886792</v>
      </c>
      <c r="DK15">
        <v>0.29658995518867926</v>
      </c>
      <c r="DL15">
        <v>0.23633349764150943</v>
      </c>
      <c r="DM15">
        <v>9.9499283018867901E-2</v>
      </c>
      <c r="DN15">
        <v>0.31666360849056596</v>
      </c>
      <c r="DO15">
        <v>0.29901277358490563</v>
      </c>
      <c r="DP15">
        <v>0.2993808325471698</v>
      </c>
      <c r="DQ15">
        <v>0.44954060377358485</v>
      </c>
      <c r="DR15">
        <v>0.25517808962264144</v>
      </c>
      <c r="DS15">
        <v>0.75223637264150944</v>
      </c>
      <c r="DT15">
        <v>0.56870238443396226</v>
      </c>
      <c r="DU15">
        <v>0.3505149858490566</v>
      </c>
      <c r="DV15">
        <v>0.12898099056603771</v>
      </c>
      <c r="DZ15">
        <v>1.0719100450109083</v>
      </c>
      <c r="EA15">
        <v>6.1858015092308941E-2</v>
      </c>
      <c r="EB15">
        <v>-0.19032791500692003</v>
      </c>
      <c r="EC15">
        <v>7.5133313868327764E-2</v>
      </c>
      <c r="ED15">
        <v>-0.2222555521135344</v>
      </c>
      <c r="EE15">
        <v>7.1597313255474193E-2</v>
      </c>
      <c r="EF15">
        <v>4.7893849768176865E-2</v>
      </c>
      <c r="EG15">
        <v>3.2106379490674131E-2</v>
      </c>
      <c r="EH15">
        <v>4.6240405611325988E-2</v>
      </c>
      <c r="EI15">
        <v>0.25022994450923913</v>
      </c>
      <c r="EJ15">
        <v>0.13015109469487335</v>
      </c>
      <c r="EK15">
        <v>0.23584789759470801</v>
      </c>
      <c r="EL15">
        <v>-0.20547905665757937</v>
      </c>
      <c r="EM15">
        <v>-3.2054861510791163E-2</v>
      </c>
      <c r="EN15">
        <v>-0.22093622209044206</v>
      </c>
      <c r="EO15">
        <v>-0.21169907609892724</v>
      </c>
      <c r="EP15">
        <v>-6.0399007215563731E-2</v>
      </c>
      <c r="EQ15">
        <v>-0.12610826508171877</v>
      </c>
      <c r="ER15">
        <v>-7.5650129974889374E-2</v>
      </c>
      <c r="ES15">
        <v>-0.15974858383451934</v>
      </c>
      <c r="ET15">
        <v>0.25803462793845222</v>
      </c>
      <c r="EU15">
        <v>0.3567762177701902</v>
      </c>
      <c r="EV15">
        <v>-0.15039546137451201</v>
      </c>
      <c r="EW15">
        <v>0.12009844900887523</v>
      </c>
      <c r="EX15">
        <v>-0.12003837122966149</v>
      </c>
      <c r="EY15">
        <v>-1.7861346548530142E-3</v>
      </c>
      <c r="EZ15">
        <v>0.45830821911620284</v>
      </c>
      <c r="FA15">
        <v>9.1397754672286807E-2</v>
      </c>
      <c r="FB15">
        <v>7.2319026865480626E-2</v>
      </c>
      <c r="FC15">
        <v>-7.068874623295604E-2</v>
      </c>
      <c r="FD15">
        <v>8.9026024064479473E-2</v>
      </c>
      <c r="FE15">
        <v>-2.3339620442340051E-3</v>
      </c>
      <c r="FF15">
        <v>6.7738474046284561E-3</v>
      </c>
      <c r="FG15">
        <v>-0.25943867025647088</v>
      </c>
      <c r="FH15">
        <v>0.11022014050241023</v>
      </c>
      <c r="FI15">
        <v>6.8095931815272986E-2</v>
      </c>
      <c r="FJ15">
        <v>-3.6959795068795941E-3</v>
      </c>
      <c r="FK15">
        <v>-3.5836149254072927E-2</v>
      </c>
      <c r="FL15">
        <v>-3.6426472676045131E-2</v>
      </c>
      <c r="FM15">
        <v>5.308314038663909E-2</v>
      </c>
    </row>
    <row r="16" spans="1:169" x14ac:dyDescent="0.25">
      <c r="B16">
        <v>0.17322799528301885</v>
      </c>
      <c r="C16">
        <v>0.43393910613207543</v>
      </c>
      <c r="D16">
        <v>0.58713485377358499</v>
      </c>
      <c r="E16">
        <v>0.38984386084905653</v>
      </c>
      <c r="F16">
        <v>0.41262888207547166</v>
      </c>
      <c r="G16">
        <v>0.26174800471698112</v>
      </c>
      <c r="H16">
        <v>0.1050512358490566</v>
      </c>
      <c r="I16">
        <v>0.15237618396226416</v>
      </c>
      <c r="J16">
        <v>0.46437726650943389</v>
      </c>
      <c r="K16">
        <v>0.51119209198113191</v>
      </c>
      <c r="L16">
        <v>8.2595198113207549E-2</v>
      </c>
      <c r="M16">
        <v>0.40647640094339621</v>
      </c>
      <c r="N16">
        <v>1.5278242924528299E-2</v>
      </c>
      <c r="O16">
        <v>0.23454187735849052</v>
      </c>
      <c r="P16">
        <v>1.8000471084905658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1.8000471084905658</v>
      </c>
      <c r="BF16">
        <v>-0.81963866745283009</v>
      </c>
      <c r="BG16">
        <v>-0.56939881367924527</v>
      </c>
      <c r="BH16">
        <v>-0.65583481367924534</v>
      </c>
      <c r="BI16">
        <v>-0.42192285849056604</v>
      </c>
      <c r="BJ16">
        <v>-0.93852698113207533</v>
      </c>
      <c r="BK16">
        <v>-4.3810648584905673E-2</v>
      </c>
      <c r="BL16">
        <v>0.69435732783018878</v>
      </c>
      <c r="BM16">
        <v>0.36694940566037737</v>
      </c>
      <c r="BN16">
        <v>0.35443176886792449</v>
      </c>
      <c r="BO16">
        <v>0.48729616981132073</v>
      </c>
      <c r="BP16">
        <v>0.69588809433962262</v>
      </c>
      <c r="BQ16">
        <v>0.21309189386792449</v>
      </c>
      <c r="BR16">
        <v>0.51572476179245275</v>
      </c>
      <c r="BS16">
        <v>0.30265129009433961</v>
      </c>
      <c r="BT16">
        <v>4.6942408018867933E-2</v>
      </c>
      <c r="BU16">
        <v>0.22997119339622646</v>
      </c>
      <c r="BV16">
        <v>0.54265559433962252</v>
      </c>
      <c r="BW16">
        <v>0.45664616509433964</v>
      </c>
      <c r="BX16">
        <v>4.1934797169811321E-2</v>
      </c>
      <c r="BY16">
        <v>0.28540625471698111</v>
      </c>
      <c r="BZ16">
        <v>3.4816823113207551E-2</v>
      </c>
      <c r="CA16">
        <v>-0.37646458962264151</v>
      </c>
      <c r="CB16">
        <v>0.21509375235849057</v>
      </c>
      <c r="CC16">
        <v>3.4232193396226372E-3</v>
      </c>
      <c r="CJ16">
        <v>0.17322799528301885</v>
      </c>
      <c r="CK16">
        <v>0.43393910613207543</v>
      </c>
      <c r="CL16">
        <v>0.58713485377358499</v>
      </c>
      <c r="CM16">
        <v>0.38984386084905653</v>
      </c>
      <c r="CN16">
        <v>0.41262888207547166</v>
      </c>
      <c r="CO16">
        <v>0.26174800471698112</v>
      </c>
      <c r="CP16">
        <v>0.1050512358490566</v>
      </c>
      <c r="CQ16">
        <v>0.15237618396226416</v>
      </c>
      <c r="CR16">
        <v>0.46437726650943389</v>
      </c>
      <c r="CS16">
        <v>0.51119209198113191</v>
      </c>
      <c r="CT16">
        <v>8.2595198113207549E-2</v>
      </c>
      <c r="CU16">
        <v>0.40647640094339621</v>
      </c>
      <c r="CV16">
        <v>1.5278242924528299E-2</v>
      </c>
      <c r="CW16">
        <v>0.23454187735849052</v>
      </c>
      <c r="CX16">
        <v>1.8000471084905658</v>
      </c>
      <c r="CY16">
        <v>-0.81963866745283009</v>
      </c>
      <c r="CZ16">
        <v>-0.56939881367924527</v>
      </c>
      <c r="DA16">
        <v>-0.65583481367924534</v>
      </c>
      <c r="DB16">
        <v>-0.42192285849056604</v>
      </c>
      <c r="DC16">
        <v>-0.93852698113207533</v>
      </c>
      <c r="DD16">
        <v>-4.3810648584905673E-2</v>
      </c>
      <c r="DE16">
        <v>0.69435732783018878</v>
      </c>
      <c r="DF16">
        <v>0.36694940566037737</v>
      </c>
      <c r="DG16">
        <v>0.35443176886792449</v>
      </c>
      <c r="DH16">
        <v>0.48729616981132073</v>
      </c>
      <c r="DI16">
        <v>0.69588809433962262</v>
      </c>
      <c r="DJ16">
        <v>0.21309189386792449</v>
      </c>
      <c r="DK16">
        <v>0.51572476179245275</v>
      </c>
      <c r="DL16">
        <v>0.30265129009433961</v>
      </c>
      <c r="DM16">
        <v>4.6942408018867933E-2</v>
      </c>
      <c r="DN16">
        <v>0.22997119339622646</v>
      </c>
      <c r="DO16">
        <v>0.54265559433962252</v>
      </c>
      <c r="DP16">
        <v>0.45664616509433964</v>
      </c>
      <c r="DQ16">
        <v>4.1934797169811321E-2</v>
      </c>
      <c r="DR16">
        <v>0.28540625471698111</v>
      </c>
      <c r="DS16">
        <v>3.4816823113207551E-2</v>
      </c>
      <c r="DT16">
        <v>-0.37646458962264151</v>
      </c>
      <c r="DU16">
        <v>0.21509375235849057</v>
      </c>
      <c r="DV16">
        <v>3.4232193396226372E-3</v>
      </c>
      <c r="DZ16">
        <v>1.0182966327762464</v>
      </c>
      <c r="EA16">
        <v>-3.9759777979830636E-3</v>
      </c>
      <c r="EB16">
        <v>0.15370910112250141</v>
      </c>
      <c r="EC16">
        <v>0.16123437963048889</v>
      </c>
      <c r="ED16">
        <v>2.2406208824511473E-2</v>
      </c>
      <c r="EE16">
        <v>2.8643022757482695E-2</v>
      </c>
      <c r="EF16">
        <v>5.2013463403792204E-3</v>
      </c>
      <c r="EG16">
        <v>2.0721523734920668E-2</v>
      </c>
      <c r="EH16">
        <v>-0.15258968513445934</v>
      </c>
      <c r="EI16">
        <v>1.1830675231938368E-2</v>
      </c>
      <c r="EJ16">
        <v>-0.1318583261504786</v>
      </c>
      <c r="EK16">
        <v>-0.16628177139716041</v>
      </c>
      <c r="EL16">
        <v>-3.9854975402184939E-2</v>
      </c>
      <c r="EM16">
        <v>0.12974438196069008</v>
      </c>
      <c r="EN16">
        <v>1.2223063233034331E-2</v>
      </c>
      <c r="EO16">
        <v>-4.3925530433213344E-2</v>
      </c>
      <c r="EP16">
        <v>-5.445807145957543E-2</v>
      </c>
      <c r="EQ16">
        <v>-0.33767928795206048</v>
      </c>
      <c r="ER16">
        <v>0.11690155758460312</v>
      </c>
      <c r="ES16">
        <v>8.4301715959000073E-2</v>
      </c>
      <c r="ET16">
        <v>-5.6733470887468135E-2</v>
      </c>
      <c r="EU16">
        <v>-0.1885753193288473</v>
      </c>
      <c r="EV16">
        <v>-0.20555517428555745</v>
      </c>
      <c r="EW16">
        <v>0.20802753694705459</v>
      </c>
      <c r="EX16">
        <v>-0.12955840307221125</v>
      </c>
      <c r="EY16">
        <v>4.7428158058893805E-2</v>
      </c>
      <c r="EZ16">
        <v>0.2120642272259817</v>
      </c>
      <c r="FA16">
        <v>-5.5238272412128885E-3</v>
      </c>
      <c r="FB16">
        <v>5.8810763951274107E-3</v>
      </c>
      <c r="FC16">
        <v>-0.43375832918797713</v>
      </c>
      <c r="FD16">
        <v>-0.10979161184149455</v>
      </c>
      <c r="FE16">
        <v>-0.23584111657176551</v>
      </c>
      <c r="FF16">
        <v>-2.1353174049315339E-2</v>
      </c>
      <c r="FG16">
        <v>9.2877176994012309E-2</v>
      </c>
      <c r="FH16">
        <v>-0.16521003635466855</v>
      </c>
      <c r="FI16">
        <v>-4.6369203027552673E-2</v>
      </c>
      <c r="FJ16">
        <v>0.13732298371501134</v>
      </c>
      <c r="FK16">
        <v>0.41070239764121641</v>
      </c>
      <c r="FL16">
        <v>0.19932703390147016</v>
      </c>
      <c r="FM16">
        <v>0.10891989700076538</v>
      </c>
    </row>
    <row r="17" spans="2:169" x14ac:dyDescent="0.25">
      <c r="B17">
        <v>0.15150790566037736</v>
      </c>
      <c r="C17">
        <v>0.20717131839622641</v>
      </c>
      <c r="D17">
        <v>0.52058988679245266</v>
      </c>
      <c r="E17">
        <v>0.27857859198113205</v>
      </c>
      <c r="F17">
        <v>0.3787560094339622</v>
      </c>
      <c r="G17">
        <v>0.30782414858490564</v>
      </c>
      <c r="H17">
        <v>0.19222494339622639</v>
      </c>
      <c r="I17">
        <v>0.26396185377358489</v>
      </c>
      <c r="J17">
        <v>0.47260973113207549</v>
      </c>
      <c r="K17">
        <v>0.4638592924528302</v>
      </c>
      <c r="L17">
        <v>0.35506841745283019</v>
      </c>
      <c r="M17">
        <v>0.50309887264150932</v>
      </c>
      <c r="N17">
        <v>0.31761443632075465</v>
      </c>
      <c r="O17">
        <v>0.49774190330188672</v>
      </c>
      <c r="P17">
        <v>-0.81963866745283009</v>
      </c>
      <c r="Q17">
        <v>2.0077161792452829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2.0077161792452829</v>
      </c>
      <c r="BG17">
        <v>2.1158156863207549</v>
      </c>
      <c r="BH17">
        <v>1.7656855825471696</v>
      </c>
      <c r="BI17">
        <v>1.7402564811320753</v>
      </c>
      <c r="BJ17">
        <v>1.6078109410377357</v>
      </c>
      <c r="BK17">
        <v>0.24989278773584908</v>
      </c>
      <c r="BL17">
        <v>0.63760392216981121</v>
      </c>
      <c r="BM17">
        <v>0.25764320754716974</v>
      </c>
      <c r="BN17">
        <v>0.297636391509434</v>
      </c>
      <c r="BO17">
        <v>0.47815765566037732</v>
      </c>
      <c r="BP17">
        <v>0.39622012971698106</v>
      </c>
      <c r="BQ17">
        <v>0.24605356132075468</v>
      </c>
      <c r="BR17">
        <v>0.43994913679245284</v>
      </c>
      <c r="BS17">
        <v>0.16703231603773583</v>
      </c>
      <c r="BT17">
        <v>0.13478341745283018</v>
      </c>
      <c r="BU17">
        <v>0.41706749528301884</v>
      </c>
      <c r="BV17">
        <v>0.27287557547169805</v>
      </c>
      <c r="BW17">
        <v>0.36869262971698114</v>
      </c>
      <c r="BX17">
        <v>0.19594428537735847</v>
      </c>
      <c r="BY17">
        <v>0.18227706367924529</v>
      </c>
      <c r="BZ17">
        <v>0.28257734669811324</v>
      </c>
      <c r="CA17">
        <v>1.4883340141509434</v>
      </c>
      <c r="CB17">
        <v>0.29318111084905663</v>
      </c>
      <c r="CC17">
        <v>4.5674400943396226E-2</v>
      </c>
      <c r="CJ17">
        <v>0.15150790566037736</v>
      </c>
      <c r="CK17">
        <v>0.20717131839622641</v>
      </c>
      <c r="CL17">
        <v>0.52058988679245266</v>
      </c>
      <c r="CM17">
        <v>0.27857859198113205</v>
      </c>
      <c r="CN17">
        <v>0.3787560094339622</v>
      </c>
      <c r="CO17">
        <v>0.30782414858490564</v>
      </c>
      <c r="CP17">
        <v>0.19222494339622639</v>
      </c>
      <c r="CQ17">
        <v>0.26396185377358489</v>
      </c>
      <c r="CR17">
        <v>0.47260973113207549</v>
      </c>
      <c r="CS17">
        <v>0.4638592924528302</v>
      </c>
      <c r="CT17">
        <v>0.35506841745283019</v>
      </c>
      <c r="CU17">
        <v>0.50309887264150932</v>
      </c>
      <c r="CV17">
        <v>0.31761443632075465</v>
      </c>
      <c r="CW17">
        <v>0.49774190330188672</v>
      </c>
      <c r="CX17">
        <v>-0.81963866745283009</v>
      </c>
      <c r="CY17">
        <v>2.0077161792452829</v>
      </c>
      <c r="CZ17">
        <v>2.1158156863207549</v>
      </c>
      <c r="DA17">
        <v>1.7656855825471696</v>
      </c>
      <c r="DB17">
        <v>1.7402564811320753</v>
      </c>
      <c r="DC17">
        <v>1.6078109410377357</v>
      </c>
      <c r="DD17">
        <v>0.24989278773584908</v>
      </c>
      <c r="DE17">
        <v>0.63760392216981121</v>
      </c>
      <c r="DF17">
        <v>0.25764320754716974</v>
      </c>
      <c r="DG17">
        <v>0.297636391509434</v>
      </c>
      <c r="DH17">
        <v>0.47815765566037732</v>
      </c>
      <c r="DI17">
        <v>0.39622012971698106</v>
      </c>
      <c r="DJ17">
        <v>0.24605356132075468</v>
      </c>
      <c r="DK17">
        <v>0.43994913679245284</v>
      </c>
      <c r="DL17">
        <v>0.16703231603773583</v>
      </c>
      <c r="DM17">
        <v>0.13478341745283018</v>
      </c>
      <c r="DN17">
        <v>0.41706749528301884</v>
      </c>
      <c r="DO17">
        <v>0.27287557547169805</v>
      </c>
      <c r="DP17">
        <v>0.36869262971698114</v>
      </c>
      <c r="DQ17">
        <v>0.19594428537735847</v>
      </c>
      <c r="DR17">
        <v>0.18227706367924529</v>
      </c>
      <c r="DS17">
        <v>0.28257734669811324</v>
      </c>
      <c r="DT17">
        <v>1.4883340141509434</v>
      </c>
      <c r="DU17">
        <v>0.29318111084905663</v>
      </c>
      <c r="DV17">
        <v>4.5674400943396226E-2</v>
      </c>
      <c r="DZ17">
        <v>0.8524870737733552</v>
      </c>
      <c r="EA17">
        <v>-6.2067025321540332E-3</v>
      </c>
      <c r="EB17">
        <v>0.14406116382893941</v>
      </c>
      <c r="EC17">
        <v>-0.18277750537581489</v>
      </c>
      <c r="ED17">
        <v>-2.8906516639803759E-2</v>
      </c>
      <c r="EE17">
        <v>-4.9711665125119549E-2</v>
      </c>
      <c r="EF17">
        <v>-0.1317754425349712</v>
      </c>
      <c r="EG17">
        <v>-0.12490957491639078</v>
      </c>
      <c r="EH17">
        <v>0.22996909344199234</v>
      </c>
      <c r="EI17">
        <v>9.2515250900374033E-2</v>
      </c>
      <c r="EJ17">
        <v>-3.4871412166566904E-2</v>
      </c>
      <c r="EK17">
        <v>0.36312070544859093</v>
      </c>
      <c r="EL17">
        <v>0.30380724928088088</v>
      </c>
      <c r="EM17">
        <v>-5.4754086205771949E-2</v>
      </c>
      <c r="EN17">
        <v>0.13133030574542806</v>
      </c>
      <c r="EO17">
        <v>-0.25402267797889633</v>
      </c>
      <c r="EP17">
        <v>4.5576859600357227E-2</v>
      </c>
      <c r="EQ17">
        <v>-0.14908980399216371</v>
      </c>
      <c r="ER17">
        <v>-0.16335818028600327</v>
      </c>
      <c r="ES17">
        <v>-1.8302426085553762E-2</v>
      </c>
      <c r="ET17">
        <v>-2.9061409457216743E-2</v>
      </c>
      <c r="EU17">
        <v>0.25688461301607163</v>
      </c>
      <c r="EV17">
        <v>0.18363574457811155</v>
      </c>
      <c r="EW17">
        <v>-0.2144687459000798</v>
      </c>
      <c r="EX17">
        <v>0.13832460530912588</v>
      </c>
      <c r="EY17">
        <v>-9.1244744821397855E-2</v>
      </c>
      <c r="EZ17">
        <v>-1.6516134662238943E-2</v>
      </c>
      <c r="FA17">
        <v>-8.6664763642639031E-2</v>
      </c>
      <c r="FB17">
        <v>-8.4665941925813573E-2</v>
      </c>
      <c r="FC17">
        <v>-0.15202803083906269</v>
      </c>
      <c r="FD17">
        <v>5.4611388987970523E-3</v>
      </c>
      <c r="FE17">
        <v>-1.0106934407145449E-2</v>
      </c>
      <c r="FF17">
        <v>-6.4241483748120332E-2</v>
      </c>
      <c r="FG17">
        <v>2.6168066210822835E-2</v>
      </c>
      <c r="FH17">
        <v>-0.34066287070420098</v>
      </c>
      <c r="FI17">
        <v>-4.7836780152363381E-2</v>
      </c>
      <c r="FJ17">
        <v>9.9588185388325673E-2</v>
      </c>
      <c r="FK17">
        <v>5.3343296835838785E-2</v>
      </c>
      <c r="FL17">
        <v>0.37111322686898152</v>
      </c>
      <c r="FM17">
        <v>-2.7609581936746935E-2</v>
      </c>
    </row>
    <row r="18" spans="2:169" x14ac:dyDescent="0.25">
      <c r="B18">
        <v>0.32035219103773582</v>
      </c>
      <c r="C18">
        <v>0.58509222405660366</v>
      </c>
      <c r="D18">
        <v>1.1318878042452827</v>
      </c>
      <c r="E18">
        <v>0.69432571226415085</v>
      </c>
      <c r="F18">
        <v>0.8288603773584905</v>
      </c>
      <c r="G18">
        <v>0.64237909669811322</v>
      </c>
      <c r="H18">
        <v>0.38739332783018859</v>
      </c>
      <c r="I18">
        <v>0.59750796226415082</v>
      </c>
      <c r="J18">
        <v>1.0613612995283019</v>
      </c>
      <c r="K18">
        <v>0.94422141273584903</v>
      </c>
      <c r="L18">
        <v>0.66452024292452827</v>
      </c>
      <c r="M18">
        <v>0.9435791792452829</v>
      </c>
      <c r="N18">
        <v>0.61126763443396226</v>
      </c>
      <c r="O18">
        <v>0.64710788443396217</v>
      </c>
      <c r="P18">
        <v>-0.56939881367924527</v>
      </c>
      <c r="Q18">
        <v>2.1158156863207549</v>
      </c>
      <c r="R18">
        <v>3.109801438679245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3.109801438679245</v>
      </c>
      <c r="BH18">
        <v>2.3728408749999996</v>
      </c>
      <c r="BI18">
        <v>2.2548591249999999</v>
      </c>
      <c r="BJ18">
        <v>1.7591460070754714</v>
      </c>
      <c r="BK18">
        <v>0.37196597877358484</v>
      </c>
      <c r="BL18">
        <v>1.196811988207547</v>
      </c>
      <c r="BM18">
        <v>0.55396547641509419</v>
      </c>
      <c r="BN18">
        <v>0.61945008490566034</v>
      </c>
      <c r="BO18">
        <v>1.04422675</v>
      </c>
      <c r="BP18">
        <v>0.97551601650943398</v>
      </c>
      <c r="BQ18">
        <v>0.48519029716981121</v>
      </c>
      <c r="BR18">
        <v>0.7730231226415093</v>
      </c>
      <c r="BS18">
        <v>1.0486665259433963</v>
      </c>
      <c r="BT18">
        <v>0.2590994646226415</v>
      </c>
      <c r="BU18">
        <v>0.86158911320754716</v>
      </c>
      <c r="BV18">
        <v>0.69942473820754703</v>
      </c>
      <c r="BW18">
        <v>0.81836496933962266</v>
      </c>
      <c r="BX18">
        <v>0.29314427122641507</v>
      </c>
      <c r="BY18">
        <v>0.48072704716981135</v>
      </c>
      <c r="BZ18">
        <v>0.42695490801886793</v>
      </c>
      <c r="CA18">
        <v>2.2559856297169807</v>
      </c>
      <c r="CB18">
        <v>0.53535534198113199</v>
      </c>
      <c r="CC18">
        <v>-1.687565566037736E-2</v>
      </c>
      <c r="CJ18">
        <v>0.32035219103773582</v>
      </c>
      <c r="CK18">
        <v>0.58509222405660366</v>
      </c>
      <c r="CL18">
        <v>1.1318878042452827</v>
      </c>
      <c r="CM18">
        <v>0.69432571226415085</v>
      </c>
      <c r="CN18">
        <v>0.8288603773584905</v>
      </c>
      <c r="CO18">
        <v>0.64237909669811322</v>
      </c>
      <c r="CP18">
        <v>0.38739332783018859</v>
      </c>
      <c r="CQ18">
        <v>0.59750796226415082</v>
      </c>
      <c r="CR18">
        <v>1.0613612995283019</v>
      </c>
      <c r="CS18">
        <v>0.94422141273584903</v>
      </c>
      <c r="CT18">
        <v>0.66452024292452827</v>
      </c>
      <c r="CU18">
        <v>0.9435791792452829</v>
      </c>
      <c r="CV18">
        <v>0.61126763443396226</v>
      </c>
      <c r="CW18">
        <v>0.64710788443396217</v>
      </c>
      <c r="CX18">
        <v>-0.56939881367924527</v>
      </c>
      <c r="CY18">
        <v>2.1158156863207549</v>
      </c>
      <c r="CZ18">
        <v>3.109801438679245</v>
      </c>
      <c r="DA18">
        <v>2.3728408749999996</v>
      </c>
      <c r="DB18">
        <v>2.2548591249999999</v>
      </c>
      <c r="DC18">
        <v>1.7591460070754714</v>
      </c>
      <c r="DD18">
        <v>0.37196597877358484</v>
      </c>
      <c r="DE18">
        <v>1.196811988207547</v>
      </c>
      <c r="DF18">
        <v>0.55396547641509419</v>
      </c>
      <c r="DG18">
        <v>0.61945008490566034</v>
      </c>
      <c r="DH18">
        <v>1.04422675</v>
      </c>
      <c r="DI18">
        <v>0.97551601650943398</v>
      </c>
      <c r="DJ18">
        <v>0.48519029716981121</v>
      </c>
      <c r="DK18">
        <v>0.7730231226415093</v>
      </c>
      <c r="DL18">
        <v>1.0486665259433963</v>
      </c>
      <c r="DM18">
        <v>0.2590994646226415</v>
      </c>
      <c r="DN18">
        <v>0.86158911320754716</v>
      </c>
      <c r="DO18">
        <v>0.69942473820754703</v>
      </c>
      <c r="DP18">
        <v>0.81836496933962266</v>
      </c>
      <c r="DQ18">
        <v>0.29314427122641507</v>
      </c>
      <c r="DR18">
        <v>0.48072704716981135</v>
      </c>
      <c r="DS18">
        <v>0.42695490801886793</v>
      </c>
      <c r="DT18">
        <v>2.2559856297169807</v>
      </c>
      <c r="DU18">
        <v>0.53535534198113199</v>
      </c>
      <c r="DV18">
        <v>-1.687565566037736E-2</v>
      </c>
      <c r="DZ18">
        <v>0.84046821483561118</v>
      </c>
      <c r="EA18">
        <v>0.11064908061134368</v>
      </c>
      <c r="EB18">
        <v>-0.20274946021346477</v>
      </c>
      <c r="EC18">
        <v>8.0837684349360464E-2</v>
      </c>
      <c r="ED18">
        <v>-0.18482275984927593</v>
      </c>
      <c r="EE18">
        <v>-0.10647181150122666</v>
      </c>
      <c r="EF18">
        <v>-2.7733870138205935E-3</v>
      </c>
      <c r="EG18">
        <v>1.0855630539844585E-2</v>
      </c>
      <c r="EH18">
        <v>8.1389721087240616E-2</v>
      </c>
      <c r="EI18">
        <v>1.6031810144643559E-3</v>
      </c>
      <c r="EJ18">
        <v>0.2396044126871445</v>
      </c>
      <c r="EK18">
        <v>0.10804376376462353</v>
      </c>
      <c r="EL18">
        <v>0.10831286516396528</v>
      </c>
      <c r="EM18">
        <v>-0.1502382213055872</v>
      </c>
      <c r="EN18">
        <v>-0.38811281702648792</v>
      </c>
      <c r="EO18">
        <v>0.31210099090500593</v>
      </c>
      <c r="EP18">
        <v>-9.0226094983130722E-2</v>
      </c>
      <c r="EQ18">
        <v>-0.21081508173664817</v>
      </c>
      <c r="ER18">
        <v>0.14778428023631224</v>
      </c>
      <c r="ES18">
        <v>0.14362029688119815</v>
      </c>
      <c r="ET18">
        <v>4.9227562537548897E-2</v>
      </c>
      <c r="EU18">
        <v>0.11787494763608249</v>
      </c>
      <c r="EV18">
        <v>0.12489171351939546</v>
      </c>
      <c r="EW18">
        <v>-0.15534708653995247</v>
      </c>
      <c r="EX18">
        <v>-1.8966210786445024E-2</v>
      </c>
      <c r="EY18">
        <v>7.5027495764741894E-2</v>
      </c>
      <c r="EZ18">
        <v>-0.45704279136242199</v>
      </c>
      <c r="FA18">
        <v>4.3680791853979238E-2</v>
      </c>
      <c r="FB18">
        <v>0.10975518538839825</v>
      </c>
      <c r="FC18">
        <v>-0.21429162777594762</v>
      </c>
      <c r="FD18">
        <v>-5.9398839734126196E-3</v>
      </c>
      <c r="FE18">
        <v>-8.8582961811543445E-2</v>
      </c>
      <c r="FF18">
        <v>0.10680785628786024</v>
      </c>
      <c r="FG18">
        <v>1.2798031938749493E-2</v>
      </c>
      <c r="FH18">
        <v>0.13749412895504839</v>
      </c>
      <c r="FI18">
        <v>9.0572421901314676E-2</v>
      </c>
      <c r="FJ18">
        <v>0.11630970460580581</v>
      </c>
      <c r="FK18">
        <v>0.18702251844323606</v>
      </c>
      <c r="FL18">
        <v>2.6436143244946336E-2</v>
      </c>
      <c r="FM18">
        <v>0.1217522620971561</v>
      </c>
    </row>
    <row r="19" spans="2:169" x14ac:dyDescent="0.25">
      <c r="B19">
        <v>0.22512874056603771</v>
      </c>
      <c r="C19">
        <v>0.42200266037735834</v>
      </c>
      <c r="D19">
        <v>0.78523228537735845</v>
      </c>
      <c r="E19">
        <v>0.50160526650943393</v>
      </c>
      <c r="F19">
        <v>0.61387774292452824</v>
      </c>
      <c r="G19">
        <v>0.43313271698113198</v>
      </c>
      <c r="H19">
        <v>0.31371295283018863</v>
      </c>
      <c r="I19">
        <v>0.44758381132075464</v>
      </c>
      <c r="J19">
        <v>0.80102240566037741</v>
      </c>
      <c r="K19">
        <v>0.71819910849056601</v>
      </c>
      <c r="L19">
        <v>0.44422565330188674</v>
      </c>
      <c r="M19">
        <v>0.70315857547169813</v>
      </c>
      <c r="N19">
        <v>0.42483142924528294</v>
      </c>
      <c r="O19">
        <v>0.41228094103773583</v>
      </c>
      <c r="P19">
        <v>-0.65583481367924534</v>
      </c>
      <c r="Q19">
        <v>1.7656855825471696</v>
      </c>
      <c r="R19">
        <v>2.3728408749999996</v>
      </c>
      <c r="S19">
        <v>2.4212700778301883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2.4212700778301883</v>
      </c>
      <c r="BI19">
        <v>2.1731250660377359</v>
      </c>
      <c r="BJ19">
        <v>1.7433899622641509</v>
      </c>
      <c r="BK19">
        <v>0.27333073820754716</v>
      </c>
      <c r="BL19">
        <v>0.87631331367924525</v>
      </c>
      <c r="BM19">
        <v>0.40046101886792451</v>
      </c>
      <c r="BN19">
        <v>0.4685124150943395</v>
      </c>
      <c r="BO19">
        <v>0.84423472877358485</v>
      </c>
      <c r="BP19">
        <v>0.74497147169811306</v>
      </c>
      <c r="BQ19">
        <v>0.36100882783018867</v>
      </c>
      <c r="BR19">
        <v>0.61531992688679238</v>
      </c>
      <c r="BS19">
        <v>0.57589663915094347</v>
      </c>
      <c r="BT19">
        <v>0.22308654716981133</v>
      </c>
      <c r="BU19">
        <v>0.44255578066037726</v>
      </c>
      <c r="BV19">
        <v>0.65875448349056598</v>
      </c>
      <c r="BW19">
        <v>0.65732888207547158</v>
      </c>
      <c r="BX19">
        <v>0.14054324056603773</v>
      </c>
      <c r="BY19">
        <v>0.33981349292452823</v>
      </c>
      <c r="BZ19">
        <v>0.21581677358490561</v>
      </c>
      <c r="CA19">
        <v>2.0930477452830187</v>
      </c>
      <c r="CB19">
        <v>0.35672930188679242</v>
      </c>
      <c r="CC19">
        <v>6.5397757075471685E-2</v>
      </c>
      <c r="CJ19">
        <v>0.22512874056603771</v>
      </c>
      <c r="CK19">
        <v>0.42200266037735834</v>
      </c>
      <c r="CL19">
        <v>0.78523228537735845</v>
      </c>
      <c r="CM19">
        <v>0.50160526650943393</v>
      </c>
      <c r="CN19">
        <v>0.61387774292452824</v>
      </c>
      <c r="CO19">
        <v>0.43313271698113198</v>
      </c>
      <c r="CP19">
        <v>0.31371295283018863</v>
      </c>
      <c r="CQ19">
        <v>0.44758381132075464</v>
      </c>
      <c r="CR19">
        <v>0.80102240566037741</v>
      </c>
      <c r="CS19">
        <v>0.71819910849056601</v>
      </c>
      <c r="CT19">
        <v>0.44422565330188674</v>
      </c>
      <c r="CU19">
        <v>0.70315857547169813</v>
      </c>
      <c r="CV19">
        <v>0.42483142924528294</v>
      </c>
      <c r="CW19">
        <v>0.41228094103773583</v>
      </c>
      <c r="CX19">
        <v>-0.65583481367924534</v>
      </c>
      <c r="CY19">
        <v>1.7656855825471696</v>
      </c>
      <c r="CZ19">
        <v>2.3728408749999996</v>
      </c>
      <c r="DA19">
        <v>2.4212700778301883</v>
      </c>
      <c r="DB19">
        <v>2.1731250660377359</v>
      </c>
      <c r="DC19">
        <v>1.7433899622641509</v>
      </c>
      <c r="DD19">
        <v>0.27333073820754716</v>
      </c>
      <c r="DE19">
        <v>0.87631331367924525</v>
      </c>
      <c r="DF19">
        <v>0.40046101886792451</v>
      </c>
      <c r="DG19">
        <v>0.4685124150943395</v>
      </c>
      <c r="DH19">
        <v>0.84423472877358485</v>
      </c>
      <c r="DI19">
        <v>0.74497147169811306</v>
      </c>
      <c r="DJ19">
        <v>0.36100882783018867</v>
      </c>
      <c r="DK19">
        <v>0.61531992688679238</v>
      </c>
      <c r="DL19">
        <v>0.57589663915094347</v>
      </c>
      <c r="DM19">
        <v>0.22308654716981133</v>
      </c>
      <c r="DN19">
        <v>0.44255578066037726</v>
      </c>
      <c r="DO19">
        <v>0.65875448349056598</v>
      </c>
      <c r="DP19">
        <v>0.65732888207547158</v>
      </c>
      <c r="DQ19">
        <v>0.14054324056603773</v>
      </c>
      <c r="DR19">
        <v>0.33981349292452823</v>
      </c>
      <c r="DS19">
        <v>0.21581677358490561</v>
      </c>
      <c r="DT19">
        <v>2.0930477452830187</v>
      </c>
      <c r="DU19">
        <v>0.35672930188679242</v>
      </c>
      <c r="DV19">
        <v>6.5397757075471685E-2</v>
      </c>
      <c r="DZ19">
        <v>0.81617150612379386</v>
      </c>
      <c r="EA19">
        <v>6.4995656383357248E-2</v>
      </c>
      <c r="EB19">
        <v>-0.28525876650795046</v>
      </c>
      <c r="EC19">
        <v>0.16496470217143075</v>
      </c>
      <c r="ED19">
        <v>-4.0863698012544913E-2</v>
      </c>
      <c r="EE19">
        <v>1.4526255292579887E-2</v>
      </c>
      <c r="EF19">
        <v>0.22030805917850943</v>
      </c>
      <c r="EG19">
        <v>-4.7362048742188516E-2</v>
      </c>
      <c r="EH19">
        <v>-4.1551232845746071E-3</v>
      </c>
      <c r="EI19">
        <v>-0.11251885221276701</v>
      </c>
      <c r="EJ19">
        <v>4.9457798965930763E-2</v>
      </c>
      <c r="EK19">
        <v>-7.4811120257009381E-2</v>
      </c>
      <c r="EL19">
        <v>-0.11297681423115774</v>
      </c>
      <c r="EM19">
        <v>-0.20372703576301598</v>
      </c>
      <c r="EN19">
        <v>6.4715451429736226E-2</v>
      </c>
      <c r="EO19">
        <v>9.8857452139947982E-2</v>
      </c>
      <c r="EP19">
        <v>0.39696085107701878</v>
      </c>
      <c r="EQ19">
        <v>0.17450035006920389</v>
      </c>
      <c r="ER19">
        <v>-0.10846727390817719</v>
      </c>
      <c r="ES19">
        <v>-8.9132623197030747E-2</v>
      </c>
      <c r="ET19">
        <v>-0.17604390569562617</v>
      </c>
      <c r="EU19">
        <v>-8.5680059406230025E-2</v>
      </c>
      <c r="EV19">
        <v>-6.84394427110082E-2</v>
      </c>
      <c r="EW19">
        <v>-5.0818523573499016E-2</v>
      </c>
      <c r="EX19">
        <v>-0.12347156686173461</v>
      </c>
      <c r="EY19">
        <v>-6.9204616821698428E-2</v>
      </c>
      <c r="EZ19">
        <v>2.7856422717447725E-2</v>
      </c>
      <c r="FA19">
        <v>5.6409083374223727E-2</v>
      </c>
      <c r="FB19">
        <v>0.19197222937527206</v>
      </c>
      <c r="FC19">
        <v>-0.2176781021026685</v>
      </c>
      <c r="FD19">
        <v>1.7280187971542845E-2</v>
      </c>
      <c r="FE19">
        <v>0.2671387892957296</v>
      </c>
      <c r="FF19">
        <v>-3.5077625324813337E-2</v>
      </c>
      <c r="FG19">
        <v>-7.0903260544456087E-3</v>
      </c>
      <c r="FH19">
        <v>-5.3697630819394049E-2</v>
      </c>
      <c r="FI19">
        <v>-7.3239311633407272E-2</v>
      </c>
      <c r="FJ19">
        <v>-0.10840048937546522</v>
      </c>
      <c r="FK19">
        <v>-0.13305416636823067</v>
      </c>
      <c r="FL19">
        <v>0.49129467738164406</v>
      </c>
      <c r="FM19">
        <v>0.17888272462620511</v>
      </c>
    </row>
    <row r="20" spans="2:169" x14ac:dyDescent="0.25">
      <c r="B20">
        <v>0.22869586320754715</v>
      </c>
      <c r="C20">
        <v>0.5293419410377358</v>
      </c>
      <c r="D20">
        <v>0.81560532783018858</v>
      </c>
      <c r="E20">
        <v>0.60497673349056602</v>
      </c>
      <c r="F20">
        <v>0.66839606603773583</v>
      </c>
      <c r="G20">
        <v>0.40214799292452819</v>
      </c>
      <c r="H20">
        <v>0.32769440566037733</v>
      </c>
      <c r="I20">
        <v>0.49769340330188672</v>
      </c>
      <c r="J20">
        <v>0.94529377594339625</v>
      </c>
      <c r="K20">
        <v>0.69010062971698094</v>
      </c>
      <c r="L20">
        <v>0.53090448584905658</v>
      </c>
      <c r="M20">
        <v>0.78245961556603771</v>
      </c>
      <c r="N20">
        <v>-0.14833050707547163</v>
      </c>
      <c r="O20">
        <v>0.4441356462264151</v>
      </c>
      <c r="P20">
        <v>-0.42192285849056604</v>
      </c>
      <c r="Q20">
        <v>1.7402564811320753</v>
      </c>
      <c r="R20">
        <v>2.2548591249999999</v>
      </c>
      <c r="S20">
        <v>2.1731250660377359</v>
      </c>
      <c r="T20">
        <v>3.0804130613207548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3.0804130613207548</v>
      </c>
      <c r="BJ20">
        <v>1.8103222099056602</v>
      </c>
      <c r="BK20">
        <v>0.34610380188679241</v>
      </c>
      <c r="BL20">
        <v>1.1111551273584905</v>
      </c>
      <c r="BM20">
        <v>0.57111171462264143</v>
      </c>
      <c r="BN20">
        <v>0.51546956132075472</v>
      </c>
      <c r="BO20">
        <v>1.2357145872641511</v>
      </c>
      <c r="BP20">
        <v>1.1315335943396225</v>
      </c>
      <c r="BQ20">
        <v>0.40955930424528303</v>
      </c>
      <c r="BR20">
        <v>0.64196260849056586</v>
      </c>
      <c r="BS20">
        <v>0.60555195990566035</v>
      </c>
      <c r="BT20">
        <v>0.18339242452830185</v>
      </c>
      <c r="BU20">
        <v>0.50895592452830185</v>
      </c>
      <c r="BV20">
        <v>0.39346513679245282</v>
      </c>
      <c r="BW20">
        <v>1.2120482570754718</v>
      </c>
      <c r="BX20">
        <v>0.11167560849056604</v>
      </c>
      <c r="BY20">
        <v>0.29619344811320752</v>
      </c>
      <c r="BZ20">
        <v>0.21872841037735843</v>
      </c>
      <c r="CA20">
        <v>1.7228905188679244</v>
      </c>
      <c r="CB20">
        <v>0.40539890094339615</v>
      </c>
      <c r="CC20">
        <v>1.7909816037735851E-2</v>
      </c>
      <c r="CJ20">
        <v>0.22869586320754715</v>
      </c>
      <c r="CK20">
        <v>0.5293419410377358</v>
      </c>
      <c r="CL20">
        <v>0.81560532783018858</v>
      </c>
      <c r="CM20">
        <v>0.60497673349056602</v>
      </c>
      <c r="CN20">
        <v>0.66839606603773583</v>
      </c>
      <c r="CO20">
        <v>0.40214799292452819</v>
      </c>
      <c r="CP20">
        <v>0.32769440566037733</v>
      </c>
      <c r="CQ20">
        <v>0.49769340330188672</v>
      </c>
      <c r="CR20">
        <v>0.94529377594339625</v>
      </c>
      <c r="CS20">
        <v>0.69010062971698094</v>
      </c>
      <c r="CT20">
        <v>0.53090448584905658</v>
      </c>
      <c r="CU20">
        <v>0.78245961556603771</v>
      </c>
      <c r="CV20">
        <v>-0.14833050707547163</v>
      </c>
      <c r="CW20">
        <v>0.4441356462264151</v>
      </c>
      <c r="CX20">
        <v>-0.42192285849056604</v>
      </c>
      <c r="CY20">
        <v>1.7402564811320753</v>
      </c>
      <c r="CZ20">
        <v>2.2548591249999999</v>
      </c>
      <c r="DA20">
        <v>2.1731250660377359</v>
      </c>
      <c r="DB20">
        <v>3.0804130613207548</v>
      </c>
      <c r="DC20">
        <v>1.8103222099056602</v>
      </c>
      <c r="DD20">
        <v>0.34610380188679241</v>
      </c>
      <c r="DE20">
        <v>1.1111551273584905</v>
      </c>
      <c r="DF20">
        <v>0.57111171462264143</v>
      </c>
      <c r="DG20">
        <v>0.51546956132075472</v>
      </c>
      <c r="DH20">
        <v>1.2357145872641511</v>
      </c>
      <c r="DI20">
        <v>1.1315335943396225</v>
      </c>
      <c r="DJ20">
        <v>0.40955930424528303</v>
      </c>
      <c r="DK20">
        <v>0.64196260849056586</v>
      </c>
      <c r="DL20">
        <v>0.60555195990566035</v>
      </c>
      <c r="DM20">
        <v>0.18339242452830185</v>
      </c>
      <c r="DN20">
        <v>0.50895592452830185</v>
      </c>
      <c r="DO20">
        <v>0.39346513679245282</v>
      </c>
      <c r="DP20">
        <v>1.2120482570754718</v>
      </c>
      <c r="DQ20">
        <v>0.11167560849056604</v>
      </c>
      <c r="DR20">
        <v>0.29619344811320752</v>
      </c>
      <c r="DS20">
        <v>0.21872841037735843</v>
      </c>
      <c r="DT20">
        <v>1.7228905188679244</v>
      </c>
      <c r="DU20">
        <v>0.40539890094339615</v>
      </c>
      <c r="DV20">
        <v>1.7909816037735851E-2</v>
      </c>
      <c r="DZ20">
        <v>0.72711070208700734</v>
      </c>
      <c r="EA20">
        <v>4.6602838070814966E-2</v>
      </c>
      <c r="EB20">
        <v>9.6852186183322544E-2</v>
      </c>
      <c r="EC20">
        <v>-0.22156358648225838</v>
      </c>
      <c r="ED20">
        <v>-0.21647566545613992</v>
      </c>
      <c r="EE20">
        <v>-0.19014791371957654</v>
      </c>
      <c r="EF20">
        <v>-0.17489920405335066</v>
      </c>
      <c r="EG20">
        <v>-0.23956610884718507</v>
      </c>
      <c r="EH20">
        <v>5.2420175080866847E-2</v>
      </c>
      <c r="EI20">
        <v>0.1813358434931259</v>
      </c>
      <c r="EJ20">
        <v>-0.2278649220522164</v>
      </c>
      <c r="EK20">
        <v>0.20797805920899753</v>
      </c>
      <c r="EL20">
        <v>0.38121751429050416</v>
      </c>
      <c r="EM20">
        <v>0.12112515630085337</v>
      </c>
      <c r="EN20">
        <v>-3.1459157498740009E-2</v>
      </c>
      <c r="EO20">
        <v>0.17095961066916149</v>
      </c>
      <c r="EP20">
        <v>9.9233741683416768E-2</v>
      </c>
      <c r="EQ20">
        <v>6.2405050996198787E-2</v>
      </c>
      <c r="ER20">
        <v>2.5291966400806706E-2</v>
      </c>
      <c r="ES20">
        <v>-0.11173561318335175</v>
      </c>
      <c r="ET20">
        <v>4.9801650692168423E-2</v>
      </c>
      <c r="EU20">
        <v>-0.3226282302159677</v>
      </c>
      <c r="EV20">
        <v>-0.10109941028715834</v>
      </c>
      <c r="EW20">
        <v>0.20487718191232421</v>
      </c>
      <c r="EX20">
        <v>-2.6756142143368019E-2</v>
      </c>
      <c r="EY20">
        <v>5.2996094289394509E-2</v>
      </c>
      <c r="EZ20">
        <v>8.6546707052583882E-2</v>
      </c>
      <c r="FA20">
        <v>1.3573479610995979E-2</v>
      </c>
      <c r="FB20">
        <v>4.8605599528403376E-2</v>
      </c>
      <c r="FC20">
        <v>-6.5066696915789951E-2</v>
      </c>
      <c r="FD20">
        <v>6.8475094319454866E-2</v>
      </c>
      <c r="FE20">
        <v>0.10432059739976252</v>
      </c>
      <c r="FF20">
        <v>5.3446775509967626E-2</v>
      </c>
      <c r="FG20">
        <v>-5.532388491236577E-2</v>
      </c>
      <c r="FH20">
        <v>0.30281367240095586</v>
      </c>
      <c r="FI20">
        <v>-9.4113960013274045E-2</v>
      </c>
      <c r="FJ20">
        <v>-0.15648176455250623</v>
      </c>
      <c r="FK20">
        <v>-2.4922022572100598E-2</v>
      </c>
      <c r="FL20">
        <v>-2.1567144181618456E-2</v>
      </c>
      <c r="FM20">
        <v>0.3103116648311135</v>
      </c>
    </row>
    <row r="21" spans="2:169" x14ac:dyDescent="0.25">
      <c r="B21">
        <v>6.8885459905660376E-2</v>
      </c>
      <c r="C21">
        <v>8.6711415094339619E-2</v>
      </c>
      <c r="D21">
        <v>0.21319549056603773</v>
      </c>
      <c r="E21">
        <v>0.10542846462264149</v>
      </c>
      <c r="F21">
        <v>0.18166238207547164</v>
      </c>
      <c r="G21">
        <v>0.10455380896226413</v>
      </c>
      <c r="H21">
        <v>0.105233304245283</v>
      </c>
      <c r="I21">
        <v>0.12290311792452829</v>
      </c>
      <c r="J21">
        <v>0.26665282547169805</v>
      </c>
      <c r="K21">
        <v>0.198949429245283</v>
      </c>
      <c r="L21">
        <v>0.20759527122641508</v>
      </c>
      <c r="M21">
        <v>0.2789653183962264</v>
      </c>
      <c r="N21">
        <v>-6.3907429245282713E-3</v>
      </c>
      <c r="O21">
        <v>0.23216267452830186</v>
      </c>
      <c r="P21">
        <v>-0.93852698113207533</v>
      </c>
      <c r="Q21">
        <v>1.6078109410377357</v>
      </c>
      <c r="R21">
        <v>1.7591460070754714</v>
      </c>
      <c r="S21">
        <v>1.7433899622641509</v>
      </c>
      <c r="T21">
        <v>1.8103222099056602</v>
      </c>
      <c r="U21">
        <v>2.574802054245283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2.574802054245283</v>
      </c>
      <c r="BK21">
        <v>0.19667525235849054</v>
      </c>
      <c r="BL21">
        <v>0.41057693160377351</v>
      </c>
      <c r="BM21">
        <v>0.17753907075471695</v>
      </c>
      <c r="BN21">
        <v>0.18496357311320749</v>
      </c>
      <c r="BO21">
        <v>0.34544459669811317</v>
      </c>
      <c r="BP21">
        <v>0.2354924339622641</v>
      </c>
      <c r="BQ21">
        <v>0.11944020283018866</v>
      </c>
      <c r="BR21">
        <v>0.1620470188679245</v>
      </c>
      <c r="BS21">
        <v>0.19296891273584904</v>
      </c>
      <c r="BT21">
        <v>8.3381101415094333E-2</v>
      </c>
      <c r="BU21">
        <v>0.16310851179245281</v>
      </c>
      <c r="BV21">
        <v>0.13283419811320754</v>
      </c>
      <c r="BW21">
        <v>-0.11629737499999998</v>
      </c>
      <c r="BX21">
        <v>3.0396804245283012E-2</v>
      </c>
      <c r="BY21">
        <v>2.1147457547169811E-2</v>
      </c>
      <c r="BZ21">
        <v>0.16089312735849054</v>
      </c>
      <c r="CA21">
        <v>1.3111156037735849</v>
      </c>
      <c r="CB21">
        <v>0.16423567924528301</v>
      </c>
      <c r="CC21">
        <v>-4.1917051886792411E-3</v>
      </c>
      <c r="CJ21">
        <v>6.8885459905660376E-2</v>
      </c>
      <c r="CK21">
        <v>8.6711415094339619E-2</v>
      </c>
      <c r="CL21">
        <v>0.21319549056603773</v>
      </c>
      <c r="CM21">
        <v>0.10542846462264149</v>
      </c>
      <c r="CN21">
        <v>0.18166238207547164</v>
      </c>
      <c r="CO21">
        <v>0.10455380896226413</v>
      </c>
      <c r="CP21">
        <v>0.105233304245283</v>
      </c>
      <c r="CQ21">
        <v>0.12290311792452829</v>
      </c>
      <c r="CR21">
        <v>0.26665282547169805</v>
      </c>
      <c r="CS21">
        <v>0.198949429245283</v>
      </c>
      <c r="CT21">
        <v>0.20759527122641508</v>
      </c>
      <c r="CU21">
        <v>0.2789653183962264</v>
      </c>
      <c r="CV21">
        <v>-6.3907429245282713E-3</v>
      </c>
      <c r="CW21">
        <v>0.23216267452830186</v>
      </c>
      <c r="CX21">
        <v>-0.93852698113207533</v>
      </c>
      <c r="CY21">
        <v>1.6078109410377357</v>
      </c>
      <c r="CZ21">
        <v>1.7591460070754714</v>
      </c>
      <c r="DA21">
        <v>1.7433899622641509</v>
      </c>
      <c r="DB21">
        <v>1.8103222099056602</v>
      </c>
      <c r="DC21">
        <v>2.574802054245283</v>
      </c>
      <c r="DD21">
        <v>0.19667525235849054</v>
      </c>
      <c r="DE21">
        <v>0.41057693160377351</v>
      </c>
      <c r="DF21">
        <v>0.17753907075471695</v>
      </c>
      <c r="DG21">
        <v>0.18496357311320749</v>
      </c>
      <c r="DH21">
        <v>0.34544459669811317</v>
      </c>
      <c r="DI21">
        <v>0.2354924339622641</v>
      </c>
      <c r="DJ21">
        <v>0.11944020283018866</v>
      </c>
      <c r="DK21">
        <v>0.1620470188679245</v>
      </c>
      <c r="DL21">
        <v>0.19296891273584904</v>
      </c>
      <c r="DM21">
        <v>8.3381101415094333E-2</v>
      </c>
      <c r="DN21">
        <v>0.16310851179245281</v>
      </c>
      <c r="DO21">
        <v>0.13283419811320754</v>
      </c>
      <c r="DP21">
        <v>-0.11629737499999998</v>
      </c>
      <c r="DQ21">
        <v>3.0396804245283012E-2</v>
      </c>
      <c r="DR21">
        <v>2.1147457547169811E-2</v>
      </c>
      <c r="DS21">
        <v>0.16089312735849054</v>
      </c>
      <c r="DT21">
        <v>1.3111156037735849</v>
      </c>
      <c r="DU21">
        <v>0.16423567924528301</v>
      </c>
      <c r="DV21">
        <v>-4.1917051886792411E-3</v>
      </c>
      <c r="DZ21">
        <v>0.6746464208180436</v>
      </c>
      <c r="EA21">
        <v>-1.4059851274195366E-2</v>
      </c>
      <c r="EB21">
        <v>0.22477536103976167</v>
      </c>
      <c r="EC21">
        <v>-0.16272452317265879</v>
      </c>
      <c r="ED21">
        <v>6.1262377299644961E-2</v>
      </c>
      <c r="EE21">
        <v>8.7208895649597343E-2</v>
      </c>
      <c r="EF21">
        <v>8.4867812690989919E-2</v>
      </c>
      <c r="EG21">
        <v>8.8283896935249961E-2</v>
      </c>
      <c r="EH21">
        <v>2.3722556373920858E-2</v>
      </c>
      <c r="EI21">
        <v>-1.0590206049108278E-2</v>
      </c>
      <c r="EJ21">
        <v>-3.6769234768959401E-2</v>
      </c>
      <c r="EK21">
        <v>-0.1897926211392558</v>
      </c>
      <c r="EL21">
        <v>-0.17796536601768798</v>
      </c>
      <c r="EM21">
        <v>-0.1216005661410277</v>
      </c>
      <c r="EN21">
        <v>0.13134014371556854</v>
      </c>
      <c r="EO21">
        <v>-9.9890585136830252E-3</v>
      </c>
      <c r="EP21">
        <v>-0.28033787612684152</v>
      </c>
      <c r="EQ21">
        <v>-0.11827632445096124</v>
      </c>
      <c r="ER21">
        <v>4.2402379393126646E-2</v>
      </c>
      <c r="ES21">
        <v>0.11899188097479448</v>
      </c>
      <c r="ET21">
        <v>0.10232182524860359</v>
      </c>
      <c r="EU21">
        <v>0.1499936890743172</v>
      </c>
      <c r="EV21">
        <v>-7.5588510905256229E-2</v>
      </c>
      <c r="EW21">
        <v>-0.18028258804963801</v>
      </c>
      <c r="EX21">
        <v>3.4256176260876438E-2</v>
      </c>
      <c r="EY21">
        <v>-5.2351444523777893E-2</v>
      </c>
      <c r="EZ21">
        <v>-3.7801704886117539E-2</v>
      </c>
      <c r="FA21">
        <v>-4.8599878758982362E-2</v>
      </c>
      <c r="FB21">
        <v>-8.5885029163054238E-2</v>
      </c>
      <c r="FC21">
        <v>0.24342501075754205</v>
      </c>
      <c r="FD21">
        <v>0.28117193106040428</v>
      </c>
      <c r="FE21">
        <v>9.7720406643865929E-2</v>
      </c>
      <c r="FF21">
        <v>-6.0913742236250882E-3</v>
      </c>
      <c r="FG21">
        <v>-2.1039621490559365E-2</v>
      </c>
      <c r="FH21">
        <v>0.20905064515071442</v>
      </c>
      <c r="FI21">
        <v>-7.3801043365409463E-2</v>
      </c>
      <c r="FJ21">
        <v>-8.0101927456847036E-2</v>
      </c>
      <c r="FK21">
        <v>0.12073444089430037</v>
      </c>
      <c r="FL21">
        <v>0.27037632204157097</v>
      </c>
      <c r="FM21">
        <v>0.55515723698793773</v>
      </c>
    </row>
    <row r="22" spans="2:169" x14ac:dyDescent="0.25">
      <c r="B22">
        <v>7.9856382075471702E-2</v>
      </c>
      <c r="C22">
        <v>0.25421858962264149</v>
      </c>
      <c r="D22">
        <v>0.24826763207547164</v>
      </c>
      <c r="E22">
        <v>-0.18831636792452833</v>
      </c>
      <c r="F22">
        <v>0.10476645283018865</v>
      </c>
      <c r="G22">
        <v>0.11243739622641509</v>
      </c>
      <c r="H22">
        <v>0.13151348584905662</v>
      </c>
      <c r="I22">
        <v>-0.18243470047169813</v>
      </c>
      <c r="J22">
        <v>0.15670271226415092</v>
      </c>
      <c r="K22">
        <v>0.27462166745283012</v>
      </c>
      <c r="L22">
        <v>0.15222810377358487</v>
      </c>
      <c r="M22">
        <v>0.17565563443396223</v>
      </c>
      <c r="N22">
        <v>6.3348462264150945E-2</v>
      </c>
      <c r="O22">
        <v>0.14247529952830187</v>
      </c>
      <c r="P22">
        <v>-4.3810648584905673E-2</v>
      </c>
      <c r="Q22">
        <v>0.24989278773584908</v>
      </c>
      <c r="R22">
        <v>0.37196597877358484</v>
      </c>
      <c r="S22">
        <v>0.27333073820754716</v>
      </c>
      <c r="T22">
        <v>0.34610380188679241</v>
      </c>
      <c r="U22">
        <v>0.19667525235849054</v>
      </c>
      <c r="V22">
        <v>0.9201869150943397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0.9201869150943397</v>
      </c>
      <c r="BL22">
        <v>0.53846040801886785</v>
      </c>
      <c r="BM22">
        <v>6.1522844339622643E-2</v>
      </c>
      <c r="BN22">
        <v>0.14053426650943396</v>
      </c>
      <c r="BO22">
        <v>0.34292614386792453</v>
      </c>
      <c r="BP22">
        <v>0.39871451886792447</v>
      </c>
      <c r="BQ22">
        <v>0.1145161037735849</v>
      </c>
      <c r="BR22">
        <v>0.26907419575471692</v>
      </c>
      <c r="BS22">
        <v>0.15545562028301887</v>
      </c>
      <c r="BT22">
        <v>5.5273893867924521E-2</v>
      </c>
      <c r="BU22">
        <v>0.16614180188679242</v>
      </c>
      <c r="BV22">
        <v>0.20296089150943394</v>
      </c>
      <c r="BW22">
        <v>0.18371404716981132</v>
      </c>
      <c r="BX22">
        <v>3.6500068396226416E-2</v>
      </c>
      <c r="BY22">
        <v>2.9006910377358482E-2</v>
      </c>
      <c r="BZ22">
        <v>3.8351242924528302E-2</v>
      </c>
      <c r="CA22">
        <v>0.28448015801886795</v>
      </c>
      <c r="CB22">
        <v>5.5325325471698106E-2</v>
      </c>
      <c r="CC22">
        <v>4.895549764150943E-2</v>
      </c>
      <c r="CJ22">
        <v>7.9856382075471702E-2</v>
      </c>
      <c r="CK22">
        <v>0.25421858962264149</v>
      </c>
      <c r="CL22">
        <v>0.24826763207547164</v>
      </c>
      <c r="CM22">
        <v>-0.18831636792452833</v>
      </c>
      <c r="CN22">
        <v>0.10476645283018865</v>
      </c>
      <c r="CO22">
        <v>0.11243739622641509</v>
      </c>
      <c r="CP22">
        <v>0.13151348584905662</v>
      </c>
      <c r="CQ22">
        <v>-0.18243470047169813</v>
      </c>
      <c r="CR22">
        <v>0.15670271226415092</v>
      </c>
      <c r="CS22">
        <v>0.27462166745283012</v>
      </c>
      <c r="CT22">
        <v>0.15222810377358487</v>
      </c>
      <c r="CU22">
        <v>0.17565563443396223</v>
      </c>
      <c r="CV22">
        <v>6.3348462264150945E-2</v>
      </c>
      <c r="CW22">
        <v>0.14247529952830187</v>
      </c>
      <c r="CX22">
        <v>-4.3810648584905673E-2</v>
      </c>
      <c r="CY22">
        <v>0.24989278773584908</v>
      </c>
      <c r="CZ22">
        <v>0.37196597877358484</v>
      </c>
      <c r="DA22">
        <v>0.27333073820754716</v>
      </c>
      <c r="DB22">
        <v>0.34610380188679241</v>
      </c>
      <c r="DC22">
        <v>0.19667525235849054</v>
      </c>
      <c r="DD22">
        <v>0.9201869150943397</v>
      </c>
      <c r="DE22">
        <v>0.53846040801886785</v>
      </c>
      <c r="DF22">
        <v>6.1522844339622643E-2</v>
      </c>
      <c r="DG22">
        <v>0.14053426650943396</v>
      </c>
      <c r="DH22">
        <v>0.34292614386792453</v>
      </c>
      <c r="DI22">
        <v>0.39871451886792447</v>
      </c>
      <c r="DJ22">
        <v>0.1145161037735849</v>
      </c>
      <c r="DK22">
        <v>0.26907419575471692</v>
      </c>
      <c r="DL22">
        <v>0.15545562028301887</v>
      </c>
      <c r="DM22">
        <v>5.5273893867924521E-2</v>
      </c>
      <c r="DN22">
        <v>0.16614180188679242</v>
      </c>
      <c r="DO22">
        <v>0.20296089150943394</v>
      </c>
      <c r="DP22">
        <v>0.18371404716981132</v>
      </c>
      <c r="DQ22">
        <v>3.6500068396226416E-2</v>
      </c>
      <c r="DR22">
        <v>2.9006910377358482E-2</v>
      </c>
      <c r="DS22">
        <v>3.8351242924528302E-2</v>
      </c>
      <c r="DT22">
        <v>0.28448015801886795</v>
      </c>
      <c r="DU22">
        <v>5.5325325471698106E-2</v>
      </c>
      <c r="DV22">
        <v>4.895549764150943E-2</v>
      </c>
      <c r="DZ22">
        <v>0.62171401694039763</v>
      </c>
      <c r="EA22">
        <v>5.0171016666029432E-2</v>
      </c>
      <c r="EB22">
        <v>0.29716587212870538</v>
      </c>
      <c r="EC22">
        <v>7.8263740907672675E-3</v>
      </c>
      <c r="ED22">
        <v>2.7054784607492621E-2</v>
      </c>
      <c r="EE22">
        <v>-0.11708977463785364</v>
      </c>
      <c r="EF22">
        <v>-6.0489276472938516E-2</v>
      </c>
      <c r="EG22">
        <v>0.21099466832885208</v>
      </c>
      <c r="EH22">
        <v>-7.6717446134570558E-2</v>
      </c>
      <c r="EI22">
        <v>-3.8631973208459576E-2</v>
      </c>
      <c r="EJ22">
        <v>0.13065010786100922</v>
      </c>
      <c r="EK22">
        <v>0.17991717602397259</v>
      </c>
      <c r="EL22">
        <v>0.15846449889110897</v>
      </c>
      <c r="EM22">
        <v>-0.10374320207020464</v>
      </c>
      <c r="EN22">
        <v>0.12174105550185282</v>
      </c>
      <c r="EO22">
        <v>2.1174494682569558E-2</v>
      </c>
      <c r="EP22">
        <v>-6.4238279048602562E-2</v>
      </c>
      <c r="EQ22">
        <v>2.2085052721423529E-2</v>
      </c>
      <c r="ER22">
        <v>-0.11602403261834049</v>
      </c>
      <c r="ES22">
        <v>0.16328882306138959</v>
      </c>
      <c r="ET22">
        <v>5.9324732724569548E-2</v>
      </c>
      <c r="EU22">
        <v>6.111613736172055E-2</v>
      </c>
      <c r="EV22">
        <v>-0.23500690400404248</v>
      </c>
      <c r="EW22">
        <v>0.14055622288653005</v>
      </c>
      <c r="EX22">
        <v>-0.67882830051069865</v>
      </c>
      <c r="EY22">
        <v>-9.716649532128814E-2</v>
      </c>
      <c r="EZ22">
        <v>-0.17188048933459182</v>
      </c>
      <c r="FA22">
        <v>0.17065318935893792</v>
      </c>
      <c r="FB22">
        <v>0.12519249283928016</v>
      </c>
      <c r="FC22">
        <v>0.14892452304087486</v>
      </c>
      <c r="FD22">
        <v>-2.7053871567605432E-2</v>
      </c>
      <c r="FE22">
        <v>8.46747578794914E-2</v>
      </c>
      <c r="FF22">
        <v>6.8856172259149653E-2</v>
      </c>
      <c r="FG22">
        <v>-7.0414047526560428E-3</v>
      </c>
      <c r="FH22">
        <v>-0.10931471651749644</v>
      </c>
      <c r="FI22">
        <v>4.8165776521016779E-2</v>
      </c>
      <c r="FJ22">
        <v>3.1128455214505271E-2</v>
      </c>
      <c r="FK22">
        <v>-8.602917154863915E-2</v>
      </c>
      <c r="FL22">
        <v>4.8299337536964276E-2</v>
      </c>
      <c r="FM22">
        <v>-8.4407212568536852E-2</v>
      </c>
    </row>
    <row r="23" spans="2:169" x14ac:dyDescent="0.25">
      <c r="B23">
        <v>0.31227037971698113</v>
      </c>
      <c r="C23">
        <v>0.77193199764150933</v>
      </c>
      <c r="D23">
        <v>1.1066464646226413</v>
      </c>
      <c r="E23">
        <v>0.7788940283018867</v>
      </c>
      <c r="F23">
        <v>0.83775942452830177</v>
      </c>
      <c r="G23">
        <v>0.56667859198113191</v>
      </c>
      <c r="H23">
        <v>0.36976095754716987</v>
      </c>
      <c r="I23">
        <v>0.43360889386792456</v>
      </c>
      <c r="J23">
        <v>0.98673460141509439</v>
      </c>
      <c r="K23">
        <v>0.91094780424528299</v>
      </c>
      <c r="L23">
        <v>0.47322393396226409</v>
      </c>
      <c r="M23">
        <v>0.98136838679245275</v>
      </c>
      <c r="N23">
        <v>0.39805485613207542</v>
      </c>
      <c r="O23">
        <v>0.58452156367924524</v>
      </c>
      <c r="P23">
        <v>0.69435732783018878</v>
      </c>
      <c r="Q23">
        <v>0.63760392216981121</v>
      </c>
      <c r="R23">
        <v>1.196811988207547</v>
      </c>
      <c r="S23">
        <v>0.87631331367924525</v>
      </c>
      <c r="T23">
        <v>1.1111551273584905</v>
      </c>
      <c r="U23">
        <v>0.41057693160377351</v>
      </c>
      <c r="V23">
        <v>0.53846040801886785</v>
      </c>
      <c r="W23">
        <v>1.7534153113207545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1.7534153113207545</v>
      </c>
      <c r="BM23">
        <v>0.64995930188679241</v>
      </c>
      <c r="BN23">
        <v>0.77842700471698123</v>
      </c>
      <c r="BO23">
        <v>0.94960374999999986</v>
      </c>
      <c r="BP23">
        <v>1.1284416155660375</v>
      </c>
      <c r="BQ23">
        <v>0.48449533018867919</v>
      </c>
      <c r="BR23">
        <v>0.80856836556603762</v>
      </c>
      <c r="BS23">
        <v>0.62833451179245281</v>
      </c>
      <c r="BT23">
        <v>0.19010466981132074</v>
      </c>
      <c r="BU23">
        <v>0.57327241273584895</v>
      </c>
      <c r="BV23">
        <v>0.78352941037735846</v>
      </c>
      <c r="BW23">
        <v>0.86268758962264147</v>
      </c>
      <c r="BX23">
        <v>0.18322545283018865</v>
      </c>
      <c r="BY23">
        <v>0.37978289622641509</v>
      </c>
      <c r="BZ23">
        <v>0.27480658490566034</v>
      </c>
      <c r="CA23">
        <v>0.96959631367924526</v>
      </c>
      <c r="CB23">
        <v>0.45387457783018859</v>
      </c>
      <c r="CC23">
        <v>7.4751155660377436E-3</v>
      </c>
      <c r="CJ23">
        <v>0.31227037971698113</v>
      </c>
      <c r="CK23">
        <v>0.77193199764150933</v>
      </c>
      <c r="CL23">
        <v>1.1066464646226413</v>
      </c>
      <c r="CM23">
        <v>0.7788940283018867</v>
      </c>
      <c r="CN23">
        <v>0.83775942452830177</v>
      </c>
      <c r="CO23">
        <v>0.56667859198113191</v>
      </c>
      <c r="CP23">
        <v>0.36976095754716987</v>
      </c>
      <c r="CQ23">
        <v>0.43360889386792456</v>
      </c>
      <c r="CR23">
        <v>0.98673460141509439</v>
      </c>
      <c r="CS23">
        <v>0.91094780424528299</v>
      </c>
      <c r="CT23">
        <v>0.47322393396226409</v>
      </c>
      <c r="CU23">
        <v>0.98136838679245275</v>
      </c>
      <c r="CV23">
        <v>0.39805485613207542</v>
      </c>
      <c r="CW23">
        <v>0.58452156367924524</v>
      </c>
      <c r="CX23">
        <v>0.69435732783018878</v>
      </c>
      <c r="CY23">
        <v>0.63760392216981121</v>
      </c>
      <c r="CZ23">
        <v>1.196811988207547</v>
      </c>
      <c r="DA23">
        <v>0.87631331367924525</v>
      </c>
      <c r="DB23">
        <v>1.1111551273584905</v>
      </c>
      <c r="DC23">
        <v>0.41057693160377351</v>
      </c>
      <c r="DD23">
        <v>0.53846040801886785</v>
      </c>
      <c r="DE23">
        <v>1.7534153113207545</v>
      </c>
      <c r="DF23">
        <v>0.64995930188679241</v>
      </c>
      <c r="DG23">
        <v>0.77842700471698123</v>
      </c>
      <c r="DH23">
        <v>0.94960374999999986</v>
      </c>
      <c r="DI23">
        <v>1.1284416155660375</v>
      </c>
      <c r="DJ23">
        <v>0.48449533018867919</v>
      </c>
      <c r="DK23">
        <v>0.80856836556603762</v>
      </c>
      <c r="DL23">
        <v>0.62833451179245281</v>
      </c>
      <c r="DM23">
        <v>0.19010466981132074</v>
      </c>
      <c r="DN23">
        <v>0.57327241273584895</v>
      </c>
      <c r="DO23">
        <v>0.78352941037735846</v>
      </c>
      <c r="DP23">
        <v>0.86268758962264147</v>
      </c>
      <c r="DQ23">
        <v>0.18322545283018865</v>
      </c>
      <c r="DR23">
        <v>0.37978289622641509</v>
      </c>
      <c r="DS23">
        <v>0.27480658490566034</v>
      </c>
      <c r="DT23">
        <v>0.96959631367924526</v>
      </c>
      <c r="DU23">
        <v>0.45387457783018859</v>
      </c>
      <c r="DV23">
        <v>7.4751155660377436E-3</v>
      </c>
      <c r="DZ23">
        <v>0.54981164056780973</v>
      </c>
      <c r="EA23">
        <v>4.2206066289622458E-2</v>
      </c>
      <c r="EB23">
        <v>-7.1380008356843938E-2</v>
      </c>
      <c r="EC23">
        <v>9.317835009719147E-2</v>
      </c>
      <c r="ED23">
        <v>-0.31173931058882787</v>
      </c>
      <c r="EE23">
        <v>9.9379940489187746E-2</v>
      </c>
      <c r="EF23">
        <v>0.30453755758088868</v>
      </c>
      <c r="EG23">
        <v>-4.7002278911623001E-2</v>
      </c>
      <c r="EH23">
        <v>2.7705643576640314E-2</v>
      </c>
      <c r="EI23">
        <v>0.14826723335842773</v>
      </c>
      <c r="EJ23">
        <v>6.3007741427648237E-3</v>
      </c>
      <c r="EK23">
        <v>7.2450680761881978E-2</v>
      </c>
      <c r="EL23">
        <v>0.15146377580432652</v>
      </c>
      <c r="EM23">
        <v>-0.16367341085585524</v>
      </c>
      <c r="EN23">
        <v>0.3219031096616497</v>
      </c>
      <c r="EO23">
        <v>7.4285001162242639E-2</v>
      </c>
      <c r="EP23">
        <v>-7.8552106632783156E-2</v>
      </c>
      <c r="EQ23">
        <v>6.3350776282971755E-2</v>
      </c>
      <c r="ER23">
        <v>9.7813352181593288E-2</v>
      </c>
      <c r="ES23">
        <v>6.1455886708599626E-3</v>
      </c>
      <c r="ET23">
        <v>-5.179693526504757E-2</v>
      </c>
      <c r="EU23">
        <v>3.540691753349854E-2</v>
      </c>
      <c r="EV23">
        <v>-0.42139436598627</v>
      </c>
      <c r="EW23">
        <v>-0.15085188894234292</v>
      </c>
      <c r="EX23">
        <v>0.10048840850937536</v>
      </c>
      <c r="EY23">
        <v>0.13047038803547981</v>
      </c>
      <c r="EZ23">
        <v>-4.4390356300308478E-2</v>
      </c>
      <c r="FA23">
        <v>-0.34584520508326144</v>
      </c>
      <c r="FB23">
        <v>0.12164697601657447</v>
      </c>
      <c r="FC23">
        <v>0.15944559638125658</v>
      </c>
      <c r="FD23">
        <v>-0.28029944637147391</v>
      </c>
      <c r="FE23">
        <v>-0.17378214267682096</v>
      </c>
      <c r="FF23">
        <v>6.0423892466878841E-2</v>
      </c>
      <c r="FG23">
        <v>-5.5299013304074496E-2</v>
      </c>
      <c r="FH23">
        <v>-0.17512915995186421</v>
      </c>
      <c r="FI23">
        <v>-5.6084050577841625E-2</v>
      </c>
      <c r="FJ23">
        <v>2.0455213872506324E-2</v>
      </c>
      <c r="FK23">
        <v>-8.2595364499919147E-4</v>
      </c>
      <c r="FL23">
        <v>-0.15663460364925627</v>
      </c>
      <c r="FM23">
        <v>9.1101793991265875E-2</v>
      </c>
    </row>
    <row r="24" spans="2:169" x14ac:dyDescent="0.25">
      <c r="B24">
        <v>0.1461871438679245</v>
      </c>
      <c r="C24">
        <v>0.27963988915094334</v>
      </c>
      <c r="D24">
        <v>0.62180616037735847</v>
      </c>
      <c r="E24">
        <v>0.3319134976415094</v>
      </c>
      <c r="F24">
        <v>0.9192799905660376</v>
      </c>
      <c r="G24">
        <v>0.37738795283018861</v>
      </c>
      <c r="H24">
        <v>0.23811404009433959</v>
      </c>
      <c r="I24">
        <v>4.5434917452830174E-2</v>
      </c>
      <c r="J24">
        <v>1.0922759386792451</v>
      </c>
      <c r="K24">
        <v>0.44374872641509427</v>
      </c>
      <c r="L24">
        <v>0.21717602358490562</v>
      </c>
      <c r="M24">
        <v>0.52387639622641502</v>
      </c>
      <c r="N24">
        <v>0.23734662028301884</v>
      </c>
      <c r="O24">
        <v>0.28581430424528298</v>
      </c>
      <c r="P24">
        <v>0.36694940566037737</v>
      </c>
      <c r="Q24">
        <v>0.25764320754716974</v>
      </c>
      <c r="R24">
        <v>0.55396547641509419</v>
      </c>
      <c r="S24">
        <v>0.40046101886792451</v>
      </c>
      <c r="T24">
        <v>0.57111171462264143</v>
      </c>
      <c r="U24">
        <v>0.17753907075471695</v>
      </c>
      <c r="V24">
        <v>6.1522844339622643E-2</v>
      </c>
      <c r="W24">
        <v>0.64995930188679241</v>
      </c>
      <c r="X24">
        <v>1.2211670117924529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1.2211670117924529</v>
      </c>
      <c r="BN24">
        <v>0.32507736320754721</v>
      </c>
      <c r="BO24">
        <v>4.7262797169811327E-2</v>
      </c>
      <c r="BP24">
        <v>0.41629446698113204</v>
      </c>
      <c r="BQ24">
        <v>0.2377791863207547</v>
      </c>
      <c r="BR24">
        <v>0.27108849528301882</v>
      </c>
      <c r="BS24">
        <v>0.32268052594339619</v>
      </c>
      <c r="BT24">
        <v>0.11410910141509432</v>
      </c>
      <c r="BU24">
        <v>0.30314210141509434</v>
      </c>
      <c r="BV24">
        <v>0.24024342452830189</v>
      </c>
      <c r="BW24">
        <v>0.41995377830188679</v>
      </c>
      <c r="BX24">
        <v>0.14540491509433962</v>
      </c>
      <c r="BY24">
        <v>0.19977593160377358</v>
      </c>
      <c r="BZ24">
        <v>0.23758967924528304</v>
      </c>
      <c r="CA24">
        <v>0.51460936792452827</v>
      </c>
      <c r="CB24">
        <v>0.30322403066037734</v>
      </c>
      <c r="CC24">
        <v>-2.2757398584905653E-2</v>
      </c>
      <c r="CJ24">
        <v>0.1461871438679245</v>
      </c>
      <c r="CK24">
        <v>0.27963988915094334</v>
      </c>
      <c r="CL24">
        <v>0.62180616037735847</v>
      </c>
      <c r="CM24">
        <v>0.3319134976415094</v>
      </c>
      <c r="CN24">
        <v>0.9192799905660376</v>
      </c>
      <c r="CO24">
        <v>0.37738795283018861</v>
      </c>
      <c r="CP24">
        <v>0.23811404009433959</v>
      </c>
      <c r="CQ24">
        <v>4.5434917452830174E-2</v>
      </c>
      <c r="CR24">
        <v>1.0922759386792451</v>
      </c>
      <c r="CS24">
        <v>0.44374872641509427</v>
      </c>
      <c r="CT24">
        <v>0.21717602358490562</v>
      </c>
      <c r="CU24">
        <v>0.52387639622641502</v>
      </c>
      <c r="CV24">
        <v>0.23734662028301884</v>
      </c>
      <c r="CW24">
        <v>0.28581430424528298</v>
      </c>
      <c r="CX24">
        <v>0.36694940566037737</v>
      </c>
      <c r="CY24">
        <v>0.25764320754716974</v>
      </c>
      <c r="CZ24">
        <v>0.55396547641509419</v>
      </c>
      <c r="DA24">
        <v>0.40046101886792451</v>
      </c>
      <c r="DB24">
        <v>0.57111171462264143</v>
      </c>
      <c r="DC24">
        <v>0.17753907075471695</v>
      </c>
      <c r="DD24">
        <v>6.1522844339622643E-2</v>
      </c>
      <c r="DE24">
        <v>0.64995930188679241</v>
      </c>
      <c r="DF24">
        <v>1.2211670117924529</v>
      </c>
      <c r="DG24">
        <v>0.32507736320754721</v>
      </c>
      <c r="DH24">
        <v>4.7262797169811327E-2</v>
      </c>
      <c r="DI24">
        <v>0.41629446698113204</v>
      </c>
      <c r="DJ24">
        <v>0.2377791863207547</v>
      </c>
      <c r="DK24">
        <v>0.27108849528301882</v>
      </c>
      <c r="DL24">
        <v>0.32268052594339619</v>
      </c>
      <c r="DM24">
        <v>0.11410910141509432</v>
      </c>
      <c r="DN24">
        <v>0.30314210141509434</v>
      </c>
      <c r="DO24">
        <v>0.24024342452830189</v>
      </c>
      <c r="DP24">
        <v>0.41995377830188679</v>
      </c>
      <c r="DQ24">
        <v>0.14540491509433962</v>
      </c>
      <c r="DR24">
        <v>0.19977593160377358</v>
      </c>
      <c r="DS24">
        <v>0.23758967924528304</v>
      </c>
      <c r="DT24">
        <v>0.51460936792452827</v>
      </c>
      <c r="DU24">
        <v>0.30322403066037734</v>
      </c>
      <c r="DV24">
        <v>-2.2757398584905653E-2</v>
      </c>
      <c r="DZ24">
        <v>0.52569992267431476</v>
      </c>
      <c r="EA24">
        <v>0.13172715720693734</v>
      </c>
      <c r="EB24">
        <v>-7.6136302970274003E-2</v>
      </c>
      <c r="EC24">
        <v>0.1435225049289395</v>
      </c>
      <c r="ED24">
        <v>-0.20132250056988324</v>
      </c>
      <c r="EE24">
        <v>-1.9509766348120943E-2</v>
      </c>
      <c r="EF24">
        <v>-0.19682401849669712</v>
      </c>
      <c r="EG24">
        <v>3.0491176637139888E-2</v>
      </c>
      <c r="EH24">
        <v>0.12375796388682653</v>
      </c>
      <c r="EI24">
        <v>0.20265398145780902</v>
      </c>
      <c r="EJ24">
        <v>-0.3006814517213966</v>
      </c>
      <c r="EK24">
        <v>0.11599403730825994</v>
      </c>
      <c r="EL24">
        <v>-0.43026595193368883</v>
      </c>
      <c r="EM24">
        <v>0.19253654341057821</v>
      </c>
      <c r="EN24">
        <v>0.30976482281181356</v>
      </c>
      <c r="EO24">
        <v>9.9036194118132373E-2</v>
      </c>
      <c r="EP24">
        <v>-2.189198553178064E-3</v>
      </c>
      <c r="EQ24">
        <v>-4.5317458436150385E-2</v>
      </c>
      <c r="ER24">
        <v>-1.5863267998646732E-2</v>
      </c>
      <c r="ES24">
        <v>4.9692408288830705E-3</v>
      </c>
      <c r="ET24">
        <v>0.13484792259891387</v>
      </c>
      <c r="EU24">
        <v>2.3014109577005219E-2</v>
      </c>
      <c r="EV24">
        <v>-1.8776474457538907E-2</v>
      </c>
      <c r="EW24">
        <v>1.5716748415846828E-2</v>
      </c>
      <c r="EX24">
        <v>6.202955202451195E-2</v>
      </c>
      <c r="EY24">
        <v>0.23527077092659435</v>
      </c>
      <c r="EZ24">
        <v>-0.27555378080265769</v>
      </c>
      <c r="FA24">
        <v>0.33904254337643092</v>
      </c>
      <c r="FB24">
        <v>-8.0613517992973296E-2</v>
      </c>
      <c r="FC24">
        <v>1.010012760209405E-3</v>
      </c>
      <c r="FD24">
        <v>4.2941240466630261E-2</v>
      </c>
      <c r="FE24">
        <v>-1.2652224887492812E-2</v>
      </c>
      <c r="FF24">
        <v>0.21013223126787722</v>
      </c>
      <c r="FG24">
        <v>0.12647690220437116</v>
      </c>
      <c r="FH24">
        <v>-0.13536610054768533</v>
      </c>
      <c r="FI24">
        <v>-9.9756403545794584E-2</v>
      </c>
      <c r="FJ24">
        <v>-4.125290015648439E-2</v>
      </c>
      <c r="FK24">
        <v>-9.6421149677327955E-2</v>
      </c>
      <c r="FL24">
        <v>7.7499242157633333E-2</v>
      </c>
      <c r="FM24">
        <v>-4.2403006347346603E-2</v>
      </c>
    </row>
    <row r="25" spans="2:169" x14ac:dyDescent="0.25">
      <c r="B25">
        <v>0.17072622169811319</v>
      </c>
      <c r="C25">
        <v>0.41055021698113198</v>
      </c>
      <c r="D25">
        <v>0.57884508254716982</v>
      </c>
      <c r="E25">
        <v>0.46392601415094337</v>
      </c>
      <c r="F25">
        <v>0.65852656603773574</v>
      </c>
      <c r="G25">
        <v>0.3441392617924528</v>
      </c>
      <c r="H25">
        <v>0.1825354858490566</v>
      </c>
      <c r="I25">
        <v>0.29975694339622638</v>
      </c>
      <c r="J25">
        <v>0.68914961320754708</v>
      </c>
      <c r="K25">
        <v>0.46235223584905655</v>
      </c>
      <c r="L25">
        <v>0.30545680424528293</v>
      </c>
      <c r="M25">
        <v>0.47012117216981136</v>
      </c>
      <c r="N25">
        <v>0.25194944811320757</v>
      </c>
      <c r="O25">
        <v>0.31818955188679243</v>
      </c>
      <c r="P25">
        <v>0.35443176886792449</v>
      </c>
      <c r="Q25">
        <v>0.297636391509434</v>
      </c>
      <c r="R25">
        <v>0.61945008490566034</v>
      </c>
      <c r="S25">
        <v>0.4685124150943395</v>
      </c>
      <c r="T25">
        <v>0.51546956132075472</v>
      </c>
      <c r="U25">
        <v>0.18496357311320749</v>
      </c>
      <c r="V25">
        <v>0.14053426650943396</v>
      </c>
      <c r="W25">
        <v>0.77842700471698123</v>
      </c>
      <c r="X25">
        <v>0.32507736320754721</v>
      </c>
      <c r="Y25">
        <v>0.88670089150943399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0.88670089150943399</v>
      </c>
      <c r="BO25">
        <v>0.34627418160377355</v>
      </c>
      <c r="BP25">
        <v>0.56537027830188669</v>
      </c>
      <c r="BQ25">
        <v>0.13281104716981129</v>
      </c>
      <c r="BR25">
        <v>0.44855667688679235</v>
      </c>
      <c r="BS25">
        <v>0.35354061320754715</v>
      </c>
      <c r="BT25">
        <v>9.887150471698114E-2</v>
      </c>
      <c r="BU25">
        <v>0.29752273584905653</v>
      </c>
      <c r="BV25">
        <v>0.54433419103773573</v>
      </c>
      <c r="BW25">
        <v>0.49978606603773579</v>
      </c>
      <c r="BX25">
        <v>0.12289340330188679</v>
      </c>
      <c r="BY25">
        <v>0.23969650943396226</v>
      </c>
      <c r="BZ25">
        <v>0.12957518160377357</v>
      </c>
      <c r="CA25">
        <v>0.54409751650943383</v>
      </c>
      <c r="CB25">
        <v>0.24139162028301889</v>
      </c>
      <c r="CC25">
        <v>-5.7161320754716954E-3</v>
      </c>
      <c r="CJ25">
        <v>0.17072622169811319</v>
      </c>
      <c r="CK25">
        <v>0.41055021698113198</v>
      </c>
      <c r="CL25">
        <v>0.57884508254716982</v>
      </c>
      <c r="CM25">
        <v>0.46392601415094337</v>
      </c>
      <c r="CN25">
        <v>0.65852656603773574</v>
      </c>
      <c r="CO25">
        <v>0.3441392617924528</v>
      </c>
      <c r="CP25">
        <v>0.1825354858490566</v>
      </c>
      <c r="CQ25">
        <v>0.29975694339622638</v>
      </c>
      <c r="CR25">
        <v>0.68914961320754708</v>
      </c>
      <c r="CS25">
        <v>0.46235223584905655</v>
      </c>
      <c r="CT25">
        <v>0.30545680424528293</v>
      </c>
      <c r="CU25">
        <v>0.47012117216981136</v>
      </c>
      <c r="CV25">
        <v>0.25194944811320757</v>
      </c>
      <c r="CW25">
        <v>0.31818955188679243</v>
      </c>
      <c r="CX25">
        <v>0.35443176886792449</v>
      </c>
      <c r="CY25">
        <v>0.297636391509434</v>
      </c>
      <c r="CZ25">
        <v>0.61945008490566034</v>
      </c>
      <c r="DA25">
        <v>0.4685124150943395</v>
      </c>
      <c r="DB25">
        <v>0.51546956132075472</v>
      </c>
      <c r="DC25">
        <v>0.18496357311320749</v>
      </c>
      <c r="DD25">
        <v>0.14053426650943396</v>
      </c>
      <c r="DE25">
        <v>0.77842700471698123</v>
      </c>
      <c r="DF25">
        <v>0.32507736320754721</v>
      </c>
      <c r="DG25">
        <v>0.88670089150943399</v>
      </c>
      <c r="DH25">
        <v>0.34627418160377355</v>
      </c>
      <c r="DI25">
        <v>0.56537027830188669</v>
      </c>
      <c r="DJ25">
        <v>0.13281104716981129</v>
      </c>
      <c r="DK25">
        <v>0.44855667688679235</v>
      </c>
      <c r="DL25">
        <v>0.35354061320754715</v>
      </c>
      <c r="DM25">
        <v>9.887150471698114E-2</v>
      </c>
      <c r="DN25">
        <v>0.29752273584905653</v>
      </c>
      <c r="DO25">
        <v>0.54433419103773573</v>
      </c>
      <c r="DP25">
        <v>0.49978606603773579</v>
      </c>
      <c r="DQ25">
        <v>0.12289340330188679</v>
      </c>
      <c r="DR25">
        <v>0.23969650943396226</v>
      </c>
      <c r="DS25">
        <v>0.12957518160377357</v>
      </c>
      <c r="DT25">
        <v>0.54409751650943383</v>
      </c>
      <c r="DU25">
        <v>0.24139162028301889</v>
      </c>
      <c r="DV25">
        <v>-5.7161320754716954E-3</v>
      </c>
      <c r="DZ25">
        <v>0.484400502593965</v>
      </c>
      <c r="EA25">
        <v>3.9197486557748538E-2</v>
      </c>
      <c r="EB25">
        <v>4.4494011712264608E-2</v>
      </c>
      <c r="EC25">
        <v>3.677910208441381E-2</v>
      </c>
      <c r="ED25">
        <v>-1.162977788077362E-2</v>
      </c>
      <c r="EE25">
        <v>-2.3870517492193519E-2</v>
      </c>
      <c r="EF25">
        <v>1.3833263418628085E-3</v>
      </c>
      <c r="EG25">
        <v>0.12860782049727335</v>
      </c>
      <c r="EH25">
        <v>-0.25045157001284318</v>
      </c>
      <c r="EI25">
        <v>-0.13655465933111133</v>
      </c>
      <c r="EJ25">
        <v>8.8337843715111958E-3</v>
      </c>
      <c r="EK25">
        <v>0.20769847038404479</v>
      </c>
      <c r="EL25">
        <v>-3.6703164436986895E-2</v>
      </c>
      <c r="EM25">
        <v>0.19843932519967244</v>
      </c>
      <c r="EN25">
        <v>-0.23138177639787919</v>
      </c>
      <c r="EO25">
        <v>-0.13185959892462459</v>
      </c>
      <c r="EP25">
        <v>-0.16423614490104627</v>
      </c>
      <c r="EQ25">
        <v>1.5204612221874957E-2</v>
      </c>
      <c r="ER25">
        <v>-0.11744244496485244</v>
      </c>
      <c r="ES25">
        <v>8.8378400992156214E-2</v>
      </c>
      <c r="ET25">
        <v>0.20669469938496432</v>
      </c>
      <c r="EU25">
        <v>-8.5145049111879742E-2</v>
      </c>
      <c r="EV25">
        <v>-0.17530790349139483</v>
      </c>
      <c r="EW25">
        <v>8.1626596312813354E-2</v>
      </c>
      <c r="EX25">
        <v>0.28578300046193267</v>
      </c>
      <c r="EY25">
        <v>3.0674520713325163E-2</v>
      </c>
      <c r="EZ25">
        <v>-7.4835943533845969E-2</v>
      </c>
      <c r="FA25">
        <v>-0.17480301208958227</v>
      </c>
      <c r="FB25">
        <v>9.9273691391192437E-2</v>
      </c>
      <c r="FC25">
        <v>0.12207855141680587</v>
      </c>
      <c r="FD25">
        <v>-0.32982918817011808</v>
      </c>
      <c r="FE25">
        <v>-2.9652610409387084E-3</v>
      </c>
      <c r="FF25">
        <v>4.8370786032087158E-2</v>
      </c>
      <c r="FG25">
        <v>0.17243870707767547</v>
      </c>
      <c r="FH25">
        <v>0.22147391361693605</v>
      </c>
      <c r="FI25">
        <v>6.4834236883975105E-2</v>
      </c>
      <c r="FJ25">
        <v>-0.11764119354484801</v>
      </c>
      <c r="FK25">
        <v>-0.16928083568385624</v>
      </c>
      <c r="FL25">
        <v>0.45495127418464032</v>
      </c>
      <c r="FM25">
        <v>-0.13542248799527748</v>
      </c>
    </row>
    <row r="26" spans="2:169" x14ac:dyDescent="0.25">
      <c r="B26">
        <v>0.28132813915094335</v>
      </c>
      <c r="C26">
        <v>0.67226819339622645</v>
      </c>
      <c r="D26">
        <v>0.98216085613207538</v>
      </c>
      <c r="E26">
        <v>0.60490389622641494</v>
      </c>
      <c r="F26">
        <v>6.2437226415094332E-2</v>
      </c>
      <c r="G26">
        <v>0.42413138915094339</v>
      </c>
      <c r="H26">
        <v>0.28286254009433959</v>
      </c>
      <c r="I26">
        <v>0.48153019811320752</v>
      </c>
      <c r="J26">
        <v>0.37454517452830183</v>
      </c>
      <c r="K26">
        <v>0.76097990094339618</v>
      </c>
      <c r="L26">
        <v>0.571550787735849</v>
      </c>
      <c r="M26">
        <v>0.65220809433962257</v>
      </c>
      <c r="N26">
        <v>0.32339576650943397</v>
      </c>
      <c r="O26">
        <v>0.36552554481132077</v>
      </c>
      <c r="P26">
        <v>0.48729616981132073</v>
      </c>
      <c r="Q26">
        <v>0.47815765566037732</v>
      </c>
      <c r="R26">
        <v>1.04422675</v>
      </c>
      <c r="S26">
        <v>0.84423472877358485</v>
      </c>
      <c r="T26">
        <v>1.2357145872641511</v>
      </c>
      <c r="U26">
        <v>0.34544459669811317</v>
      </c>
      <c r="V26">
        <v>0.34292614386792453</v>
      </c>
      <c r="W26">
        <v>0.94960374999999986</v>
      </c>
      <c r="X26">
        <v>4.7262797169811327E-2</v>
      </c>
      <c r="Y26">
        <v>0.34627418160377355</v>
      </c>
      <c r="Z26">
        <v>2.6626632688679246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2.6626632688679246</v>
      </c>
      <c r="BP26">
        <v>1.4457922311320754</v>
      </c>
      <c r="BQ26">
        <v>0.44442109905660371</v>
      </c>
      <c r="BR26">
        <v>0.75063289386792453</v>
      </c>
      <c r="BS26">
        <v>0.6122569103773583</v>
      </c>
      <c r="BT26">
        <v>0.20399637971698112</v>
      </c>
      <c r="BU26">
        <v>0.52293745754716969</v>
      </c>
      <c r="BV26">
        <v>-0.18359373349056601</v>
      </c>
      <c r="BW26">
        <v>0.81644605424528283</v>
      </c>
      <c r="BX26">
        <v>0.13830158254716979</v>
      </c>
      <c r="BY26">
        <v>0.25589160613207546</v>
      </c>
      <c r="BZ26">
        <v>0.13463472169811319</v>
      </c>
      <c r="CA26">
        <v>0.88538315094339615</v>
      </c>
      <c r="CB26">
        <v>0.33414698820754718</v>
      </c>
      <c r="CC26">
        <v>2.4669386792452834E-2</v>
      </c>
      <c r="CJ26">
        <v>0.28132813915094335</v>
      </c>
      <c r="CK26">
        <v>0.67226819339622645</v>
      </c>
      <c r="CL26">
        <v>0.98216085613207538</v>
      </c>
      <c r="CM26">
        <v>0.60490389622641494</v>
      </c>
      <c r="CN26">
        <v>6.2437226415094332E-2</v>
      </c>
      <c r="CO26">
        <v>0.42413138915094339</v>
      </c>
      <c r="CP26">
        <v>0.28286254009433959</v>
      </c>
      <c r="CQ26">
        <v>0.48153019811320752</v>
      </c>
      <c r="CR26">
        <v>0.37454517452830183</v>
      </c>
      <c r="CS26">
        <v>0.76097990094339618</v>
      </c>
      <c r="CT26">
        <v>0.571550787735849</v>
      </c>
      <c r="CU26">
        <v>0.65220809433962257</v>
      </c>
      <c r="CV26">
        <v>0.32339576650943397</v>
      </c>
      <c r="CW26">
        <v>0.36552554481132077</v>
      </c>
      <c r="CX26">
        <v>0.48729616981132073</v>
      </c>
      <c r="CY26">
        <v>0.47815765566037732</v>
      </c>
      <c r="CZ26">
        <v>1.04422675</v>
      </c>
      <c r="DA26">
        <v>0.84423472877358485</v>
      </c>
      <c r="DB26">
        <v>1.2357145872641511</v>
      </c>
      <c r="DC26">
        <v>0.34544459669811317</v>
      </c>
      <c r="DD26">
        <v>0.34292614386792453</v>
      </c>
      <c r="DE26">
        <v>0.94960374999999986</v>
      </c>
      <c r="DF26">
        <v>4.7262797169811327E-2</v>
      </c>
      <c r="DG26">
        <v>0.34627418160377355</v>
      </c>
      <c r="DH26">
        <v>2.6626632688679246</v>
      </c>
      <c r="DI26">
        <v>1.4457922311320754</v>
      </c>
      <c r="DJ26">
        <v>0.44442109905660371</v>
      </c>
      <c r="DK26">
        <v>0.75063289386792453</v>
      </c>
      <c r="DL26">
        <v>0.6122569103773583</v>
      </c>
      <c r="DM26">
        <v>0.20399637971698112</v>
      </c>
      <c r="DN26">
        <v>0.52293745754716969</v>
      </c>
      <c r="DO26">
        <v>-0.18359373349056601</v>
      </c>
      <c r="DP26">
        <v>0.81644605424528283</v>
      </c>
      <c r="DQ26">
        <v>0.13830158254716979</v>
      </c>
      <c r="DR26">
        <v>0.25589160613207546</v>
      </c>
      <c r="DS26">
        <v>0.13463472169811319</v>
      </c>
      <c r="DT26">
        <v>0.88538315094339615</v>
      </c>
      <c r="DU26">
        <v>0.33414698820754718</v>
      </c>
      <c r="DV26">
        <v>2.4669386792452834E-2</v>
      </c>
      <c r="DZ26">
        <v>0.4695580858028171</v>
      </c>
      <c r="EA26">
        <v>4.9498834263280736E-2</v>
      </c>
      <c r="EB26">
        <v>0.11787336863247584</v>
      </c>
      <c r="EC26">
        <v>0.13525645316372639</v>
      </c>
      <c r="ED26">
        <v>-3.5649946877140612E-2</v>
      </c>
      <c r="EE26">
        <v>-2.4505855384303426E-2</v>
      </c>
      <c r="EF26">
        <v>-0.49132324802324462</v>
      </c>
      <c r="EG26">
        <v>5.1642824061151595E-2</v>
      </c>
      <c r="EH26">
        <v>0.21922608293875387</v>
      </c>
      <c r="EI26">
        <v>0.1674870466308517</v>
      </c>
      <c r="EJ26">
        <v>6.7342382969055037E-2</v>
      </c>
      <c r="EK26">
        <v>-0.23368581159306942</v>
      </c>
      <c r="EL26">
        <v>-0.11430053813283154</v>
      </c>
      <c r="EM26">
        <v>-6.1991050281130618E-2</v>
      </c>
      <c r="EN26">
        <v>-2.6660917540105536E-2</v>
      </c>
      <c r="EO26">
        <v>0.11412801050013285</v>
      </c>
      <c r="EP26">
        <v>2.5083298415862459E-2</v>
      </c>
      <c r="EQ26">
        <v>0.16545110250232345</v>
      </c>
      <c r="ER26">
        <v>-7.8866856925932663E-2</v>
      </c>
      <c r="ES26">
        <v>-6.822894130254499E-2</v>
      </c>
      <c r="ET26">
        <v>-1.2853281064181127E-2</v>
      </c>
      <c r="EU26">
        <v>8.2832467989027089E-2</v>
      </c>
      <c r="EV26">
        <v>6.0559214005293294E-2</v>
      </c>
      <c r="EW26">
        <v>-0.13678920664587405</v>
      </c>
      <c r="EX26">
        <v>-5.4132574557045121E-2</v>
      </c>
      <c r="EY26">
        <v>-0.14687208822667741</v>
      </c>
      <c r="EZ26">
        <v>9.650488686422419E-2</v>
      </c>
      <c r="FA26">
        <v>-8.7932869374309219E-3</v>
      </c>
      <c r="FB26">
        <v>-2.3543088176696671E-3</v>
      </c>
      <c r="FC26">
        <v>5.8256061481179289E-2</v>
      </c>
      <c r="FD26">
        <v>-0.60411288502534966</v>
      </c>
      <c r="FE26">
        <v>4.1860813752240572E-2</v>
      </c>
      <c r="FF26">
        <v>-0.18523753214818203</v>
      </c>
      <c r="FG26">
        <v>-4.6833622815169541E-2</v>
      </c>
      <c r="FH26">
        <v>9.4119336563437087E-2</v>
      </c>
      <c r="FI26">
        <v>1.6217208376118944E-3</v>
      </c>
      <c r="FJ26">
        <v>-2.6245651531799015E-4</v>
      </c>
      <c r="FK26">
        <v>0.11090504362618477</v>
      </c>
      <c r="FL26">
        <v>1.8826434616862685E-2</v>
      </c>
      <c r="FM26">
        <v>0.15239171755479738</v>
      </c>
    </row>
    <row r="27" spans="2:169" x14ac:dyDescent="0.25">
      <c r="B27">
        <v>0.28322009905660372</v>
      </c>
      <c r="C27">
        <v>0.72454799292452821</v>
      </c>
      <c r="D27">
        <v>1.0818817617924528</v>
      </c>
      <c r="E27">
        <v>0.75003196933962246</v>
      </c>
      <c r="F27">
        <v>0.47800348113207541</v>
      </c>
      <c r="G27">
        <v>0.44927885849056598</v>
      </c>
      <c r="H27">
        <v>0.35839523349056607</v>
      </c>
      <c r="I27">
        <v>0.53006509905660371</v>
      </c>
      <c r="J27">
        <v>0.80107376650943396</v>
      </c>
      <c r="K27">
        <v>0.82114020754716976</v>
      </c>
      <c r="L27">
        <v>0.57313740330188667</v>
      </c>
      <c r="M27">
        <v>0.72867352830188681</v>
      </c>
      <c r="N27">
        <v>0.14057930188679246</v>
      </c>
      <c r="O27">
        <v>0.47623598584905652</v>
      </c>
      <c r="P27">
        <v>0.69588809433962262</v>
      </c>
      <c r="Q27">
        <v>0.39622012971698106</v>
      </c>
      <c r="R27">
        <v>0.97551601650943398</v>
      </c>
      <c r="S27">
        <v>0.74497147169811306</v>
      </c>
      <c r="T27">
        <v>1.1315335943396225</v>
      </c>
      <c r="U27">
        <v>0.2354924339622641</v>
      </c>
      <c r="V27">
        <v>0.39871451886792447</v>
      </c>
      <c r="W27">
        <v>1.1284416155660375</v>
      </c>
      <c r="X27">
        <v>0.41629446698113204</v>
      </c>
      <c r="Y27">
        <v>0.56537027830188669</v>
      </c>
      <c r="Z27">
        <v>1.4457922311320754</v>
      </c>
      <c r="AA27">
        <v>2.4833045047169815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2.4833045047169815</v>
      </c>
      <c r="BQ27">
        <v>0.47041497405660371</v>
      </c>
      <c r="BR27">
        <v>0.93367206603773589</v>
      </c>
      <c r="BS27">
        <v>0.65742204009433958</v>
      </c>
      <c r="BT27">
        <v>0.19824691509433962</v>
      </c>
      <c r="BU27">
        <v>0.53594687500000004</v>
      </c>
      <c r="BV27">
        <v>0.98884441745283014</v>
      </c>
      <c r="BW27">
        <v>1.0843667311320755</v>
      </c>
      <c r="BX27">
        <v>0.11326989622641509</v>
      </c>
      <c r="BY27">
        <v>0.45143572641509433</v>
      </c>
      <c r="BZ27">
        <v>0.19193312500000001</v>
      </c>
      <c r="CA27">
        <v>0.86901722877358489</v>
      </c>
      <c r="CB27">
        <v>0.43422519811320748</v>
      </c>
      <c r="CC27">
        <v>2.4518688679245278E-2</v>
      </c>
      <c r="CJ27">
        <v>0.28322009905660372</v>
      </c>
      <c r="CK27">
        <v>0.72454799292452821</v>
      </c>
      <c r="CL27">
        <v>1.0818817617924528</v>
      </c>
      <c r="CM27">
        <v>0.75003196933962246</v>
      </c>
      <c r="CN27">
        <v>0.47800348113207541</v>
      </c>
      <c r="CO27">
        <v>0.44927885849056598</v>
      </c>
      <c r="CP27">
        <v>0.35839523349056607</v>
      </c>
      <c r="CQ27">
        <v>0.53006509905660371</v>
      </c>
      <c r="CR27">
        <v>0.80107376650943396</v>
      </c>
      <c r="CS27">
        <v>0.82114020754716976</v>
      </c>
      <c r="CT27">
        <v>0.57313740330188667</v>
      </c>
      <c r="CU27">
        <v>0.72867352830188681</v>
      </c>
      <c r="CV27">
        <v>0.14057930188679246</v>
      </c>
      <c r="CW27">
        <v>0.47623598584905652</v>
      </c>
      <c r="CX27">
        <v>0.69588809433962262</v>
      </c>
      <c r="CY27">
        <v>0.39622012971698106</v>
      </c>
      <c r="CZ27">
        <v>0.97551601650943398</v>
      </c>
      <c r="DA27">
        <v>0.74497147169811306</v>
      </c>
      <c r="DB27">
        <v>1.1315335943396225</v>
      </c>
      <c r="DC27">
        <v>0.2354924339622641</v>
      </c>
      <c r="DD27">
        <v>0.39871451886792447</v>
      </c>
      <c r="DE27">
        <v>1.1284416155660375</v>
      </c>
      <c r="DF27">
        <v>0.41629446698113204</v>
      </c>
      <c r="DG27">
        <v>0.56537027830188669</v>
      </c>
      <c r="DH27">
        <v>1.4457922311320754</v>
      </c>
      <c r="DI27">
        <v>2.4833045047169815</v>
      </c>
      <c r="DJ27">
        <v>0.47041497405660371</v>
      </c>
      <c r="DK27">
        <v>0.93367206603773589</v>
      </c>
      <c r="DL27">
        <v>0.65742204009433958</v>
      </c>
      <c r="DM27">
        <v>0.19824691509433962</v>
      </c>
      <c r="DN27">
        <v>0.53594687500000004</v>
      </c>
      <c r="DO27">
        <v>0.98884441745283014</v>
      </c>
      <c r="DP27">
        <v>1.0843667311320755</v>
      </c>
      <c r="DQ27">
        <v>0.11326989622641509</v>
      </c>
      <c r="DR27">
        <v>0.45143572641509433</v>
      </c>
      <c r="DS27">
        <v>0.19193312500000001</v>
      </c>
      <c r="DT27">
        <v>0.86901722877358489</v>
      </c>
      <c r="DU27">
        <v>0.43422519811320748</v>
      </c>
      <c r="DV27">
        <v>2.4518688679245278E-2</v>
      </c>
      <c r="DZ27">
        <v>0.41996210024046865</v>
      </c>
      <c r="EA27">
        <v>0.1620271345050541</v>
      </c>
      <c r="EB27">
        <v>0.26003708041607893</v>
      </c>
      <c r="EC27">
        <v>0.10349001517921629</v>
      </c>
      <c r="ED27">
        <v>-0.21396051668556676</v>
      </c>
      <c r="EE27">
        <v>-1.1581255843470847E-2</v>
      </c>
      <c r="EF27">
        <v>-0.17054145929516515</v>
      </c>
      <c r="EG27">
        <v>0.17841411864509552</v>
      </c>
      <c r="EH27">
        <v>6.0928358599834339E-3</v>
      </c>
      <c r="EI27">
        <v>8.1062593873736113E-2</v>
      </c>
      <c r="EJ27">
        <v>6.6146320390564076E-2</v>
      </c>
      <c r="EK27">
        <v>-0.14846336716827771</v>
      </c>
      <c r="EL27">
        <v>-2.4801092995070471E-3</v>
      </c>
      <c r="EM27">
        <v>2.3108917750552391E-2</v>
      </c>
      <c r="EN27">
        <v>-5.0008048912511815E-2</v>
      </c>
      <c r="EO27">
        <v>0.1657136927439895</v>
      </c>
      <c r="EP27">
        <v>0.12229513519957974</v>
      </c>
      <c r="EQ27">
        <v>-6.2913265429945783E-2</v>
      </c>
      <c r="ER27">
        <v>-0.12426343184114808</v>
      </c>
      <c r="ES27">
        <v>8.3647481735445076E-2</v>
      </c>
      <c r="ET27">
        <v>0.10362847058912006</v>
      </c>
      <c r="EU27">
        <v>-4.6277750475371804E-2</v>
      </c>
      <c r="EV27">
        <v>-0.31337658122977979</v>
      </c>
      <c r="EW27">
        <v>-0.21250929933803034</v>
      </c>
      <c r="EX27">
        <v>0.22974607565212038</v>
      </c>
      <c r="EY27">
        <v>-0.13545875234053342</v>
      </c>
      <c r="EZ27">
        <v>5.0517000969514711E-2</v>
      </c>
      <c r="FA27">
        <v>-0.196392320372306</v>
      </c>
      <c r="FB27">
        <v>6.0345028315391597E-2</v>
      </c>
      <c r="FC27">
        <v>-0.17256043174292543</v>
      </c>
      <c r="FD27">
        <v>0.36277371953886639</v>
      </c>
      <c r="FE27">
        <v>0.36288760919166846</v>
      </c>
      <c r="FF27">
        <v>-0.10651395261209828</v>
      </c>
      <c r="FG27">
        <v>9.1444197399613056E-2</v>
      </c>
      <c r="FH27">
        <v>-3.3296283091022824E-2</v>
      </c>
      <c r="FI27">
        <v>5.0574855972683457E-2</v>
      </c>
      <c r="FJ27">
        <v>2.6963823933887226E-2</v>
      </c>
      <c r="FK27">
        <v>3.904831750322818E-2</v>
      </c>
      <c r="FL27">
        <v>-0.11799947628283511</v>
      </c>
      <c r="FM27">
        <v>-0.28097868186907948</v>
      </c>
    </row>
    <row r="28" spans="2:169" x14ac:dyDescent="0.25">
      <c r="B28">
        <v>0.15808195283018867</v>
      </c>
      <c r="C28">
        <v>0.33001502594339616</v>
      </c>
      <c r="D28">
        <v>0.52985169575471702</v>
      </c>
      <c r="E28">
        <v>0.3398770330188679</v>
      </c>
      <c r="F28">
        <v>0.35136970047169813</v>
      </c>
      <c r="G28">
        <v>0.23616966745283013</v>
      </c>
      <c r="H28">
        <v>0.10075386084905658</v>
      </c>
      <c r="I28">
        <v>0.2547504575471698</v>
      </c>
      <c r="J28">
        <v>0.44013779952830179</v>
      </c>
      <c r="K28">
        <v>0.39351873113207547</v>
      </c>
      <c r="L28">
        <v>0.30371273820754707</v>
      </c>
      <c r="M28">
        <v>0.22483677358490564</v>
      </c>
      <c r="N28">
        <v>0.20858216509433963</v>
      </c>
      <c r="O28">
        <v>0.14755490801886792</v>
      </c>
      <c r="P28">
        <v>0.21309189386792449</v>
      </c>
      <c r="Q28">
        <v>0.24605356132075468</v>
      </c>
      <c r="R28">
        <v>0.48519029716981121</v>
      </c>
      <c r="S28">
        <v>0.36100882783018867</v>
      </c>
      <c r="T28">
        <v>0.40955930424528303</v>
      </c>
      <c r="U28">
        <v>0.11944020283018866</v>
      </c>
      <c r="V28">
        <v>0.1145161037735849</v>
      </c>
      <c r="W28">
        <v>0.48449533018867919</v>
      </c>
      <c r="X28">
        <v>0.2377791863207547</v>
      </c>
      <c r="Y28">
        <v>0.13281104716981129</v>
      </c>
      <c r="Z28">
        <v>0.44442109905660371</v>
      </c>
      <c r="AA28">
        <v>0.47041497405660371</v>
      </c>
      <c r="AB28">
        <v>0.528156091981132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0.528156091981132</v>
      </c>
      <c r="BR28">
        <v>0.3192506745283018</v>
      </c>
      <c r="BS28">
        <v>0.25079107311320747</v>
      </c>
      <c r="BT28">
        <v>0.11859237499999997</v>
      </c>
      <c r="BU28">
        <v>0.27485995047169809</v>
      </c>
      <c r="BV28">
        <v>0.33670995990566033</v>
      </c>
      <c r="BW28">
        <v>0.35316642216981126</v>
      </c>
      <c r="BX28">
        <v>0.1072485754716981</v>
      </c>
      <c r="BY28">
        <v>0.16272422169811318</v>
      </c>
      <c r="BZ28">
        <v>6.8369035377358472E-2</v>
      </c>
      <c r="CA28">
        <v>0.44267492924528296</v>
      </c>
      <c r="CB28">
        <v>0.16887637735849056</v>
      </c>
      <c r="CC28">
        <v>1.1017464622641512E-2</v>
      </c>
      <c r="CJ28">
        <v>0.15808195283018867</v>
      </c>
      <c r="CK28">
        <v>0.33001502594339616</v>
      </c>
      <c r="CL28">
        <v>0.52985169575471702</v>
      </c>
      <c r="CM28">
        <v>0.3398770330188679</v>
      </c>
      <c r="CN28">
        <v>0.35136970047169813</v>
      </c>
      <c r="CO28">
        <v>0.23616966745283013</v>
      </c>
      <c r="CP28">
        <v>0.10075386084905658</v>
      </c>
      <c r="CQ28">
        <v>0.2547504575471698</v>
      </c>
      <c r="CR28">
        <v>0.44013779952830179</v>
      </c>
      <c r="CS28">
        <v>0.39351873113207547</v>
      </c>
      <c r="CT28">
        <v>0.30371273820754707</v>
      </c>
      <c r="CU28">
        <v>0.22483677358490564</v>
      </c>
      <c r="CV28">
        <v>0.20858216509433963</v>
      </c>
      <c r="CW28">
        <v>0.14755490801886792</v>
      </c>
      <c r="CX28">
        <v>0.21309189386792449</v>
      </c>
      <c r="CY28">
        <v>0.24605356132075468</v>
      </c>
      <c r="CZ28">
        <v>0.48519029716981121</v>
      </c>
      <c r="DA28">
        <v>0.36100882783018867</v>
      </c>
      <c r="DB28">
        <v>0.40955930424528303</v>
      </c>
      <c r="DC28">
        <v>0.11944020283018866</v>
      </c>
      <c r="DD28">
        <v>0.1145161037735849</v>
      </c>
      <c r="DE28">
        <v>0.48449533018867919</v>
      </c>
      <c r="DF28">
        <v>0.2377791863207547</v>
      </c>
      <c r="DG28">
        <v>0.13281104716981129</v>
      </c>
      <c r="DH28">
        <v>0.44442109905660371</v>
      </c>
      <c r="DI28">
        <v>0.47041497405660371</v>
      </c>
      <c r="DJ28">
        <v>0.528156091981132</v>
      </c>
      <c r="DK28">
        <v>0.3192506745283018</v>
      </c>
      <c r="DL28">
        <v>0.25079107311320747</v>
      </c>
      <c r="DM28">
        <v>0.11859237499999997</v>
      </c>
      <c r="DN28">
        <v>0.27485995047169809</v>
      </c>
      <c r="DO28">
        <v>0.33670995990566033</v>
      </c>
      <c r="DP28">
        <v>0.35316642216981126</v>
      </c>
      <c r="DQ28">
        <v>0.1072485754716981</v>
      </c>
      <c r="DR28">
        <v>0.16272422169811318</v>
      </c>
      <c r="DS28">
        <v>6.8369035377358472E-2</v>
      </c>
      <c r="DT28">
        <v>0.44267492924528296</v>
      </c>
      <c r="DU28">
        <v>0.16887637735849056</v>
      </c>
      <c r="DV28">
        <v>1.1017464622641512E-2</v>
      </c>
      <c r="DZ28">
        <v>0.35719401351490543</v>
      </c>
      <c r="EA28">
        <v>-0.14156785087329241</v>
      </c>
      <c r="EB28">
        <v>-0.12162577220035836</v>
      </c>
      <c r="EC28">
        <v>-8.5433782278221907E-3</v>
      </c>
      <c r="ED28">
        <v>0.1432835659061874</v>
      </c>
      <c r="EE28">
        <v>6.2311450370869971E-2</v>
      </c>
      <c r="EF28">
        <v>5.6891399470819511E-2</v>
      </c>
      <c r="EG28">
        <v>1.8884475431163644E-2</v>
      </c>
      <c r="EH28">
        <v>-0.19568396361210663</v>
      </c>
      <c r="EI28">
        <v>-0.20429725641866858</v>
      </c>
      <c r="EJ28">
        <v>-4.1971767854345143E-2</v>
      </c>
      <c r="EK28">
        <v>0.39102963367529081</v>
      </c>
      <c r="EL28">
        <v>-9.1078498356404886E-2</v>
      </c>
      <c r="EM28">
        <v>-0.13504494744548159</v>
      </c>
      <c r="EN28">
        <v>9.3264511562308972E-2</v>
      </c>
      <c r="EO28">
        <v>0.10885706518650171</v>
      </c>
      <c r="EP28">
        <v>-1.0684845201169564E-2</v>
      </c>
      <c r="EQ28">
        <v>-5.0536313385046293E-2</v>
      </c>
      <c r="ER28">
        <v>-0.32709541414100818</v>
      </c>
      <c r="ES28">
        <v>8.7465896511127114E-3</v>
      </c>
      <c r="ET28">
        <v>0.13684023173076368</v>
      </c>
      <c r="EU28">
        <v>-3.1385983661946421E-2</v>
      </c>
      <c r="EV28">
        <v>-4.1485356749547182E-2</v>
      </c>
      <c r="EW28">
        <v>3.9224914328433759E-2</v>
      </c>
      <c r="EX28">
        <v>0.14978491749512812</v>
      </c>
      <c r="EY28">
        <v>-5.7185448460763913E-2</v>
      </c>
      <c r="EZ28">
        <v>-1.2374973127606111E-2</v>
      </c>
      <c r="FA28">
        <v>0.12297769132258282</v>
      </c>
      <c r="FB28">
        <v>-6.8357704509183395E-2</v>
      </c>
      <c r="FC28">
        <v>-4.4200417058803086E-2</v>
      </c>
      <c r="FD28">
        <v>-0.19631731209113709</v>
      </c>
      <c r="FE28">
        <v>0.37475851153172135</v>
      </c>
      <c r="FF28">
        <v>-5.3833832058597243E-2</v>
      </c>
      <c r="FG28">
        <v>9.2128930688116811E-2</v>
      </c>
      <c r="FH28">
        <v>-5.3241044201334589E-2</v>
      </c>
      <c r="FI28">
        <v>-8.8176607645044397E-2</v>
      </c>
      <c r="FJ28">
        <v>5.0292662005115701E-2</v>
      </c>
      <c r="FK28">
        <v>0.3752116597354001</v>
      </c>
      <c r="FL28">
        <v>-0.31044758668402461</v>
      </c>
      <c r="FM28">
        <v>0.18527021951196956</v>
      </c>
    </row>
    <row r="29" spans="2:169" x14ac:dyDescent="0.25">
      <c r="B29">
        <v>0.24606758018867925</v>
      </c>
      <c r="C29">
        <v>0.66062077594339619</v>
      </c>
      <c r="D29">
        <v>0.18208902358490558</v>
      </c>
      <c r="E29">
        <v>0.67575869811320743</v>
      </c>
      <c r="F29">
        <v>0.64220254245283015</v>
      </c>
      <c r="G29">
        <v>0.38522588443396222</v>
      </c>
      <c r="H29">
        <v>0.29127638443396231</v>
      </c>
      <c r="I29">
        <v>0.40393194575471697</v>
      </c>
      <c r="J29">
        <v>0.66188904716981123</v>
      </c>
      <c r="K29">
        <v>0.60179650943396212</v>
      </c>
      <c r="L29">
        <v>0.39433418867924519</v>
      </c>
      <c r="M29">
        <v>0.26494317924528299</v>
      </c>
      <c r="N29">
        <v>0.2290020117924528</v>
      </c>
      <c r="O29">
        <v>0.29658995518867926</v>
      </c>
      <c r="P29">
        <v>0.51572476179245275</v>
      </c>
      <c r="Q29">
        <v>0.43994913679245284</v>
      </c>
      <c r="R29">
        <v>0.7730231226415093</v>
      </c>
      <c r="S29">
        <v>0.61531992688679238</v>
      </c>
      <c r="T29">
        <v>0.64196260849056586</v>
      </c>
      <c r="U29">
        <v>0.1620470188679245</v>
      </c>
      <c r="V29">
        <v>0.26907419575471692</v>
      </c>
      <c r="W29">
        <v>0.80856836556603762</v>
      </c>
      <c r="X29">
        <v>0.27108849528301882</v>
      </c>
      <c r="Y29">
        <v>0.44855667688679235</v>
      </c>
      <c r="Z29">
        <v>0.75063289386792453</v>
      </c>
      <c r="AA29">
        <v>0.93367206603773589</v>
      </c>
      <c r="AB29">
        <v>0.3192506745283018</v>
      </c>
      <c r="AC29">
        <v>1.8574752570754716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1.8574752570754716</v>
      </c>
      <c r="BS29">
        <v>0.26691094103773583</v>
      </c>
      <c r="BT29">
        <v>2.07322783018868E-2</v>
      </c>
      <c r="BU29">
        <v>0.34165175707547168</v>
      </c>
      <c r="BV29">
        <v>0.87064138915094336</v>
      </c>
      <c r="BW29">
        <v>0.60652660141509429</v>
      </c>
      <c r="BX29">
        <v>3.6821066037735842E-2</v>
      </c>
      <c r="BY29">
        <v>0.31532307311320751</v>
      </c>
      <c r="BZ29">
        <v>3.5738330188679238E-2</v>
      </c>
      <c r="CA29">
        <v>0.76248315330188676</v>
      </c>
      <c r="CB29">
        <v>0.21588931839622638</v>
      </c>
      <c r="CC29">
        <v>-2.1750971698113197E-2</v>
      </c>
      <c r="CJ29">
        <v>0.24606758018867925</v>
      </c>
      <c r="CK29">
        <v>0.66062077594339619</v>
      </c>
      <c r="CL29">
        <v>0.18208902358490558</v>
      </c>
      <c r="CM29">
        <v>0.67575869811320743</v>
      </c>
      <c r="CN29">
        <v>0.64220254245283015</v>
      </c>
      <c r="CO29">
        <v>0.38522588443396222</v>
      </c>
      <c r="CP29">
        <v>0.29127638443396231</v>
      </c>
      <c r="CQ29">
        <v>0.40393194575471697</v>
      </c>
      <c r="CR29">
        <v>0.66188904716981123</v>
      </c>
      <c r="CS29">
        <v>0.60179650943396212</v>
      </c>
      <c r="CT29">
        <v>0.39433418867924519</v>
      </c>
      <c r="CU29">
        <v>0.26494317924528299</v>
      </c>
      <c r="CV29">
        <v>0.2290020117924528</v>
      </c>
      <c r="CW29">
        <v>0.29658995518867926</v>
      </c>
      <c r="CX29">
        <v>0.51572476179245275</v>
      </c>
      <c r="CY29">
        <v>0.43994913679245284</v>
      </c>
      <c r="CZ29">
        <v>0.7730231226415093</v>
      </c>
      <c r="DA29">
        <v>0.61531992688679238</v>
      </c>
      <c r="DB29">
        <v>0.64196260849056586</v>
      </c>
      <c r="DC29">
        <v>0.1620470188679245</v>
      </c>
      <c r="DD29">
        <v>0.26907419575471692</v>
      </c>
      <c r="DE29">
        <v>0.80856836556603762</v>
      </c>
      <c r="DF29">
        <v>0.27108849528301882</v>
      </c>
      <c r="DG29">
        <v>0.44855667688679235</v>
      </c>
      <c r="DH29">
        <v>0.75063289386792453</v>
      </c>
      <c r="DI29">
        <v>0.93367206603773589</v>
      </c>
      <c r="DJ29">
        <v>0.3192506745283018</v>
      </c>
      <c r="DK29">
        <v>1.8574752570754716</v>
      </c>
      <c r="DL29">
        <v>0.26691094103773583</v>
      </c>
      <c r="DM29">
        <v>2.07322783018868E-2</v>
      </c>
      <c r="DN29">
        <v>0.34165175707547168</v>
      </c>
      <c r="DO29">
        <v>0.87064138915094336</v>
      </c>
      <c r="DP29">
        <v>0.60652660141509429</v>
      </c>
      <c r="DQ29">
        <v>3.6821066037735842E-2</v>
      </c>
      <c r="DR29">
        <v>0.31532307311320751</v>
      </c>
      <c r="DS29">
        <v>3.5738330188679238E-2</v>
      </c>
      <c r="DT29">
        <v>0.76248315330188676</v>
      </c>
      <c r="DU29">
        <v>0.21588931839622638</v>
      </c>
      <c r="DV29">
        <v>-2.1750971698113197E-2</v>
      </c>
      <c r="DZ29">
        <v>0.34778748888852917</v>
      </c>
      <c r="EA29">
        <v>-0.10203679586083093</v>
      </c>
      <c r="EB29">
        <v>-6.1040625325120071E-3</v>
      </c>
      <c r="EC29">
        <v>0.13206113776963982</v>
      </c>
      <c r="ED29">
        <v>0.16499360621068571</v>
      </c>
      <c r="EE29">
        <v>0.23678729905348944</v>
      </c>
      <c r="EF29">
        <v>-0.56108561865170681</v>
      </c>
      <c r="EG29">
        <v>9.8075933491226133E-2</v>
      </c>
      <c r="EH29">
        <v>-0.24305347446163197</v>
      </c>
      <c r="EI29">
        <v>-9.5149659068275327E-2</v>
      </c>
      <c r="EJ29">
        <v>0.17340654129926455</v>
      </c>
      <c r="EK29">
        <v>0.19995280864175771</v>
      </c>
      <c r="EL29">
        <v>1.6340068118296552E-2</v>
      </c>
      <c r="EM29">
        <v>-0.27544586518282399</v>
      </c>
      <c r="EN29">
        <v>6.1852486328505318E-2</v>
      </c>
      <c r="EO29">
        <v>-5.4245473987578306E-2</v>
      </c>
      <c r="EP29">
        <v>0.12396119462843601</v>
      </c>
      <c r="EQ29">
        <v>5.065082315135909E-2</v>
      </c>
      <c r="ER29">
        <v>0.16870822498750865</v>
      </c>
      <c r="ES29">
        <v>-0.16320728977915649</v>
      </c>
      <c r="ET29">
        <v>-0.17806795681022081</v>
      </c>
      <c r="EU29">
        <v>3.754853865231981E-3</v>
      </c>
      <c r="EV29">
        <v>-0.19699498794970738</v>
      </c>
      <c r="EW29">
        <v>9.5902926481607337E-2</v>
      </c>
      <c r="EX29">
        <v>0.16785151686075586</v>
      </c>
      <c r="EY29">
        <v>0.190521593797399</v>
      </c>
      <c r="EZ29">
        <v>-8.1676514266371389E-2</v>
      </c>
      <c r="FA29">
        <v>-4.617061778952667E-2</v>
      </c>
      <c r="FB29">
        <v>1.7186057936578784E-2</v>
      </c>
      <c r="FC29">
        <v>8.6355278403223053E-3</v>
      </c>
      <c r="FD29">
        <v>0.21084940649347642</v>
      </c>
      <c r="FE29">
        <v>-0.16767928495523066</v>
      </c>
      <c r="FF29">
        <v>6.9431835726182126E-2</v>
      </c>
      <c r="FG29">
        <v>-0.15472728834927099</v>
      </c>
      <c r="FH29">
        <v>8.0625330331639353E-3</v>
      </c>
      <c r="FI29">
        <v>-5.3169701001210337E-4</v>
      </c>
      <c r="FJ29">
        <v>2.308723196090175E-2</v>
      </c>
      <c r="FK29">
        <v>-4.3288591611646193E-2</v>
      </c>
      <c r="FL29">
        <v>4.1566142212918142E-2</v>
      </c>
      <c r="FM29">
        <v>0.10658717724637529</v>
      </c>
    </row>
    <row r="30" spans="2:169" x14ac:dyDescent="0.25">
      <c r="B30">
        <v>0.17948043396226415</v>
      </c>
      <c r="C30">
        <v>0.39551286792452833</v>
      </c>
      <c r="D30">
        <v>0.63284749056603762</v>
      </c>
      <c r="E30">
        <v>0.46499594103773573</v>
      </c>
      <c r="F30">
        <v>0.50200182547169803</v>
      </c>
      <c r="G30">
        <v>0.35740279952830184</v>
      </c>
      <c r="H30">
        <v>0.22276373820754714</v>
      </c>
      <c r="I30">
        <v>0.37964888679245279</v>
      </c>
      <c r="J30">
        <v>0.6493562311320753</v>
      </c>
      <c r="K30">
        <v>0.50826013915094337</v>
      </c>
      <c r="L30">
        <v>0.35935314386792461</v>
      </c>
      <c r="M30">
        <v>0.48704364622641499</v>
      </c>
      <c r="N30">
        <v>0.19051929481132071</v>
      </c>
      <c r="O30">
        <v>0.23633349764150943</v>
      </c>
      <c r="P30">
        <v>0.30265129009433961</v>
      </c>
      <c r="Q30">
        <v>0.16703231603773583</v>
      </c>
      <c r="R30">
        <v>1.0486665259433963</v>
      </c>
      <c r="S30">
        <v>0.57589663915094347</v>
      </c>
      <c r="T30">
        <v>0.60555195990566035</v>
      </c>
      <c r="U30">
        <v>0.19296891273584904</v>
      </c>
      <c r="V30">
        <v>0.15545562028301887</v>
      </c>
      <c r="W30">
        <v>0.62833451179245281</v>
      </c>
      <c r="X30">
        <v>0.32268052594339619</v>
      </c>
      <c r="Y30">
        <v>0.35354061320754715</v>
      </c>
      <c r="Z30">
        <v>0.6122569103773583</v>
      </c>
      <c r="AA30">
        <v>0.65742204009433958</v>
      </c>
      <c r="AB30">
        <v>0.25079107311320747</v>
      </c>
      <c r="AC30">
        <v>0.26691094103773583</v>
      </c>
      <c r="AD30">
        <v>1.043035429245283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1.043035429245283</v>
      </c>
      <c r="BT30">
        <v>0.20553164858490564</v>
      </c>
      <c r="BU30">
        <v>0.47655843396226411</v>
      </c>
      <c r="BV30">
        <v>0.45117121226415091</v>
      </c>
      <c r="BW30">
        <v>0.50188391037735847</v>
      </c>
      <c r="BX30">
        <v>0.11294952358490565</v>
      </c>
      <c r="BY30">
        <v>0.29364944575471696</v>
      </c>
      <c r="BZ30">
        <v>0.17363507783018867</v>
      </c>
      <c r="CA30">
        <v>0.69486037028301872</v>
      </c>
      <c r="CB30">
        <v>0.27240597169811315</v>
      </c>
      <c r="CC30">
        <v>-8.7333334905660365E-2</v>
      </c>
      <c r="CJ30">
        <v>0.17948043396226415</v>
      </c>
      <c r="CK30">
        <v>0.39551286792452833</v>
      </c>
      <c r="CL30">
        <v>0.63284749056603762</v>
      </c>
      <c r="CM30">
        <v>0.46499594103773573</v>
      </c>
      <c r="CN30">
        <v>0.50200182547169803</v>
      </c>
      <c r="CO30">
        <v>0.35740279952830184</v>
      </c>
      <c r="CP30">
        <v>0.22276373820754714</v>
      </c>
      <c r="CQ30">
        <v>0.37964888679245279</v>
      </c>
      <c r="CR30">
        <v>0.6493562311320753</v>
      </c>
      <c r="CS30">
        <v>0.50826013915094337</v>
      </c>
      <c r="CT30">
        <v>0.35935314386792461</v>
      </c>
      <c r="CU30">
        <v>0.48704364622641499</v>
      </c>
      <c r="CV30">
        <v>0.19051929481132071</v>
      </c>
      <c r="CW30">
        <v>0.23633349764150943</v>
      </c>
      <c r="CX30">
        <v>0.30265129009433961</v>
      </c>
      <c r="CY30">
        <v>0.16703231603773583</v>
      </c>
      <c r="CZ30">
        <v>1.0486665259433963</v>
      </c>
      <c r="DA30">
        <v>0.57589663915094347</v>
      </c>
      <c r="DB30">
        <v>0.60555195990566035</v>
      </c>
      <c r="DC30">
        <v>0.19296891273584904</v>
      </c>
      <c r="DD30">
        <v>0.15545562028301887</v>
      </c>
      <c r="DE30">
        <v>0.62833451179245281</v>
      </c>
      <c r="DF30">
        <v>0.32268052594339619</v>
      </c>
      <c r="DG30">
        <v>0.35354061320754715</v>
      </c>
      <c r="DH30">
        <v>0.6122569103773583</v>
      </c>
      <c r="DI30">
        <v>0.65742204009433958</v>
      </c>
      <c r="DJ30">
        <v>0.25079107311320747</v>
      </c>
      <c r="DK30">
        <v>0.26691094103773583</v>
      </c>
      <c r="DL30">
        <v>1.043035429245283</v>
      </c>
      <c r="DM30">
        <v>0.20553164858490564</v>
      </c>
      <c r="DN30">
        <v>0.47655843396226411</v>
      </c>
      <c r="DO30">
        <v>0.45117121226415091</v>
      </c>
      <c r="DP30">
        <v>0.50188391037735847</v>
      </c>
      <c r="DQ30">
        <v>0.11294952358490565</v>
      </c>
      <c r="DR30">
        <v>0.29364944575471696</v>
      </c>
      <c r="DS30">
        <v>0.17363507783018867</v>
      </c>
      <c r="DT30">
        <v>0.69486037028301872</v>
      </c>
      <c r="DU30">
        <v>0.27240597169811315</v>
      </c>
      <c r="DV30">
        <v>-8.7333334905660365E-2</v>
      </c>
      <c r="DZ30">
        <v>0.26781225521467655</v>
      </c>
      <c r="EA30">
        <v>-0.34510169507003496</v>
      </c>
      <c r="EB30">
        <v>-0.14675428555799203</v>
      </c>
      <c r="EC30">
        <v>-1.7184837599023086E-2</v>
      </c>
      <c r="ED30">
        <v>-2.0943081452152849E-2</v>
      </c>
      <c r="EE30">
        <v>0.46282793312055864</v>
      </c>
      <c r="EF30">
        <v>-9.2333534081603996E-2</v>
      </c>
      <c r="EG30">
        <v>-0.18306171018240178</v>
      </c>
      <c r="EH30">
        <v>-4.2995909412057887E-2</v>
      </c>
      <c r="EI30">
        <v>-6.6366547205125845E-2</v>
      </c>
      <c r="EJ30">
        <v>-0.14838158348839903</v>
      </c>
      <c r="EK30">
        <v>-6.6598860224201709E-2</v>
      </c>
      <c r="EL30">
        <v>0.25069029741387866</v>
      </c>
      <c r="EM30">
        <v>0.11529010060224101</v>
      </c>
      <c r="EN30">
        <v>6.2411626356720387E-2</v>
      </c>
      <c r="EO30">
        <v>0.12319924174790829</v>
      </c>
      <c r="EP30">
        <v>-0.10348144190440484</v>
      </c>
      <c r="EQ30">
        <v>-9.8182746399968365E-2</v>
      </c>
      <c r="ER30">
        <v>0.16097259165331357</v>
      </c>
      <c r="ES30">
        <v>1.4380155904612932E-2</v>
      </c>
      <c r="ET30">
        <v>6.7999500591102657E-2</v>
      </c>
      <c r="EU30">
        <v>0.15036296660648613</v>
      </c>
      <c r="EV30">
        <v>-0.14611735669247644</v>
      </c>
      <c r="EW30">
        <v>-0.33042094732715654</v>
      </c>
      <c r="EX30">
        <v>-0.17682445744610098</v>
      </c>
      <c r="EY30">
        <v>1.8479253025884285E-2</v>
      </c>
      <c r="EZ30">
        <v>6.2208763502054565E-2</v>
      </c>
      <c r="FA30">
        <v>0.22337202927715086</v>
      </c>
      <c r="FB30">
        <v>6.4204498841213707E-3</v>
      </c>
      <c r="FC30">
        <v>-6.1358928699582635E-2</v>
      </c>
      <c r="FD30">
        <v>-6.7931773359772407E-2</v>
      </c>
      <c r="FE30">
        <v>0.13807855160365884</v>
      </c>
      <c r="FF30">
        <v>-1.9836401975990869E-4</v>
      </c>
      <c r="FG30">
        <v>4.072994876063897E-2</v>
      </c>
      <c r="FH30">
        <v>0.20737621707113463</v>
      </c>
      <c r="FI30">
        <v>-5.3169617575412234E-2</v>
      </c>
      <c r="FJ30">
        <v>-0.14562490893863969</v>
      </c>
      <c r="FK30">
        <v>2.5486768638279349E-2</v>
      </c>
      <c r="FL30">
        <v>0.10644338574276607</v>
      </c>
      <c r="FM30">
        <v>-0.27695721757761549</v>
      </c>
    </row>
    <row r="31" spans="2:169" x14ac:dyDescent="0.25">
      <c r="B31">
        <v>8.2080660377358491E-2</v>
      </c>
      <c r="C31">
        <v>8.4466011792452819E-2</v>
      </c>
      <c r="D31">
        <v>0.19791445283018866</v>
      </c>
      <c r="E31">
        <v>0.14445926179245283</v>
      </c>
      <c r="F31">
        <v>0.18484931367924529</v>
      </c>
      <c r="G31">
        <v>0.15582965566037735</v>
      </c>
      <c r="H31">
        <v>9.0774139150943386E-2</v>
      </c>
      <c r="I31">
        <v>0.15812723820754715</v>
      </c>
      <c r="J31">
        <v>0.24153839150943396</v>
      </c>
      <c r="K31">
        <v>0.27369148349056605</v>
      </c>
      <c r="L31">
        <v>0.14509471933962265</v>
      </c>
      <c r="M31">
        <v>0.16635249764150944</v>
      </c>
      <c r="N31">
        <v>0.17974494575471694</v>
      </c>
      <c r="O31">
        <v>9.9499283018867901E-2</v>
      </c>
      <c r="P31">
        <v>4.6942408018867933E-2</v>
      </c>
      <c r="Q31">
        <v>0.13478341745283018</v>
      </c>
      <c r="R31">
        <v>0.2590994646226415</v>
      </c>
      <c r="S31">
        <v>0.22308654716981133</v>
      </c>
      <c r="T31">
        <v>0.18339242452830185</v>
      </c>
      <c r="U31">
        <v>8.3381101415094333E-2</v>
      </c>
      <c r="V31">
        <v>5.5273893867924521E-2</v>
      </c>
      <c r="W31">
        <v>0.19010466981132074</v>
      </c>
      <c r="X31">
        <v>0.11410910141509432</v>
      </c>
      <c r="Y31">
        <v>9.887150471698114E-2</v>
      </c>
      <c r="Z31">
        <v>0.20399637971698112</v>
      </c>
      <c r="AA31">
        <v>0.19824691509433962</v>
      </c>
      <c r="AB31">
        <v>0.11859237499999997</v>
      </c>
      <c r="AC31">
        <v>2.07322783018868E-2</v>
      </c>
      <c r="AD31">
        <v>0.20553164858490564</v>
      </c>
      <c r="AE31">
        <v>0.52596653773584889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0.52596653773584889</v>
      </c>
      <c r="BU31">
        <v>0.21885514150943397</v>
      </c>
      <c r="BV31">
        <v>9.559589858490565E-2</v>
      </c>
      <c r="BW31">
        <v>0.11770904952830188</v>
      </c>
      <c r="BX31">
        <v>9.1838441037735849E-2</v>
      </c>
      <c r="BY31">
        <v>6.8509893867924526E-2</v>
      </c>
      <c r="BZ31">
        <v>8.4606775943396217E-2</v>
      </c>
      <c r="CA31">
        <v>0.26874673349056605</v>
      </c>
      <c r="CB31">
        <v>0.12793938207547167</v>
      </c>
      <c r="CC31">
        <v>3.6160551886792451E-2</v>
      </c>
      <c r="CJ31">
        <v>8.2080660377358491E-2</v>
      </c>
      <c r="CK31">
        <v>8.4466011792452819E-2</v>
      </c>
      <c r="CL31">
        <v>0.19791445283018866</v>
      </c>
      <c r="CM31">
        <v>0.14445926179245283</v>
      </c>
      <c r="CN31">
        <v>0.18484931367924529</v>
      </c>
      <c r="CO31">
        <v>0.15582965566037735</v>
      </c>
      <c r="CP31">
        <v>9.0774139150943386E-2</v>
      </c>
      <c r="CQ31">
        <v>0.15812723820754715</v>
      </c>
      <c r="CR31">
        <v>0.24153839150943396</v>
      </c>
      <c r="CS31">
        <v>0.27369148349056605</v>
      </c>
      <c r="CT31">
        <v>0.14509471933962265</v>
      </c>
      <c r="CU31">
        <v>0.16635249764150944</v>
      </c>
      <c r="CV31">
        <v>0.17974494575471694</v>
      </c>
      <c r="CW31">
        <v>9.9499283018867901E-2</v>
      </c>
      <c r="CX31">
        <v>4.6942408018867933E-2</v>
      </c>
      <c r="CY31">
        <v>0.13478341745283018</v>
      </c>
      <c r="CZ31">
        <v>0.2590994646226415</v>
      </c>
      <c r="DA31">
        <v>0.22308654716981133</v>
      </c>
      <c r="DB31">
        <v>0.18339242452830185</v>
      </c>
      <c r="DC31">
        <v>8.3381101415094333E-2</v>
      </c>
      <c r="DD31">
        <v>5.5273893867924521E-2</v>
      </c>
      <c r="DE31">
        <v>0.19010466981132074</v>
      </c>
      <c r="DF31">
        <v>0.11410910141509432</v>
      </c>
      <c r="DG31">
        <v>9.887150471698114E-2</v>
      </c>
      <c r="DH31">
        <v>0.20399637971698112</v>
      </c>
      <c r="DI31">
        <v>0.19824691509433962</v>
      </c>
      <c r="DJ31">
        <v>0.11859237499999997</v>
      </c>
      <c r="DK31">
        <v>2.07322783018868E-2</v>
      </c>
      <c r="DL31">
        <v>0.20553164858490564</v>
      </c>
      <c r="DM31">
        <v>0.52596653773584889</v>
      </c>
      <c r="DN31">
        <v>0.21885514150943397</v>
      </c>
      <c r="DO31">
        <v>9.559589858490565E-2</v>
      </c>
      <c r="DP31">
        <v>0.11770904952830188</v>
      </c>
      <c r="DQ31">
        <v>9.1838441037735849E-2</v>
      </c>
      <c r="DR31">
        <v>6.8509893867924526E-2</v>
      </c>
      <c r="DS31">
        <v>8.4606775943396217E-2</v>
      </c>
      <c r="DT31">
        <v>0.26874673349056605</v>
      </c>
      <c r="DU31">
        <v>0.12793938207547167</v>
      </c>
      <c r="DV31">
        <v>3.6160551886792451E-2</v>
      </c>
      <c r="DZ31">
        <v>0.26395894227411293</v>
      </c>
      <c r="EA31">
        <v>1.3782573126377999E-2</v>
      </c>
      <c r="EB31">
        <v>0.19768328142380973</v>
      </c>
      <c r="EC31">
        <v>-0.14537419418414349</v>
      </c>
      <c r="ED31">
        <v>-0.10790632459417765</v>
      </c>
      <c r="EE31">
        <v>-5.5591139274665255E-3</v>
      </c>
      <c r="EF31">
        <v>0.1679178145086149</v>
      </c>
      <c r="EG31">
        <v>0.19701645035858312</v>
      </c>
      <c r="EH31">
        <v>-5.809680763713871E-2</v>
      </c>
      <c r="EI31">
        <v>-5.632119622286514E-2</v>
      </c>
      <c r="EJ31">
        <v>-1.2375593540720032E-2</v>
      </c>
      <c r="EK31">
        <v>0.32199763695973443</v>
      </c>
      <c r="EL31">
        <v>-0.15588676956436287</v>
      </c>
      <c r="EM31">
        <v>-3.2647341430589592E-3</v>
      </c>
      <c r="EN31">
        <v>-7.9650745210137746E-3</v>
      </c>
      <c r="EO31">
        <v>0.36867029971529941</v>
      </c>
      <c r="EP31">
        <v>0.17739817864982493</v>
      </c>
      <c r="EQ31">
        <v>0.10066443190766937</v>
      </c>
      <c r="ER31">
        <v>9.3172912467626254E-2</v>
      </c>
      <c r="ES31">
        <v>7.669416589279586E-2</v>
      </c>
      <c r="ET31">
        <v>-0.16195790192354276</v>
      </c>
      <c r="EU31">
        <v>-2.8965785229898761E-2</v>
      </c>
      <c r="EV31">
        <v>-4.1964905379861646E-2</v>
      </c>
      <c r="EW31">
        <v>-0.16184288579569858</v>
      </c>
      <c r="EX31">
        <v>0.10643511617207056</v>
      </c>
      <c r="EY31">
        <v>-0.24828442027750855</v>
      </c>
      <c r="EZ31">
        <v>0.16234201559441286</v>
      </c>
      <c r="FA31">
        <v>0.26816709138793948</v>
      </c>
      <c r="FB31">
        <v>-0.16699749829315169</v>
      </c>
      <c r="FC31">
        <v>4.1375750182720113E-2</v>
      </c>
      <c r="FD31">
        <v>6.331836190418277E-3</v>
      </c>
      <c r="FE31">
        <v>-0.40828189418427557</v>
      </c>
      <c r="FF31">
        <v>-0.22292473116571723</v>
      </c>
      <c r="FG31">
        <v>-0.13462092354627142</v>
      </c>
      <c r="FH31">
        <v>0.10457465646278628</v>
      </c>
      <c r="FI31">
        <v>-3.1935112321676007E-2</v>
      </c>
      <c r="FJ31">
        <v>-7.5675886107491708E-2</v>
      </c>
      <c r="FK31">
        <v>6.7663909054845942E-2</v>
      </c>
      <c r="FL31">
        <v>8.4081872266982507E-2</v>
      </c>
      <c r="FM31">
        <v>-0.1196665002946858</v>
      </c>
    </row>
    <row r="32" spans="2:169" x14ac:dyDescent="0.25">
      <c r="B32">
        <v>0.18941173584905657</v>
      </c>
      <c r="C32">
        <v>0.31685440094339623</v>
      </c>
      <c r="D32">
        <v>0.64536091981132071</v>
      </c>
      <c r="E32">
        <v>0.37293839386792454</v>
      </c>
      <c r="F32">
        <v>0.44544432075471696</v>
      </c>
      <c r="G32">
        <v>0.36201872405660379</v>
      </c>
      <c r="H32">
        <v>0.20802043867924527</v>
      </c>
      <c r="I32">
        <v>0.32298137264150939</v>
      </c>
      <c r="J32">
        <v>0.5756433183962264</v>
      </c>
      <c r="K32">
        <v>0.57499104952830171</v>
      </c>
      <c r="L32">
        <v>0.33575246933962261</v>
      </c>
      <c r="M32">
        <v>0.47945390330188675</v>
      </c>
      <c r="N32">
        <v>0.35103583962264151</v>
      </c>
      <c r="O32">
        <v>0.31666360849056596</v>
      </c>
      <c r="P32">
        <v>0.22997119339622646</v>
      </c>
      <c r="Q32">
        <v>0.41706749528301884</v>
      </c>
      <c r="R32">
        <v>0.86158911320754716</v>
      </c>
      <c r="S32">
        <v>0.44255578066037726</v>
      </c>
      <c r="T32">
        <v>0.50895592452830185</v>
      </c>
      <c r="U32">
        <v>0.16310851179245281</v>
      </c>
      <c r="V32">
        <v>0.16614180188679242</v>
      </c>
      <c r="W32">
        <v>0.57327241273584895</v>
      </c>
      <c r="X32">
        <v>0.30314210141509434</v>
      </c>
      <c r="Y32">
        <v>0.29752273584905653</v>
      </c>
      <c r="Z32">
        <v>0.52293745754716969</v>
      </c>
      <c r="AA32">
        <v>0.53594687500000004</v>
      </c>
      <c r="AB32">
        <v>0.27485995047169809</v>
      </c>
      <c r="AC32">
        <v>0.34165175707547168</v>
      </c>
      <c r="AD32">
        <v>0.47655843396226411</v>
      </c>
      <c r="AE32">
        <v>0.21885514150943397</v>
      </c>
      <c r="AF32">
        <v>0.76514493632075475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0.76514493632075475</v>
      </c>
      <c r="BV32">
        <v>0.25647627358490566</v>
      </c>
      <c r="BW32">
        <v>0.43024191745283019</v>
      </c>
      <c r="BX32">
        <v>0.21637728537735848</v>
      </c>
      <c r="BY32">
        <v>0.23341052830188674</v>
      </c>
      <c r="BZ32">
        <v>0.20970666981132075</v>
      </c>
      <c r="CA32">
        <v>0.66191229716981126</v>
      </c>
      <c r="CB32">
        <v>0.34245284669811316</v>
      </c>
      <c r="CC32">
        <v>2.5621483490566036E-2</v>
      </c>
      <c r="CJ32">
        <v>0.18941173584905657</v>
      </c>
      <c r="CK32">
        <v>0.31685440094339623</v>
      </c>
      <c r="CL32">
        <v>0.64536091981132071</v>
      </c>
      <c r="CM32">
        <v>0.37293839386792454</v>
      </c>
      <c r="CN32">
        <v>0.44544432075471696</v>
      </c>
      <c r="CO32">
        <v>0.36201872405660379</v>
      </c>
      <c r="CP32">
        <v>0.20802043867924527</v>
      </c>
      <c r="CQ32">
        <v>0.32298137264150939</v>
      </c>
      <c r="CR32">
        <v>0.5756433183962264</v>
      </c>
      <c r="CS32">
        <v>0.57499104952830171</v>
      </c>
      <c r="CT32">
        <v>0.33575246933962261</v>
      </c>
      <c r="CU32">
        <v>0.47945390330188675</v>
      </c>
      <c r="CV32">
        <v>0.35103583962264151</v>
      </c>
      <c r="CW32">
        <v>0.31666360849056596</v>
      </c>
      <c r="CX32">
        <v>0.22997119339622646</v>
      </c>
      <c r="CY32">
        <v>0.41706749528301884</v>
      </c>
      <c r="CZ32">
        <v>0.86158911320754716</v>
      </c>
      <c r="DA32">
        <v>0.44255578066037726</v>
      </c>
      <c r="DB32">
        <v>0.50895592452830185</v>
      </c>
      <c r="DC32">
        <v>0.16310851179245281</v>
      </c>
      <c r="DD32">
        <v>0.16614180188679242</v>
      </c>
      <c r="DE32">
        <v>0.57327241273584895</v>
      </c>
      <c r="DF32">
        <v>0.30314210141509434</v>
      </c>
      <c r="DG32">
        <v>0.29752273584905653</v>
      </c>
      <c r="DH32">
        <v>0.52293745754716969</v>
      </c>
      <c r="DI32">
        <v>0.53594687500000004</v>
      </c>
      <c r="DJ32">
        <v>0.27485995047169809</v>
      </c>
      <c r="DK32">
        <v>0.34165175707547168</v>
      </c>
      <c r="DL32">
        <v>0.47655843396226411</v>
      </c>
      <c r="DM32">
        <v>0.21885514150943397</v>
      </c>
      <c r="DN32">
        <v>0.76514493632075475</v>
      </c>
      <c r="DO32">
        <v>0.25647627358490566</v>
      </c>
      <c r="DP32">
        <v>0.43024191745283019</v>
      </c>
      <c r="DQ32">
        <v>0.21637728537735848</v>
      </c>
      <c r="DR32">
        <v>0.23341052830188674</v>
      </c>
      <c r="DS32">
        <v>0.20970666981132075</v>
      </c>
      <c r="DT32">
        <v>0.66191229716981126</v>
      </c>
      <c r="DU32">
        <v>0.34245284669811316</v>
      </c>
      <c r="DV32">
        <v>2.5621483490566036E-2</v>
      </c>
      <c r="DZ32">
        <v>0.23597478994767387</v>
      </c>
      <c r="EA32">
        <v>-0.14268802205543762</v>
      </c>
      <c r="EB32">
        <v>-3.2849462474980051E-2</v>
      </c>
      <c r="EC32">
        <v>8.1291121806522542E-4</v>
      </c>
      <c r="ED32">
        <v>7.1828196976332304E-2</v>
      </c>
      <c r="EE32">
        <v>0.19924402324456505</v>
      </c>
      <c r="EF32">
        <v>-6.3651951708577667E-2</v>
      </c>
      <c r="EG32">
        <v>-4.6297831847931396E-2</v>
      </c>
      <c r="EH32">
        <v>4.7291670150924571E-3</v>
      </c>
      <c r="EI32">
        <v>-6.8344040869971506E-2</v>
      </c>
      <c r="EJ32">
        <v>-0.1142671818658699</v>
      </c>
      <c r="EK32">
        <v>7.5142563698371176E-2</v>
      </c>
      <c r="EL32">
        <v>-5.6633663844288071E-2</v>
      </c>
      <c r="EM32">
        <v>0.32048256304071426</v>
      </c>
      <c r="EN32">
        <v>-0.24543598298009756</v>
      </c>
      <c r="EO32">
        <v>0.29848904806744248</v>
      </c>
      <c r="EP32">
        <v>0.17808910589652555</v>
      </c>
      <c r="EQ32">
        <v>0.17592077361166963</v>
      </c>
      <c r="ER32">
        <v>-0.14009035433763325</v>
      </c>
      <c r="ES32">
        <v>-7.9133602624809729E-2</v>
      </c>
      <c r="ET32">
        <v>0.19017806355784642</v>
      </c>
      <c r="EU32">
        <v>0.15901877141023377</v>
      </c>
      <c r="EV32">
        <v>-4.8311648912426015E-2</v>
      </c>
      <c r="EW32">
        <v>-5.6001784226464998E-2</v>
      </c>
      <c r="EX32">
        <v>-0.21261443880562744</v>
      </c>
      <c r="EY32">
        <v>-1.3348536389065914E-2</v>
      </c>
      <c r="EZ32">
        <v>2.3668231785456528E-2</v>
      </c>
      <c r="FA32">
        <v>-0.30090378201923867</v>
      </c>
      <c r="FB32">
        <v>-2.6754516777982868E-2</v>
      </c>
      <c r="FC32">
        <v>5.7207791303735621E-2</v>
      </c>
      <c r="FD32">
        <v>0.13272931783566264</v>
      </c>
      <c r="FE32">
        <v>-0.21464831440209101</v>
      </c>
      <c r="FF32">
        <v>-4.9116713988882954E-2</v>
      </c>
      <c r="FG32">
        <v>0.30622665977795649</v>
      </c>
      <c r="FH32">
        <v>-0.23672252959939816</v>
      </c>
      <c r="FI32">
        <v>5.896910246762227E-2</v>
      </c>
      <c r="FJ32">
        <v>0.18607013557399107</v>
      </c>
      <c r="FK32">
        <v>-0.13588887377039166</v>
      </c>
      <c r="FL32">
        <v>-3.384075586060948E-2</v>
      </c>
      <c r="FM32">
        <v>0.28157230330933819</v>
      </c>
    </row>
    <row r="33" spans="1:169" x14ac:dyDescent="0.25">
      <c r="B33">
        <v>0.22308557547169811</v>
      </c>
      <c r="C33">
        <v>0.56836818396226407</v>
      </c>
      <c r="D33">
        <v>0.73133210141509419</v>
      </c>
      <c r="E33">
        <v>0.58648265330188676</v>
      </c>
      <c r="F33">
        <v>0.5156968443396226</v>
      </c>
      <c r="G33">
        <v>0.3262851603773585</v>
      </c>
      <c r="H33">
        <v>0.2136582948113207</v>
      </c>
      <c r="I33">
        <v>0.35892671462264147</v>
      </c>
      <c r="J33">
        <v>0.5925571863207546</v>
      </c>
      <c r="K33">
        <v>0.56287128537735842</v>
      </c>
      <c r="L33">
        <v>0.37999551179245278</v>
      </c>
      <c r="M33">
        <v>0.47927397877358491</v>
      </c>
      <c r="N33">
        <v>0.23932443396226416</v>
      </c>
      <c r="O33">
        <v>0.29901277358490563</v>
      </c>
      <c r="P33">
        <v>0.54265559433962252</v>
      </c>
      <c r="Q33">
        <v>0.27287557547169805</v>
      </c>
      <c r="R33">
        <v>0.69942473820754703</v>
      </c>
      <c r="S33">
        <v>0.65875448349056598</v>
      </c>
      <c r="T33">
        <v>0.39346513679245282</v>
      </c>
      <c r="U33">
        <v>0.13283419811320754</v>
      </c>
      <c r="V33">
        <v>0.20296089150943394</v>
      </c>
      <c r="W33">
        <v>0.78352941037735846</v>
      </c>
      <c r="X33">
        <v>0.24024342452830189</v>
      </c>
      <c r="Y33">
        <v>0.54433419103773573</v>
      </c>
      <c r="Z33">
        <v>-0.18359373349056601</v>
      </c>
      <c r="AA33">
        <v>0.98884441745283014</v>
      </c>
      <c r="AB33">
        <v>0.33670995990566033</v>
      </c>
      <c r="AC33">
        <v>0.87064138915094336</v>
      </c>
      <c r="AD33">
        <v>0.45117121226415091</v>
      </c>
      <c r="AE33">
        <v>9.559589858490565E-2</v>
      </c>
      <c r="AF33">
        <v>0.25647627358490566</v>
      </c>
      <c r="AG33">
        <v>2.1253798773584904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2.1253798773584904</v>
      </c>
      <c r="BW33">
        <v>0.71368286320754715</v>
      </c>
      <c r="BX33">
        <v>1.4673028301886791E-2</v>
      </c>
      <c r="BY33">
        <v>0.30630249056603776</v>
      </c>
      <c r="BZ33">
        <v>4.3339212264150925E-2</v>
      </c>
      <c r="CA33">
        <v>0.74907433726415085</v>
      </c>
      <c r="CB33">
        <v>0.2130081910377358</v>
      </c>
      <c r="CC33">
        <v>3.3052839622641508E-2</v>
      </c>
      <c r="CJ33">
        <v>0.22308557547169811</v>
      </c>
      <c r="CK33">
        <v>0.56836818396226407</v>
      </c>
      <c r="CL33">
        <v>0.73133210141509419</v>
      </c>
      <c r="CM33">
        <v>0.58648265330188676</v>
      </c>
      <c r="CN33">
        <v>0.5156968443396226</v>
      </c>
      <c r="CO33">
        <v>0.3262851603773585</v>
      </c>
      <c r="CP33">
        <v>0.2136582948113207</v>
      </c>
      <c r="CQ33">
        <v>0.35892671462264147</v>
      </c>
      <c r="CR33">
        <v>0.5925571863207546</v>
      </c>
      <c r="CS33">
        <v>0.56287128537735842</v>
      </c>
      <c r="CT33">
        <v>0.37999551179245278</v>
      </c>
      <c r="CU33">
        <v>0.47927397877358491</v>
      </c>
      <c r="CV33">
        <v>0.23932443396226416</v>
      </c>
      <c r="CW33">
        <v>0.29901277358490563</v>
      </c>
      <c r="CX33">
        <v>0.54265559433962252</v>
      </c>
      <c r="CY33">
        <v>0.27287557547169805</v>
      </c>
      <c r="CZ33">
        <v>0.69942473820754703</v>
      </c>
      <c r="DA33">
        <v>0.65875448349056598</v>
      </c>
      <c r="DB33">
        <v>0.39346513679245282</v>
      </c>
      <c r="DC33">
        <v>0.13283419811320754</v>
      </c>
      <c r="DD33">
        <v>0.20296089150943394</v>
      </c>
      <c r="DE33">
        <v>0.78352941037735846</v>
      </c>
      <c r="DF33">
        <v>0.24024342452830189</v>
      </c>
      <c r="DG33">
        <v>0.54433419103773573</v>
      </c>
      <c r="DH33">
        <v>-0.18359373349056601</v>
      </c>
      <c r="DI33">
        <v>0.98884441745283014</v>
      </c>
      <c r="DJ33">
        <v>0.33670995990566033</v>
      </c>
      <c r="DK33">
        <v>0.87064138915094336</v>
      </c>
      <c r="DL33">
        <v>0.45117121226415091</v>
      </c>
      <c r="DM33">
        <v>9.559589858490565E-2</v>
      </c>
      <c r="DN33">
        <v>0.25647627358490566</v>
      </c>
      <c r="DO33">
        <v>2.1253798773584904</v>
      </c>
      <c r="DP33">
        <v>0.71368286320754715</v>
      </c>
      <c r="DQ33">
        <v>1.4673028301886791E-2</v>
      </c>
      <c r="DR33">
        <v>0.30630249056603776</v>
      </c>
      <c r="DS33">
        <v>4.3339212264150925E-2</v>
      </c>
      <c r="DT33">
        <v>0.74907433726415085</v>
      </c>
      <c r="DU33">
        <v>0.2130081910377358</v>
      </c>
      <c r="DV33">
        <v>3.3052839622641508E-2</v>
      </c>
      <c r="DZ33">
        <v>0.20763643098079174</v>
      </c>
      <c r="EA33">
        <v>-1.4108387900123186E-2</v>
      </c>
      <c r="EB33">
        <v>-9.0313384231363064E-2</v>
      </c>
      <c r="EC33">
        <v>0.10927343866063964</v>
      </c>
      <c r="ED33">
        <v>0.16496186625156417</v>
      </c>
      <c r="EE33">
        <v>-0.14164994860430943</v>
      </c>
      <c r="EF33">
        <v>-4.9741320398124261E-2</v>
      </c>
      <c r="EG33">
        <v>-9.8942117657759274E-2</v>
      </c>
      <c r="EH33">
        <v>0.13427195040735068</v>
      </c>
      <c r="EI33">
        <v>-1.4613461766267396E-2</v>
      </c>
      <c r="EJ33">
        <v>-0.1333866653989324</v>
      </c>
      <c r="EK33">
        <v>0.14901113259559737</v>
      </c>
      <c r="EL33">
        <v>-0.18503001844541686</v>
      </c>
      <c r="EM33">
        <v>-5.0139800913607389E-2</v>
      </c>
      <c r="EN33">
        <v>0.19347892718223669</v>
      </c>
      <c r="EO33">
        <v>0.15991720139841797</v>
      </c>
      <c r="EP33">
        <v>5.1143689939200335E-2</v>
      </c>
      <c r="EQ33">
        <v>-6.4807705088585299E-2</v>
      </c>
      <c r="ER33">
        <v>-5.1625448545763182E-2</v>
      </c>
      <c r="ES33">
        <v>3.9925347134078047E-2</v>
      </c>
      <c r="ET33">
        <v>-5.0903878769131945E-2</v>
      </c>
      <c r="EU33">
        <v>0.1959316129715917</v>
      </c>
      <c r="EV33">
        <v>8.8246589145838009E-2</v>
      </c>
      <c r="EW33">
        <v>0.17038294620178615</v>
      </c>
      <c r="EX33">
        <v>-0.19796574933464106</v>
      </c>
      <c r="EY33">
        <v>-2.6353054207994508E-2</v>
      </c>
      <c r="EZ33">
        <v>-3.5744580581491915E-2</v>
      </c>
      <c r="FA33">
        <v>-0.53569388667900231</v>
      </c>
      <c r="FB33">
        <v>-2.8628858347985118E-4</v>
      </c>
      <c r="FC33">
        <v>-5.5593094991435285E-4</v>
      </c>
      <c r="FD33">
        <v>0.10020719019313665</v>
      </c>
      <c r="FE33">
        <v>-6.3725380051250807E-2</v>
      </c>
      <c r="FF33">
        <v>1.3142113365068285E-2</v>
      </c>
      <c r="FG33">
        <v>-3.9215235839037445E-2</v>
      </c>
      <c r="FH33">
        <v>0.31484989027998705</v>
      </c>
      <c r="FI33">
        <v>-0.12477517634788669</v>
      </c>
      <c r="FJ33">
        <v>-0.23995942613299129</v>
      </c>
      <c r="FK33">
        <v>0.26573596567113111</v>
      </c>
      <c r="FL33">
        <v>6.0719381494401661E-2</v>
      </c>
      <c r="FM33">
        <v>-0.28769262944402979</v>
      </c>
    </row>
    <row r="34" spans="1:169" x14ac:dyDescent="0.25">
      <c r="B34">
        <v>0.21949510849056603</v>
      </c>
      <c r="C34">
        <v>0.55420367688679251</v>
      </c>
      <c r="D34">
        <v>0.79402954245283008</v>
      </c>
      <c r="E34">
        <v>0.61082471462264132</v>
      </c>
      <c r="F34">
        <v>0.59817429009433953</v>
      </c>
      <c r="G34">
        <v>0.34201210849056601</v>
      </c>
      <c r="H34">
        <v>0.2383032075471698</v>
      </c>
      <c r="I34">
        <v>0.45168982311320749</v>
      </c>
      <c r="J34">
        <v>0.78977022877358483</v>
      </c>
      <c r="K34">
        <v>0.62944683490566034</v>
      </c>
      <c r="L34">
        <v>0.45019290094339615</v>
      </c>
      <c r="M34">
        <v>0.58297403301886785</v>
      </c>
      <c r="N34">
        <v>0.12022357075471699</v>
      </c>
      <c r="O34">
        <v>0.2993808325471698</v>
      </c>
      <c r="P34">
        <v>0.45664616509433964</v>
      </c>
      <c r="Q34">
        <v>0.36869262971698114</v>
      </c>
      <c r="R34">
        <v>0.81836496933962266</v>
      </c>
      <c r="S34">
        <v>0.65732888207547158</v>
      </c>
      <c r="T34">
        <v>1.2120482570754718</v>
      </c>
      <c r="U34">
        <v>-0.11629737499999998</v>
      </c>
      <c r="V34">
        <v>0.18371404716981132</v>
      </c>
      <c r="W34">
        <v>0.86268758962264147</v>
      </c>
      <c r="X34">
        <v>0.41995377830188679</v>
      </c>
      <c r="Y34">
        <v>0.49978606603773579</v>
      </c>
      <c r="Z34">
        <v>0.81644605424528283</v>
      </c>
      <c r="AA34">
        <v>1.0843667311320755</v>
      </c>
      <c r="AB34">
        <v>0.35316642216981126</v>
      </c>
      <c r="AC34">
        <v>0.60652660141509429</v>
      </c>
      <c r="AD34">
        <v>0.50188391037735847</v>
      </c>
      <c r="AE34">
        <v>0.11770904952830188</v>
      </c>
      <c r="AF34">
        <v>0.43024191745283019</v>
      </c>
      <c r="AG34">
        <v>0.71368286320754715</v>
      </c>
      <c r="AH34">
        <v>1.4295371792452829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1.4295371792452829</v>
      </c>
      <c r="BX34">
        <v>9.4984497641509416E-2</v>
      </c>
      <c r="BY34">
        <v>0.30375556367924528</v>
      </c>
      <c r="BZ34">
        <v>6.7681575471698105E-2</v>
      </c>
      <c r="CA34">
        <v>0.70324566981132075</v>
      </c>
      <c r="CB34">
        <v>0.30076649999999994</v>
      </c>
      <c r="CC34">
        <v>2.1217563679245283E-2</v>
      </c>
      <c r="CJ34">
        <v>0.21949510849056603</v>
      </c>
      <c r="CK34">
        <v>0.55420367688679251</v>
      </c>
      <c r="CL34">
        <v>0.79402954245283008</v>
      </c>
      <c r="CM34">
        <v>0.61082471462264132</v>
      </c>
      <c r="CN34">
        <v>0.59817429009433953</v>
      </c>
      <c r="CO34">
        <v>0.34201210849056601</v>
      </c>
      <c r="CP34">
        <v>0.2383032075471698</v>
      </c>
      <c r="CQ34">
        <v>0.45168982311320749</v>
      </c>
      <c r="CR34">
        <v>0.78977022877358483</v>
      </c>
      <c r="CS34">
        <v>0.62944683490566034</v>
      </c>
      <c r="CT34">
        <v>0.45019290094339615</v>
      </c>
      <c r="CU34">
        <v>0.58297403301886785</v>
      </c>
      <c r="CV34">
        <v>0.12022357075471699</v>
      </c>
      <c r="CW34">
        <v>0.2993808325471698</v>
      </c>
      <c r="CX34">
        <v>0.45664616509433964</v>
      </c>
      <c r="CY34">
        <v>0.36869262971698114</v>
      </c>
      <c r="CZ34">
        <v>0.81836496933962266</v>
      </c>
      <c r="DA34">
        <v>0.65732888207547158</v>
      </c>
      <c r="DB34">
        <v>1.2120482570754718</v>
      </c>
      <c r="DC34">
        <v>-0.11629737499999998</v>
      </c>
      <c r="DD34">
        <v>0.18371404716981132</v>
      </c>
      <c r="DE34">
        <v>0.86268758962264147</v>
      </c>
      <c r="DF34">
        <v>0.41995377830188679</v>
      </c>
      <c r="DG34">
        <v>0.49978606603773579</v>
      </c>
      <c r="DH34">
        <v>0.81644605424528283</v>
      </c>
      <c r="DI34">
        <v>1.0843667311320755</v>
      </c>
      <c r="DJ34">
        <v>0.35316642216981126</v>
      </c>
      <c r="DK34">
        <v>0.60652660141509429</v>
      </c>
      <c r="DL34">
        <v>0.50188391037735847</v>
      </c>
      <c r="DM34">
        <v>0.11770904952830188</v>
      </c>
      <c r="DN34">
        <v>0.43024191745283019</v>
      </c>
      <c r="DO34">
        <v>0.71368286320754715</v>
      </c>
      <c r="DP34">
        <v>1.4295371792452829</v>
      </c>
      <c r="DQ34">
        <v>9.4984497641509416E-2</v>
      </c>
      <c r="DR34">
        <v>0.30375556367924528</v>
      </c>
      <c r="DS34">
        <v>6.7681575471698105E-2</v>
      </c>
      <c r="DT34">
        <v>0.70324566981132075</v>
      </c>
      <c r="DU34">
        <v>0.30076649999999994</v>
      </c>
      <c r="DV34">
        <v>2.1217563679245283E-2</v>
      </c>
      <c r="DZ34">
        <v>0.19530107206596076</v>
      </c>
      <c r="EA34">
        <v>-0.40544755705336183</v>
      </c>
      <c r="EB34">
        <v>0.21512055141309028</v>
      </c>
      <c r="EC34">
        <v>-0.25528728573277931</v>
      </c>
      <c r="ED34">
        <v>0.11931920293285131</v>
      </c>
      <c r="EE34">
        <v>-0.12206410011185784</v>
      </c>
      <c r="EF34">
        <v>0.16479195014648843</v>
      </c>
      <c r="EG34">
        <v>0.10064204133440309</v>
      </c>
      <c r="EH34">
        <v>7.5433158388811941E-2</v>
      </c>
      <c r="EI34">
        <v>0.20734903623115536</v>
      </c>
      <c r="EJ34">
        <v>0.10101390730117384</v>
      </c>
      <c r="EK34">
        <v>-9.0122938249135198E-2</v>
      </c>
      <c r="EL34">
        <v>-0.1029493210277828</v>
      </c>
      <c r="EM34">
        <v>-3.5789140412238477E-2</v>
      </c>
      <c r="EN34">
        <v>-0.12723367209345529</v>
      </c>
      <c r="EO34">
        <v>0.12647832477296653</v>
      </c>
      <c r="EP34">
        <v>0.23163620861790452</v>
      </c>
      <c r="EQ34">
        <v>-6.3721273958874695E-3</v>
      </c>
      <c r="ER34">
        <v>5.1744391255311516E-2</v>
      </c>
      <c r="ES34">
        <v>-4.929172636463814E-2</v>
      </c>
      <c r="ET34">
        <v>-5.7896353054327977E-2</v>
      </c>
      <c r="EU34">
        <v>0.19274096734078527</v>
      </c>
      <c r="EV34">
        <v>-0.19755571882586456</v>
      </c>
      <c r="EW34">
        <v>0.12862718001400103</v>
      </c>
      <c r="EX34">
        <v>5.9832624263010815E-2</v>
      </c>
      <c r="EY34">
        <v>0.2525949423868728</v>
      </c>
      <c r="EZ34">
        <v>-8.6835067669604638E-2</v>
      </c>
      <c r="FA34">
        <v>-5.2497037751567485E-2</v>
      </c>
      <c r="FB34">
        <v>-0.33959058943525033</v>
      </c>
      <c r="FC34">
        <v>-0.17876275780599854</v>
      </c>
      <c r="FD34">
        <v>-0.1866903883588244</v>
      </c>
      <c r="FE34">
        <v>0.19291563344781062</v>
      </c>
      <c r="FF34">
        <v>0.26427950079438889</v>
      </c>
      <c r="FG34">
        <v>-9.6039244523936154E-2</v>
      </c>
      <c r="FH34">
        <v>9.2749917088815869E-3</v>
      </c>
      <c r="FI34">
        <v>5.5649414525097605E-2</v>
      </c>
      <c r="FJ34">
        <v>2.9280044582756699E-2</v>
      </c>
      <c r="FK34">
        <v>-8.1600007815217729E-2</v>
      </c>
      <c r="FL34">
        <v>5.2130674290504699E-2</v>
      </c>
      <c r="FM34">
        <v>-4.7734525447808318E-2</v>
      </c>
    </row>
    <row r="35" spans="1:169" x14ac:dyDescent="0.25">
      <c r="B35">
        <v>0.10879614386792452</v>
      </c>
      <c r="C35">
        <v>4.5208589622641501E-2</v>
      </c>
      <c r="D35">
        <v>0.39209741981132068</v>
      </c>
      <c r="E35">
        <v>0.16264633726415095</v>
      </c>
      <c r="F35">
        <v>0.21228117924528303</v>
      </c>
      <c r="G35">
        <v>0.25165004481132075</v>
      </c>
      <c r="H35">
        <v>0.17380108726415094</v>
      </c>
      <c r="I35">
        <v>0.16837669103773584</v>
      </c>
      <c r="J35">
        <v>0.26715795518867924</v>
      </c>
      <c r="K35">
        <v>0.44699003066037729</v>
      </c>
      <c r="L35">
        <v>0.19098008018867921</v>
      </c>
      <c r="M35">
        <v>0.23713267452830183</v>
      </c>
      <c r="N35">
        <v>0.51892834198113191</v>
      </c>
      <c r="O35">
        <v>0.44954060377358485</v>
      </c>
      <c r="P35">
        <v>4.1934797169811321E-2</v>
      </c>
      <c r="Q35">
        <v>0.19594428537735847</v>
      </c>
      <c r="R35">
        <v>0.29314427122641507</v>
      </c>
      <c r="S35">
        <v>0.14054324056603773</v>
      </c>
      <c r="T35">
        <v>0.11167560849056604</v>
      </c>
      <c r="U35">
        <v>3.0396804245283012E-2</v>
      </c>
      <c r="V35">
        <v>3.6500068396226416E-2</v>
      </c>
      <c r="W35">
        <v>0.18322545283018865</v>
      </c>
      <c r="X35">
        <v>0.14540491509433962</v>
      </c>
      <c r="Y35">
        <v>0.12289340330188679</v>
      </c>
      <c r="Z35">
        <v>0.13830158254716979</v>
      </c>
      <c r="AA35">
        <v>0.11326989622641509</v>
      </c>
      <c r="AB35">
        <v>0.1072485754716981</v>
      </c>
      <c r="AC35">
        <v>3.6821066037735842E-2</v>
      </c>
      <c r="AD35">
        <v>0.11294952358490565</v>
      </c>
      <c r="AE35">
        <v>9.1838441037735849E-2</v>
      </c>
      <c r="AF35">
        <v>0.21637728537735848</v>
      </c>
      <c r="AG35">
        <v>1.4673028301886791E-2</v>
      </c>
      <c r="AH35">
        <v>9.4984497641509416E-2</v>
      </c>
      <c r="AI35">
        <v>1.2713850306603771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1.2713850306603771</v>
      </c>
      <c r="BY35">
        <v>-0.11217023584905658</v>
      </c>
      <c r="BZ35">
        <v>1.1416561391509432</v>
      </c>
      <c r="CA35">
        <v>1.2423198113207544E-2</v>
      </c>
      <c r="CB35">
        <v>7.8653183962264131E-2</v>
      </c>
      <c r="CC35">
        <v>0.1242769033018868</v>
      </c>
      <c r="CJ35">
        <v>0.10879614386792452</v>
      </c>
      <c r="CK35">
        <v>4.5208589622641501E-2</v>
      </c>
      <c r="CL35">
        <v>0.39209741981132068</v>
      </c>
      <c r="CM35">
        <v>0.16264633726415095</v>
      </c>
      <c r="CN35">
        <v>0.21228117924528303</v>
      </c>
      <c r="CO35">
        <v>0.25165004481132075</v>
      </c>
      <c r="CP35">
        <v>0.17380108726415094</v>
      </c>
      <c r="CQ35">
        <v>0.16837669103773584</v>
      </c>
      <c r="CR35">
        <v>0.26715795518867924</v>
      </c>
      <c r="CS35">
        <v>0.44699003066037729</v>
      </c>
      <c r="CT35">
        <v>0.19098008018867921</v>
      </c>
      <c r="CU35">
        <v>0.23713267452830183</v>
      </c>
      <c r="CV35">
        <v>0.51892834198113191</v>
      </c>
      <c r="CW35">
        <v>0.44954060377358485</v>
      </c>
      <c r="CX35">
        <v>4.1934797169811321E-2</v>
      </c>
      <c r="CY35">
        <v>0.19594428537735847</v>
      </c>
      <c r="CZ35">
        <v>0.29314427122641507</v>
      </c>
      <c r="DA35">
        <v>0.14054324056603773</v>
      </c>
      <c r="DB35">
        <v>0.11167560849056604</v>
      </c>
      <c r="DC35">
        <v>3.0396804245283012E-2</v>
      </c>
      <c r="DD35">
        <v>3.6500068396226416E-2</v>
      </c>
      <c r="DE35">
        <v>0.18322545283018865</v>
      </c>
      <c r="DF35">
        <v>0.14540491509433962</v>
      </c>
      <c r="DG35">
        <v>0.12289340330188679</v>
      </c>
      <c r="DH35">
        <v>0.13830158254716979</v>
      </c>
      <c r="DI35">
        <v>0.11326989622641509</v>
      </c>
      <c r="DJ35">
        <v>0.1072485754716981</v>
      </c>
      <c r="DK35">
        <v>3.6821066037735842E-2</v>
      </c>
      <c r="DL35">
        <v>0.11294952358490565</v>
      </c>
      <c r="DM35">
        <v>9.1838441037735849E-2</v>
      </c>
      <c r="DN35">
        <v>0.21637728537735848</v>
      </c>
      <c r="DO35">
        <v>1.4673028301886791E-2</v>
      </c>
      <c r="DP35">
        <v>9.4984497641509416E-2</v>
      </c>
      <c r="DQ35">
        <v>1.2713850306603771</v>
      </c>
      <c r="DR35">
        <v>-0.11217023584905658</v>
      </c>
      <c r="DS35">
        <v>1.1416561391509432</v>
      </c>
      <c r="DT35">
        <v>1.2423198113207544E-2</v>
      </c>
      <c r="DU35">
        <v>7.8653183962264131E-2</v>
      </c>
      <c r="DV35">
        <v>0.1242769033018868</v>
      </c>
      <c r="DZ35">
        <v>0.16394993198303406</v>
      </c>
      <c r="EA35">
        <v>-4.3329708567813013E-2</v>
      </c>
      <c r="EB35">
        <v>2.1094679818195357E-2</v>
      </c>
      <c r="EC35">
        <v>-6.0130802203207774E-2</v>
      </c>
      <c r="ED35">
        <v>-6.3729879951905391E-2</v>
      </c>
      <c r="EE35">
        <v>1.13414304101287E-2</v>
      </c>
      <c r="EF35">
        <v>6.6909872340707055E-2</v>
      </c>
      <c r="EG35">
        <v>1.6453989599302509E-2</v>
      </c>
      <c r="EH35">
        <v>-8.6219958590276237E-3</v>
      </c>
      <c r="EI35">
        <v>0.10679894632471482</v>
      </c>
      <c r="EJ35">
        <v>0.13108104979414106</v>
      </c>
      <c r="EK35">
        <v>-0.23529162583109603</v>
      </c>
      <c r="EL35">
        <v>0.1369935507369931</v>
      </c>
      <c r="EM35">
        <v>-0.23179326695267841</v>
      </c>
      <c r="EN35">
        <v>3.7091257567212349E-2</v>
      </c>
      <c r="EO35">
        <v>-0.11900271922412116</v>
      </c>
      <c r="EP35">
        <v>0.21123404276147981</v>
      </c>
      <c r="EQ35">
        <v>2.0796118697804067E-2</v>
      </c>
      <c r="ER35">
        <v>-0.46158372054536601</v>
      </c>
      <c r="ES35">
        <v>-0.26940642276856547</v>
      </c>
      <c r="ET35">
        <v>0.20174500358063266</v>
      </c>
      <c r="EU35">
        <v>-4.2466523747880132E-2</v>
      </c>
      <c r="EV35">
        <v>-5.058079945117392E-2</v>
      </c>
      <c r="EW35">
        <v>-4.0044238632980358E-2</v>
      </c>
      <c r="EX35">
        <v>1.9372948023296992E-3</v>
      </c>
      <c r="EY35">
        <v>0.14709952894116765</v>
      </c>
      <c r="EZ35">
        <v>-7.6196527459169397E-2</v>
      </c>
      <c r="FA35">
        <v>0.17011774180606462</v>
      </c>
      <c r="FB35">
        <v>-1.5503294003235106E-2</v>
      </c>
      <c r="FC35">
        <v>9.0545024405302849E-2</v>
      </c>
      <c r="FD35">
        <v>8.4823161847593032E-2</v>
      </c>
      <c r="FE35">
        <v>-0.3725998967503546</v>
      </c>
      <c r="FF35">
        <v>5.6711965228176196E-2</v>
      </c>
      <c r="FG35">
        <v>0.31340055778000597</v>
      </c>
      <c r="FH35">
        <v>0.20022846480254439</v>
      </c>
      <c r="FI35">
        <v>-1.4746699971668416E-2</v>
      </c>
      <c r="FJ35">
        <v>-9.1244583715748229E-2</v>
      </c>
      <c r="FK35">
        <v>0.25157094204534147</v>
      </c>
      <c r="FL35">
        <v>2.4800847695641823E-2</v>
      </c>
      <c r="FM35">
        <v>-0.10431899777402065</v>
      </c>
    </row>
    <row r="36" spans="1:169" x14ac:dyDescent="0.25">
      <c r="B36">
        <v>0.13496530896226414</v>
      </c>
      <c r="C36">
        <v>0.20995460377358488</v>
      </c>
      <c r="D36">
        <v>0.43042457075471691</v>
      </c>
      <c r="E36">
        <v>0.35154470990566039</v>
      </c>
      <c r="F36">
        <v>0.38229033490566039</v>
      </c>
      <c r="G36">
        <v>0.2187348938679245</v>
      </c>
      <c r="H36">
        <v>1.5599051886792458E-2</v>
      </c>
      <c r="I36">
        <v>0.2643360047169811</v>
      </c>
      <c r="J36">
        <v>0.42835864858490569</v>
      </c>
      <c r="K36">
        <v>-1.9317824056603774</v>
      </c>
      <c r="L36">
        <v>0.33251181367924526</v>
      </c>
      <c r="M36">
        <v>0.22040583018867926</v>
      </c>
      <c r="N36">
        <v>-1.221163625</v>
      </c>
      <c r="O36">
        <v>0.25517808962264144</v>
      </c>
      <c r="P36">
        <v>0.28540625471698111</v>
      </c>
      <c r="Q36">
        <v>0.18227706367924529</v>
      </c>
      <c r="R36">
        <v>0.48072704716981135</v>
      </c>
      <c r="S36">
        <v>0.33981349292452823</v>
      </c>
      <c r="T36">
        <v>0.29619344811320752</v>
      </c>
      <c r="U36">
        <v>2.1147457547169811E-2</v>
      </c>
      <c r="V36">
        <v>2.9006910377358482E-2</v>
      </c>
      <c r="W36">
        <v>0.37978289622641509</v>
      </c>
      <c r="X36">
        <v>0.19977593160377358</v>
      </c>
      <c r="Y36">
        <v>0.23969650943396226</v>
      </c>
      <c r="Z36">
        <v>0.25589160613207546</v>
      </c>
      <c r="AA36">
        <v>0.45143572641509433</v>
      </c>
      <c r="AB36">
        <v>0.16272422169811318</v>
      </c>
      <c r="AC36">
        <v>0.31532307311320751</v>
      </c>
      <c r="AD36">
        <v>0.29364944575471696</v>
      </c>
      <c r="AE36">
        <v>6.8509893867924526E-2</v>
      </c>
      <c r="AF36">
        <v>0.23341052830188674</v>
      </c>
      <c r="AG36">
        <v>0.30630249056603776</v>
      </c>
      <c r="AH36">
        <v>0.30375556367924528</v>
      </c>
      <c r="AI36">
        <v>-0.11217023584905658</v>
      </c>
      <c r="AJ36">
        <v>5.5098648608490564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5.5098648608490564</v>
      </c>
      <c r="BZ36">
        <v>-0.56104546933962263</v>
      </c>
      <c r="CA36">
        <v>0.81416292216981123</v>
      </c>
      <c r="CB36">
        <v>0.30033622405660371</v>
      </c>
      <c r="CC36">
        <v>4.4396030660377346E-2</v>
      </c>
      <c r="CJ36">
        <v>0.13496530896226414</v>
      </c>
      <c r="CK36">
        <v>0.20995460377358488</v>
      </c>
      <c r="CL36">
        <v>0.43042457075471691</v>
      </c>
      <c r="CM36">
        <v>0.35154470990566039</v>
      </c>
      <c r="CN36">
        <v>0.38229033490566039</v>
      </c>
      <c r="CO36">
        <v>0.2187348938679245</v>
      </c>
      <c r="CP36">
        <v>1.5599051886792458E-2</v>
      </c>
      <c r="CQ36">
        <v>0.2643360047169811</v>
      </c>
      <c r="CR36">
        <v>0.42835864858490569</v>
      </c>
      <c r="CS36">
        <v>-1.9317824056603774</v>
      </c>
      <c r="CT36">
        <v>0.33251181367924526</v>
      </c>
      <c r="CU36">
        <v>0.22040583018867926</v>
      </c>
      <c r="CV36">
        <v>-1.221163625</v>
      </c>
      <c r="CW36">
        <v>0.25517808962264144</v>
      </c>
      <c r="CX36">
        <v>0.28540625471698111</v>
      </c>
      <c r="CY36">
        <v>0.18227706367924529</v>
      </c>
      <c r="CZ36">
        <v>0.48072704716981135</v>
      </c>
      <c r="DA36">
        <v>0.33981349292452823</v>
      </c>
      <c r="DB36">
        <v>0.29619344811320752</v>
      </c>
      <c r="DC36">
        <v>2.1147457547169811E-2</v>
      </c>
      <c r="DD36">
        <v>2.9006910377358482E-2</v>
      </c>
      <c r="DE36">
        <v>0.37978289622641509</v>
      </c>
      <c r="DF36">
        <v>0.19977593160377358</v>
      </c>
      <c r="DG36">
        <v>0.23969650943396226</v>
      </c>
      <c r="DH36">
        <v>0.25589160613207546</v>
      </c>
      <c r="DI36">
        <v>0.45143572641509433</v>
      </c>
      <c r="DJ36">
        <v>0.16272422169811318</v>
      </c>
      <c r="DK36">
        <v>0.31532307311320751</v>
      </c>
      <c r="DL36">
        <v>0.29364944575471696</v>
      </c>
      <c r="DM36">
        <v>6.8509893867924526E-2</v>
      </c>
      <c r="DN36">
        <v>0.23341052830188674</v>
      </c>
      <c r="DO36">
        <v>0.30630249056603776</v>
      </c>
      <c r="DP36">
        <v>0.30375556367924528</v>
      </c>
      <c r="DQ36">
        <v>-0.11217023584905658</v>
      </c>
      <c r="DR36">
        <v>5.5098648608490564</v>
      </c>
      <c r="DS36">
        <v>-0.56104546933962263</v>
      </c>
      <c r="DT36">
        <v>0.81416292216981123</v>
      </c>
      <c r="DU36">
        <v>0.30033622405660371</v>
      </c>
      <c r="DV36">
        <v>4.4396030660377346E-2</v>
      </c>
      <c r="DZ36">
        <v>0.12523385489273386</v>
      </c>
      <c r="EA36">
        <v>0.11876085127654254</v>
      </c>
      <c r="EB36">
        <v>7.7068495515665095E-2</v>
      </c>
      <c r="EC36">
        <v>-8.9333722332960525E-2</v>
      </c>
      <c r="ED36">
        <v>1.287619221006539E-2</v>
      </c>
      <c r="EE36">
        <v>-4.8403487213007981E-2</v>
      </c>
      <c r="EF36">
        <v>7.1033596055292567E-2</v>
      </c>
      <c r="EG36">
        <v>9.2275852978946263E-2</v>
      </c>
      <c r="EH36">
        <v>-8.3365951217111867E-3</v>
      </c>
      <c r="EI36">
        <v>-2.2396777109471997E-2</v>
      </c>
      <c r="EJ36">
        <v>8.3855459919620803E-2</v>
      </c>
      <c r="EK36">
        <v>0.11284600399261002</v>
      </c>
      <c r="EL36">
        <v>-6.5901431921211728E-2</v>
      </c>
      <c r="EM36">
        <v>-0.19563938148144255</v>
      </c>
      <c r="EN36">
        <v>0.10289012197669208</v>
      </c>
      <c r="EO36">
        <v>3.5146364394880496E-2</v>
      </c>
      <c r="EP36">
        <v>-7.3937403647122327E-2</v>
      </c>
      <c r="EQ36">
        <v>-6.859760433964586E-2</v>
      </c>
      <c r="ER36">
        <v>0.50204670473958812</v>
      </c>
      <c r="ES36">
        <v>-0.53224623765921819</v>
      </c>
      <c r="ET36">
        <v>0.2083246614960893</v>
      </c>
      <c r="EU36">
        <v>-1.0643219748797814E-2</v>
      </c>
      <c r="EV36">
        <v>6.8004771623649388E-2</v>
      </c>
      <c r="EW36">
        <v>3.5598303848191182E-2</v>
      </c>
      <c r="EX36">
        <v>-8.2931393421352154E-2</v>
      </c>
      <c r="EY36">
        <v>-6.4165106854233558E-2</v>
      </c>
      <c r="EZ36">
        <v>1.3910889583690975E-2</v>
      </c>
      <c r="FA36">
        <v>-5.3096446263270689E-2</v>
      </c>
      <c r="FB36">
        <v>-6.809894309171266E-2</v>
      </c>
      <c r="FC36">
        <v>-7.8937869301010904E-2</v>
      </c>
      <c r="FD36">
        <v>-6.4590535387259604E-2</v>
      </c>
      <c r="FE36">
        <v>0.12369493410101125</v>
      </c>
      <c r="FF36">
        <v>-0.18272645000397839</v>
      </c>
      <c r="FG36">
        <v>0.44661824158624863</v>
      </c>
      <c r="FH36">
        <v>8.3054065694768333E-3</v>
      </c>
      <c r="FI36">
        <v>-1.7042819999508397E-2</v>
      </c>
      <c r="FJ36">
        <v>-1.6733799707843139E-2</v>
      </c>
      <c r="FK36">
        <v>-7.3338829535022354E-2</v>
      </c>
      <c r="FL36">
        <v>-2.4872752683504658E-4</v>
      </c>
      <c r="FM36">
        <v>-5.4707270497793267E-2</v>
      </c>
    </row>
    <row r="37" spans="1:169" x14ac:dyDescent="0.25">
      <c r="B37">
        <v>9.475091745283018E-2</v>
      </c>
      <c r="C37">
        <v>-2.4504148584905655E-2</v>
      </c>
      <c r="D37">
        <v>0.34889442216981126</v>
      </c>
      <c r="E37">
        <v>0.14597288679245279</v>
      </c>
      <c r="F37">
        <v>0.24011147405660374</v>
      </c>
      <c r="G37">
        <v>0.26566457547169814</v>
      </c>
      <c r="H37">
        <v>0.19514112028301886</v>
      </c>
      <c r="I37">
        <v>0.16185360141509431</v>
      </c>
      <c r="J37">
        <v>0.32311587971698108</v>
      </c>
      <c r="K37">
        <v>0.45298988915094335</v>
      </c>
      <c r="L37">
        <v>0.16972961556603774</v>
      </c>
      <c r="M37">
        <v>0.31047670754716977</v>
      </c>
      <c r="N37">
        <v>0.46713701650943396</v>
      </c>
      <c r="O37">
        <v>0.75223637264150944</v>
      </c>
      <c r="P37">
        <v>3.4816823113207551E-2</v>
      </c>
      <c r="Q37">
        <v>0.28257734669811324</v>
      </c>
      <c r="R37">
        <v>0.42695490801886793</v>
      </c>
      <c r="S37">
        <v>0.21581677358490561</v>
      </c>
      <c r="T37">
        <v>0.21872841037735843</v>
      </c>
      <c r="U37">
        <v>0.16089312735849054</v>
      </c>
      <c r="V37">
        <v>3.8351242924528302E-2</v>
      </c>
      <c r="W37">
        <v>0.27480658490566034</v>
      </c>
      <c r="X37">
        <v>0.23758967924528304</v>
      </c>
      <c r="Y37">
        <v>0.12957518160377357</v>
      </c>
      <c r="Z37">
        <v>0.13463472169811319</v>
      </c>
      <c r="AA37">
        <v>0.19193312500000001</v>
      </c>
      <c r="AB37">
        <v>6.8369035377358472E-2</v>
      </c>
      <c r="AC37">
        <v>3.5738330188679238E-2</v>
      </c>
      <c r="AD37">
        <v>0.17363507783018867</v>
      </c>
      <c r="AE37">
        <v>8.4606775943396217E-2</v>
      </c>
      <c r="AF37">
        <v>0.20970666981132075</v>
      </c>
      <c r="AG37">
        <v>4.3339212264150925E-2</v>
      </c>
      <c r="AH37">
        <v>6.7681575471698105E-2</v>
      </c>
      <c r="AI37">
        <v>1.1416561391509432</v>
      </c>
      <c r="AJ37">
        <v>-0.56104546933962263</v>
      </c>
      <c r="AK37">
        <v>2.7176199504716978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2.7176199504716978</v>
      </c>
      <c r="CA37">
        <v>0.23760320283018863</v>
      </c>
      <c r="CB37">
        <v>0.40373627594339623</v>
      </c>
      <c r="CC37">
        <v>-0.23584473584905657</v>
      </c>
      <c r="CJ37">
        <v>9.475091745283018E-2</v>
      </c>
      <c r="CK37">
        <v>-2.4504148584905655E-2</v>
      </c>
      <c r="CL37">
        <v>0.34889442216981126</v>
      </c>
      <c r="CM37">
        <v>0.14597288679245279</v>
      </c>
      <c r="CN37">
        <v>0.24011147405660374</v>
      </c>
      <c r="CO37">
        <v>0.26566457547169814</v>
      </c>
      <c r="CP37">
        <v>0.19514112028301886</v>
      </c>
      <c r="CQ37">
        <v>0.16185360141509431</v>
      </c>
      <c r="CR37">
        <v>0.32311587971698108</v>
      </c>
      <c r="CS37">
        <v>0.45298988915094335</v>
      </c>
      <c r="CT37">
        <v>0.16972961556603774</v>
      </c>
      <c r="CU37">
        <v>0.31047670754716977</v>
      </c>
      <c r="CV37">
        <v>0.46713701650943396</v>
      </c>
      <c r="CW37">
        <v>0.75223637264150944</v>
      </c>
      <c r="CX37">
        <v>3.4816823113207551E-2</v>
      </c>
      <c r="CY37">
        <v>0.28257734669811324</v>
      </c>
      <c r="CZ37">
        <v>0.42695490801886793</v>
      </c>
      <c r="DA37">
        <v>0.21581677358490561</v>
      </c>
      <c r="DB37">
        <v>0.21872841037735843</v>
      </c>
      <c r="DC37">
        <v>0.16089312735849054</v>
      </c>
      <c r="DD37">
        <v>3.8351242924528302E-2</v>
      </c>
      <c r="DE37">
        <v>0.27480658490566034</v>
      </c>
      <c r="DF37">
        <v>0.23758967924528304</v>
      </c>
      <c r="DG37">
        <v>0.12957518160377357</v>
      </c>
      <c r="DH37">
        <v>0.13463472169811319</v>
      </c>
      <c r="DI37">
        <v>0.19193312500000001</v>
      </c>
      <c r="DJ37">
        <v>6.8369035377358472E-2</v>
      </c>
      <c r="DK37">
        <v>3.5738330188679238E-2</v>
      </c>
      <c r="DL37">
        <v>0.17363507783018867</v>
      </c>
      <c r="DM37">
        <v>8.4606775943396217E-2</v>
      </c>
      <c r="DN37">
        <v>0.20970666981132075</v>
      </c>
      <c r="DO37">
        <v>4.3339212264150925E-2</v>
      </c>
      <c r="DP37">
        <v>6.7681575471698105E-2</v>
      </c>
      <c r="DQ37">
        <v>1.1416561391509432</v>
      </c>
      <c r="DR37">
        <v>-0.56104546933962263</v>
      </c>
      <c r="DS37">
        <v>2.7176199504716978</v>
      </c>
      <c r="DT37">
        <v>0.23760320283018863</v>
      </c>
      <c r="DU37">
        <v>0.40373627594339623</v>
      </c>
      <c r="DV37">
        <v>-0.23584473584905657</v>
      </c>
      <c r="DZ37">
        <v>7.1481697689332588E-2</v>
      </c>
      <c r="EA37">
        <v>0.58435157702448259</v>
      </c>
      <c r="EB37">
        <v>-0.1471555273294195</v>
      </c>
      <c r="EC37">
        <v>-0.17975296750539699</v>
      </c>
      <c r="ED37">
        <v>0.38283540578590308</v>
      </c>
      <c r="EE37">
        <v>-2.2677777074707538E-2</v>
      </c>
      <c r="EF37">
        <v>-1.416311294676824E-2</v>
      </c>
      <c r="EG37">
        <v>-0.14970943240632598</v>
      </c>
      <c r="EH37">
        <v>2.1637514991240923E-2</v>
      </c>
      <c r="EI37">
        <v>-0.10905954573718507</v>
      </c>
      <c r="EJ37">
        <v>-6.2706091276798326E-2</v>
      </c>
      <c r="EK37">
        <v>-0.14288127067292719</v>
      </c>
      <c r="EL37">
        <v>0.1748141490467677</v>
      </c>
      <c r="EM37">
        <v>6.5350338051290174E-2</v>
      </c>
      <c r="EN37">
        <v>-7.4859864607414797E-3</v>
      </c>
      <c r="EO37">
        <v>0.13032013033438777</v>
      </c>
      <c r="EP37">
        <v>0.10595900257811625</v>
      </c>
      <c r="EQ37">
        <v>-5.731278122041128E-2</v>
      </c>
      <c r="ER37">
        <v>2.7542321713305614E-2</v>
      </c>
      <c r="ES37">
        <v>1.2782380521101106E-2</v>
      </c>
      <c r="ET37">
        <v>1.5069613107220972E-3</v>
      </c>
      <c r="EU37">
        <v>0.36507848412794597</v>
      </c>
      <c r="EV37">
        <v>-0.34016984235743408</v>
      </c>
      <c r="EW37">
        <v>0.13418464561186122</v>
      </c>
      <c r="EX37">
        <v>0.13483772102272962</v>
      </c>
      <c r="EY37">
        <v>-4.1348608227077697E-3</v>
      </c>
      <c r="EZ37">
        <v>6.4441750488888113E-3</v>
      </c>
      <c r="FA37">
        <v>0.16261561556357221</v>
      </c>
      <c r="FB37">
        <v>-0.10023688825302803</v>
      </c>
      <c r="FC37">
        <v>4.4810818494355122E-2</v>
      </c>
      <c r="FD37">
        <v>-7.4718884497203861E-2</v>
      </c>
      <c r="FE37">
        <v>-1.9474624480863817E-2</v>
      </c>
      <c r="FF37">
        <v>-1.3659323999303738E-2</v>
      </c>
      <c r="FG37">
        <v>8.7075509729800035E-3</v>
      </c>
      <c r="FH37">
        <v>-1.2002214638118571E-2</v>
      </c>
      <c r="FI37">
        <v>-1.2393415820926386E-2</v>
      </c>
      <c r="FJ37">
        <v>2.3665348763791187E-4</v>
      </c>
      <c r="FK37">
        <v>1.0015257720333766E-2</v>
      </c>
      <c r="FL37">
        <v>-9.7383482313810089E-3</v>
      </c>
      <c r="FM37">
        <v>-2.0028026239553829E-2</v>
      </c>
    </row>
    <row r="38" spans="1:169" x14ac:dyDescent="0.25">
      <c r="B38">
        <v>0.28824248349056603</v>
      </c>
      <c r="C38">
        <v>0.56575176886792444</v>
      </c>
      <c r="D38">
        <v>0.96629306367924539</v>
      </c>
      <c r="E38">
        <v>0.65087991981132065</v>
      </c>
      <c r="F38">
        <v>0.77920459905660366</v>
      </c>
      <c r="G38">
        <v>0.56111944575471695</v>
      </c>
      <c r="H38">
        <v>0.41281798584905655</v>
      </c>
      <c r="I38">
        <v>0.56501082783018863</v>
      </c>
      <c r="J38">
        <v>1.0332105212264149</v>
      </c>
      <c r="K38">
        <v>1.0504408372641509</v>
      </c>
      <c r="L38">
        <v>0.5989870094339621</v>
      </c>
      <c r="M38">
        <v>0.82337477358490552</v>
      </c>
      <c r="N38">
        <v>0.93300612971698094</v>
      </c>
      <c r="O38">
        <v>0.56870238443396226</v>
      </c>
      <c r="P38">
        <v>-0.37646458962264151</v>
      </c>
      <c r="Q38">
        <v>1.4883340141509434</v>
      </c>
      <c r="R38">
        <v>2.2559856297169807</v>
      </c>
      <c r="S38">
        <v>2.0930477452830187</v>
      </c>
      <c r="T38">
        <v>1.7228905188679244</v>
      </c>
      <c r="U38">
        <v>1.3111156037735849</v>
      </c>
      <c r="V38">
        <v>0.28448015801886795</v>
      </c>
      <c r="W38">
        <v>0.96959631367924526</v>
      </c>
      <c r="X38">
        <v>0.51460936792452827</v>
      </c>
      <c r="Y38">
        <v>0.54409751650943383</v>
      </c>
      <c r="Z38">
        <v>0.88538315094339615</v>
      </c>
      <c r="AA38">
        <v>0.86901722877358489</v>
      </c>
      <c r="AB38">
        <v>0.44267492924528296</v>
      </c>
      <c r="AC38">
        <v>0.76248315330188676</v>
      </c>
      <c r="AD38">
        <v>0.69486037028301872</v>
      </c>
      <c r="AE38">
        <v>0.26874673349056605</v>
      </c>
      <c r="AF38">
        <v>0.66191229716981126</v>
      </c>
      <c r="AG38">
        <v>0.74907433726415085</v>
      </c>
      <c r="AH38">
        <v>0.70324566981132075</v>
      </c>
      <c r="AI38">
        <v>1.2423198113207544E-2</v>
      </c>
      <c r="AJ38">
        <v>0.81416292216981123</v>
      </c>
      <c r="AK38">
        <v>0.23760320283018863</v>
      </c>
      <c r="AL38">
        <v>2.8127706933962262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2.8127706933962262</v>
      </c>
      <c r="CB38">
        <v>0.60640942924528296</v>
      </c>
      <c r="CC38">
        <v>0.11726491037735851</v>
      </c>
      <c r="CJ38">
        <v>0.28824248349056603</v>
      </c>
      <c r="CK38">
        <v>0.56575176886792444</v>
      </c>
      <c r="CL38">
        <v>0.96629306367924539</v>
      </c>
      <c r="CM38">
        <v>0.65087991981132065</v>
      </c>
      <c r="CN38">
        <v>0.77920459905660366</v>
      </c>
      <c r="CO38">
        <v>0.56111944575471695</v>
      </c>
      <c r="CP38">
        <v>0.41281798584905655</v>
      </c>
      <c r="CQ38">
        <v>0.56501082783018863</v>
      </c>
      <c r="CR38">
        <v>1.0332105212264149</v>
      </c>
      <c r="CS38">
        <v>1.0504408372641509</v>
      </c>
      <c r="CT38">
        <v>0.5989870094339621</v>
      </c>
      <c r="CU38">
        <v>0.82337477358490552</v>
      </c>
      <c r="CV38">
        <v>0.93300612971698094</v>
      </c>
      <c r="CW38">
        <v>0.56870238443396226</v>
      </c>
      <c r="CX38">
        <v>-0.37646458962264151</v>
      </c>
      <c r="CY38">
        <v>1.4883340141509434</v>
      </c>
      <c r="CZ38">
        <v>2.2559856297169807</v>
      </c>
      <c r="DA38">
        <v>2.0930477452830187</v>
      </c>
      <c r="DB38">
        <v>1.7228905188679244</v>
      </c>
      <c r="DC38">
        <v>1.3111156037735849</v>
      </c>
      <c r="DD38">
        <v>0.28448015801886795</v>
      </c>
      <c r="DE38">
        <v>0.96959631367924526</v>
      </c>
      <c r="DF38">
        <v>0.51460936792452827</v>
      </c>
      <c r="DG38">
        <v>0.54409751650943383</v>
      </c>
      <c r="DH38">
        <v>0.88538315094339615</v>
      </c>
      <c r="DI38">
        <v>0.86901722877358489</v>
      </c>
      <c r="DJ38">
        <v>0.44267492924528296</v>
      </c>
      <c r="DK38">
        <v>0.76248315330188676</v>
      </c>
      <c r="DL38">
        <v>0.69486037028301872</v>
      </c>
      <c r="DM38">
        <v>0.26874673349056605</v>
      </c>
      <c r="DN38">
        <v>0.66191229716981126</v>
      </c>
      <c r="DO38">
        <v>0.74907433726415085</v>
      </c>
      <c r="DP38">
        <v>0.70324566981132075</v>
      </c>
      <c r="DQ38">
        <v>1.2423198113207544E-2</v>
      </c>
      <c r="DR38">
        <v>0.81416292216981123</v>
      </c>
      <c r="DS38">
        <v>0.23760320283018863</v>
      </c>
      <c r="DT38">
        <v>2.8127706933962262</v>
      </c>
      <c r="DU38">
        <v>0.60640942924528296</v>
      </c>
      <c r="DV38">
        <v>0.11726491037735851</v>
      </c>
      <c r="DZ38">
        <v>6.36752937013048E-2</v>
      </c>
      <c r="EA38">
        <v>-0.41591316137714773</v>
      </c>
      <c r="EB38">
        <v>-7.2444605712326721E-2</v>
      </c>
      <c r="EC38">
        <v>0.24154920616769701</v>
      </c>
      <c r="ED38">
        <v>0.1705769060651125</v>
      </c>
      <c r="EE38">
        <v>-0.45803484962049967</v>
      </c>
      <c r="EF38">
        <v>4.6878236567435543E-3</v>
      </c>
      <c r="EG38">
        <v>-9.5504740315394146E-2</v>
      </c>
      <c r="EH38">
        <v>6.4160063286382726E-2</v>
      </c>
      <c r="EI38">
        <v>9.4136971496431077E-2</v>
      </c>
      <c r="EJ38">
        <v>-2.8375702499310821E-2</v>
      </c>
      <c r="EK38">
        <v>-5.4401398833985544E-2</v>
      </c>
      <c r="EL38">
        <v>8.3900863059249917E-2</v>
      </c>
      <c r="EM38">
        <v>3.3995806273335498E-3</v>
      </c>
      <c r="EN38">
        <v>6.4043934859339596E-2</v>
      </c>
      <c r="EO38">
        <v>6.5998650867264239E-2</v>
      </c>
      <c r="EP38">
        <v>-0.23141732021379449</v>
      </c>
      <c r="EQ38">
        <v>0.19462430276474155</v>
      </c>
      <c r="ER38">
        <v>5.3239278265702183E-2</v>
      </c>
      <c r="ES38">
        <v>-1.9697793444331226E-2</v>
      </c>
      <c r="ET38">
        <v>6.0438990312321625E-2</v>
      </c>
      <c r="EU38">
        <v>0.20838368672724875</v>
      </c>
      <c r="EV38">
        <v>-0.22158313728755466</v>
      </c>
      <c r="EW38">
        <v>0.10701549871426896</v>
      </c>
      <c r="EX38">
        <v>0.2228073820639411</v>
      </c>
      <c r="EY38">
        <v>-0.20526875746382331</v>
      </c>
      <c r="EZ38">
        <v>-4.4739272557625089E-2</v>
      </c>
      <c r="FA38">
        <v>0.20125268101251176</v>
      </c>
      <c r="FB38">
        <v>0.2425868976274764</v>
      </c>
      <c r="FC38">
        <v>-7.3114714366575351E-2</v>
      </c>
      <c r="FD38">
        <v>0.13527904368907967</v>
      </c>
      <c r="FE38">
        <v>-0.1064331082437701</v>
      </c>
      <c r="FF38">
        <v>-0.1998529346920267</v>
      </c>
      <c r="FG38">
        <v>9.0827071574468662E-2</v>
      </c>
      <c r="FH38">
        <v>-4.1509070141126203E-2</v>
      </c>
      <c r="FI38">
        <v>-1.2273500950776919E-2</v>
      </c>
      <c r="FJ38">
        <v>3.6916512193411913E-3</v>
      </c>
      <c r="FK38">
        <v>-3.8733053758816464E-2</v>
      </c>
      <c r="FL38">
        <v>2.2124345612758233E-2</v>
      </c>
      <c r="FM38">
        <v>2.6059137281934441E-2</v>
      </c>
    </row>
    <row r="39" spans="1:169" x14ac:dyDescent="0.25">
      <c r="B39">
        <v>0.15078325235849055</v>
      </c>
      <c r="C39">
        <v>0.18940812971698112</v>
      </c>
      <c r="D39">
        <v>0.49681074764150945</v>
      </c>
      <c r="E39">
        <v>0.29121547169811318</v>
      </c>
      <c r="F39">
        <v>0.38541737500000001</v>
      </c>
      <c r="G39">
        <v>0.28356274764150941</v>
      </c>
      <c r="H39">
        <v>0.1521812146226415</v>
      </c>
      <c r="I39">
        <v>0.24126435377358488</v>
      </c>
      <c r="J39">
        <v>0.47152163207547165</v>
      </c>
      <c r="K39">
        <v>0.39534726886792454</v>
      </c>
      <c r="L39">
        <v>0.24522093867924524</v>
      </c>
      <c r="M39">
        <v>0.39804525943396218</v>
      </c>
      <c r="N39">
        <v>0.22285396933962262</v>
      </c>
      <c r="O39">
        <v>0.3505149858490566</v>
      </c>
      <c r="P39">
        <v>0.21509375235849057</v>
      </c>
      <c r="Q39">
        <v>0.29318111084905663</v>
      </c>
      <c r="R39">
        <v>0.53535534198113199</v>
      </c>
      <c r="S39">
        <v>0.35672930188679242</v>
      </c>
      <c r="T39">
        <v>0.40539890094339615</v>
      </c>
      <c r="U39">
        <v>0.16423567924528301</v>
      </c>
      <c r="V39">
        <v>5.5325325471698106E-2</v>
      </c>
      <c r="W39">
        <v>0.45387457783018859</v>
      </c>
      <c r="X39">
        <v>0.30322403066037734</v>
      </c>
      <c r="Y39">
        <v>0.24139162028301889</v>
      </c>
      <c r="Z39">
        <v>0.33414698820754718</v>
      </c>
      <c r="AA39">
        <v>0.43422519811320748</v>
      </c>
      <c r="AB39">
        <v>0.16887637735849056</v>
      </c>
      <c r="AC39">
        <v>0.21588931839622638</v>
      </c>
      <c r="AD39">
        <v>0.27240597169811315</v>
      </c>
      <c r="AE39">
        <v>0.12793938207547167</v>
      </c>
      <c r="AF39">
        <v>0.34245284669811316</v>
      </c>
      <c r="AG39">
        <v>0.2130081910377358</v>
      </c>
      <c r="AH39">
        <v>0.30076649999999994</v>
      </c>
      <c r="AI39">
        <v>7.8653183962264131E-2</v>
      </c>
      <c r="AJ39">
        <v>0.30033622405660371</v>
      </c>
      <c r="AK39">
        <v>0.40373627594339623</v>
      </c>
      <c r="AL39">
        <v>0.60640942924528296</v>
      </c>
      <c r="AM39">
        <v>0.94798708490566019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0.94798708490566019</v>
      </c>
      <c r="CC39">
        <v>4.8736122641509429E-2</v>
      </c>
      <c r="CJ39">
        <v>0.15078325235849055</v>
      </c>
      <c r="CK39">
        <v>0.18940812971698112</v>
      </c>
      <c r="CL39">
        <v>0.49681074764150945</v>
      </c>
      <c r="CM39">
        <v>0.29121547169811318</v>
      </c>
      <c r="CN39">
        <v>0.38541737500000001</v>
      </c>
      <c r="CO39">
        <v>0.28356274764150941</v>
      </c>
      <c r="CP39">
        <v>0.1521812146226415</v>
      </c>
      <c r="CQ39">
        <v>0.24126435377358488</v>
      </c>
      <c r="CR39">
        <v>0.47152163207547165</v>
      </c>
      <c r="CS39">
        <v>0.39534726886792454</v>
      </c>
      <c r="CT39">
        <v>0.24522093867924524</v>
      </c>
      <c r="CU39">
        <v>0.39804525943396218</v>
      </c>
      <c r="CV39">
        <v>0.22285396933962262</v>
      </c>
      <c r="CW39">
        <v>0.3505149858490566</v>
      </c>
      <c r="CX39">
        <v>0.21509375235849057</v>
      </c>
      <c r="CY39">
        <v>0.29318111084905663</v>
      </c>
      <c r="CZ39">
        <v>0.53535534198113199</v>
      </c>
      <c r="DA39">
        <v>0.35672930188679242</v>
      </c>
      <c r="DB39">
        <v>0.40539890094339615</v>
      </c>
      <c r="DC39">
        <v>0.16423567924528301</v>
      </c>
      <c r="DD39">
        <v>5.5325325471698106E-2</v>
      </c>
      <c r="DE39">
        <v>0.45387457783018859</v>
      </c>
      <c r="DF39">
        <v>0.30322403066037734</v>
      </c>
      <c r="DG39">
        <v>0.24139162028301889</v>
      </c>
      <c r="DH39">
        <v>0.33414698820754718</v>
      </c>
      <c r="DI39">
        <v>0.43422519811320748</v>
      </c>
      <c r="DJ39">
        <v>0.16887637735849056</v>
      </c>
      <c r="DK39">
        <v>0.21588931839622638</v>
      </c>
      <c r="DL39">
        <v>0.27240597169811315</v>
      </c>
      <c r="DM39">
        <v>0.12793938207547167</v>
      </c>
      <c r="DN39">
        <v>0.34245284669811316</v>
      </c>
      <c r="DO39">
        <v>0.2130081910377358</v>
      </c>
      <c r="DP39">
        <v>0.30076649999999994</v>
      </c>
      <c r="DQ39">
        <v>7.8653183962264131E-2</v>
      </c>
      <c r="DR39">
        <v>0.30033622405660371</v>
      </c>
      <c r="DS39">
        <v>0.40373627594339623</v>
      </c>
      <c r="DT39">
        <v>0.60640942924528296</v>
      </c>
      <c r="DU39">
        <v>0.94798708490566019</v>
      </c>
      <c r="DV39">
        <v>4.8736122641509429E-2</v>
      </c>
      <c r="DZ39">
        <v>3.083440712361574E-2</v>
      </c>
      <c r="EA39">
        <v>7.2010608135638643E-2</v>
      </c>
      <c r="EB39">
        <v>-0.12900765489967772</v>
      </c>
      <c r="EC39">
        <v>6.9526371490585687E-3</v>
      </c>
      <c r="ED39">
        <v>0.31021550872509318</v>
      </c>
      <c r="EE39">
        <v>-0.20631462797660524</v>
      </c>
      <c r="EF39">
        <v>2.1555623586787215E-3</v>
      </c>
      <c r="EG39">
        <v>-3.5854450486946188E-2</v>
      </c>
      <c r="EH39">
        <v>-0.54552961863084071</v>
      </c>
      <c r="EI39">
        <v>0.57661004642018576</v>
      </c>
      <c r="EJ39">
        <v>-3.3683950875232682E-2</v>
      </c>
      <c r="EK39">
        <v>4.8273672087949346E-2</v>
      </c>
      <c r="EL39">
        <v>-1.574569551700571E-2</v>
      </c>
      <c r="EM39">
        <v>3.5599442080852112E-2</v>
      </c>
      <c r="EN39">
        <v>-5.239529749531238E-3</v>
      </c>
      <c r="EO39">
        <v>2.96101780462931E-3</v>
      </c>
      <c r="EP39">
        <v>8.1833761210376332E-2</v>
      </c>
      <c r="EQ39">
        <v>-9.0614469043534221E-2</v>
      </c>
      <c r="ER39">
        <v>2.3675204691569723E-2</v>
      </c>
      <c r="ES39">
        <v>1.2184537389324858E-2</v>
      </c>
      <c r="ET39">
        <v>-4.0711467674991722E-3</v>
      </c>
      <c r="EU39">
        <v>-7.406118683173471E-2</v>
      </c>
      <c r="EV39">
        <v>6.7663766850858009E-2</v>
      </c>
      <c r="EW39">
        <v>-0.39510873744189789</v>
      </c>
      <c r="EX39">
        <v>-0.10954853413664119</v>
      </c>
      <c r="EY39">
        <v>-1.1084397148673004E-2</v>
      </c>
      <c r="EZ39">
        <v>7.9234633515994236E-3</v>
      </c>
      <c r="FA39">
        <v>-5.6721309553712004E-2</v>
      </c>
      <c r="FB39">
        <v>-1.1900206865355283E-3</v>
      </c>
      <c r="FC39">
        <v>6.5934449375717408E-2</v>
      </c>
      <c r="FD39">
        <v>-8.2119358645430622E-3</v>
      </c>
      <c r="FE39">
        <v>1.9482481946427051E-2</v>
      </c>
      <c r="FF39">
        <v>-1.1244794904805091E-2</v>
      </c>
      <c r="FG39">
        <v>-1.4188549758245631E-2</v>
      </c>
      <c r="FH39">
        <v>-1.105082962577509E-2</v>
      </c>
      <c r="FI39">
        <v>-8.7156157224909641E-3</v>
      </c>
      <c r="FJ39">
        <v>1.3539870947174239E-3</v>
      </c>
      <c r="FK39">
        <v>-1.7432660493717569E-2</v>
      </c>
      <c r="FL39">
        <v>2.7939327306180767E-3</v>
      </c>
      <c r="FM39">
        <v>9.4242304749731689E-3</v>
      </c>
    </row>
    <row r="40" spans="1:169" x14ac:dyDescent="0.25">
      <c r="B40">
        <v>3.2221882075471692E-2</v>
      </c>
      <c r="C40">
        <v>3.1877153301886792E-2</v>
      </c>
      <c r="D40">
        <v>8.5031804245283019E-2</v>
      </c>
      <c r="E40">
        <v>-3.4823844339622601E-3</v>
      </c>
      <c r="F40">
        <v>1.5597554245283019E-2</v>
      </c>
      <c r="G40">
        <v>5.966087028301887E-2</v>
      </c>
      <c r="H40">
        <v>4.9081679245283019E-2</v>
      </c>
      <c r="I40">
        <v>3.4589143867924527E-2</v>
      </c>
      <c r="J40">
        <v>3.2977981132075465E-2</v>
      </c>
      <c r="K40">
        <v>0.16108059198113206</v>
      </c>
      <c r="L40">
        <v>1.5766141509433968E-2</v>
      </c>
      <c r="M40">
        <v>7.2262665094339623E-2</v>
      </c>
      <c r="N40">
        <v>0.15364915566037732</v>
      </c>
      <c r="O40">
        <v>0.12898099056603771</v>
      </c>
      <c r="P40">
        <v>3.4232193396226372E-3</v>
      </c>
      <c r="Q40">
        <v>4.5674400943396226E-2</v>
      </c>
      <c r="R40">
        <v>-1.687565566037736E-2</v>
      </c>
      <c r="S40">
        <v>6.5397757075471685E-2</v>
      </c>
      <c r="T40">
        <v>1.7909816037735851E-2</v>
      </c>
      <c r="U40">
        <v>-4.1917051886792411E-3</v>
      </c>
      <c r="V40">
        <v>4.895549764150943E-2</v>
      </c>
      <c r="W40">
        <v>7.4751155660377436E-3</v>
      </c>
      <c r="X40">
        <v>-2.2757398584905653E-2</v>
      </c>
      <c r="Y40">
        <v>-5.7161320754716954E-3</v>
      </c>
      <c r="Z40">
        <v>2.4669386792452834E-2</v>
      </c>
      <c r="AA40">
        <v>2.4518688679245278E-2</v>
      </c>
      <c r="AB40">
        <v>1.1017464622641512E-2</v>
      </c>
      <c r="AC40">
        <v>-2.1750971698113197E-2</v>
      </c>
      <c r="AD40">
        <v>-8.7333334905660365E-2</v>
      </c>
      <c r="AE40">
        <v>3.6160551886792451E-2</v>
      </c>
      <c r="AF40">
        <v>2.5621483490566036E-2</v>
      </c>
      <c r="AG40">
        <v>3.3052839622641508E-2</v>
      </c>
      <c r="AH40">
        <v>2.1217563679245283E-2</v>
      </c>
      <c r="AI40">
        <v>0.1242769033018868</v>
      </c>
      <c r="AJ40">
        <v>4.4396030660377346E-2</v>
      </c>
      <c r="AK40">
        <v>-0.23584473584905657</v>
      </c>
      <c r="AL40">
        <v>0.11726491037735851</v>
      </c>
      <c r="AM40">
        <v>4.8736122641509429E-2</v>
      </c>
      <c r="AN40">
        <v>0.59629430896226399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0.59629430896226399</v>
      </c>
      <c r="CJ40">
        <v>3.2221882075471692E-2</v>
      </c>
      <c r="CK40">
        <v>3.1877153301886792E-2</v>
      </c>
      <c r="CL40">
        <v>8.5031804245283019E-2</v>
      </c>
      <c r="CM40">
        <v>-3.4823844339622601E-3</v>
      </c>
      <c r="CN40">
        <v>1.5597554245283019E-2</v>
      </c>
      <c r="CO40">
        <v>5.966087028301887E-2</v>
      </c>
      <c r="CP40">
        <v>4.9081679245283019E-2</v>
      </c>
      <c r="CQ40">
        <v>3.4589143867924527E-2</v>
      </c>
      <c r="CR40">
        <v>3.2977981132075465E-2</v>
      </c>
      <c r="CS40">
        <v>0.16108059198113206</v>
      </c>
      <c r="CT40">
        <v>1.5766141509433968E-2</v>
      </c>
      <c r="CU40">
        <v>7.2262665094339623E-2</v>
      </c>
      <c r="CV40">
        <v>0.15364915566037732</v>
      </c>
      <c r="CW40">
        <v>0.12898099056603771</v>
      </c>
      <c r="CX40">
        <v>3.4232193396226372E-3</v>
      </c>
      <c r="CY40">
        <v>4.5674400943396226E-2</v>
      </c>
      <c r="CZ40">
        <v>-1.687565566037736E-2</v>
      </c>
      <c r="DA40">
        <v>6.5397757075471685E-2</v>
      </c>
      <c r="DB40">
        <v>1.7909816037735851E-2</v>
      </c>
      <c r="DC40">
        <v>-4.1917051886792411E-3</v>
      </c>
      <c r="DD40">
        <v>4.895549764150943E-2</v>
      </c>
      <c r="DE40">
        <v>7.4751155660377436E-3</v>
      </c>
      <c r="DF40">
        <v>-2.2757398584905653E-2</v>
      </c>
      <c r="DG40">
        <v>-5.7161320754716954E-3</v>
      </c>
      <c r="DH40">
        <v>2.4669386792452834E-2</v>
      </c>
      <c r="DI40">
        <v>2.4518688679245278E-2</v>
      </c>
      <c r="DJ40">
        <v>1.1017464622641512E-2</v>
      </c>
      <c r="DK40">
        <v>-2.1750971698113197E-2</v>
      </c>
      <c r="DL40">
        <v>-8.7333334905660365E-2</v>
      </c>
      <c r="DM40">
        <v>3.6160551886792451E-2</v>
      </c>
      <c r="DN40">
        <v>2.5621483490566036E-2</v>
      </c>
      <c r="DO40">
        <v>3.3052839622641508E-2</v>
      </c>
      <c r="DP40">
        <v>2.1217563679245283E-2</v>
      </c>
      <c r="DQ40">
        <v>0.1242769033018868</v>
      </c>
      <c r="DR40">
        <v>4.4396030660377346E-2</v>
      </c>
      <c r="DS40">
        <v>-0.23584473584905657</v>
      </c>
      <c r="DT40">
        <v>0.11726491037735851</v>
      </c>
      <c r="DU40">
        <v>4.8736122641509429E-2</v>
      </c>
      <c r="DV40">
        <v>0.59629430896226399</v>
      </c>
      <c r="DZ40">
        <v>2.219038147686728E-2</v>
      </c>
      <c r="EA40">
        <v>0.188870237894532</v>
      </c>
      <c r="EB40">
        <v>3.7492518405367191E-3</v>
      </c>
      <c r="EC40">
        <v>-0.1360053149148695</v>
      </c>
      <c r="ED40">
        <v>6.1242211706270727E-2</v>
      </c>
      <c r="EE40">
        <v>0.10796893986333601</v>
      </c>
      <c r="EF40">
        <v>1.0328702852271538E-2</v>
      </c>
      <c r="EG40">
        <v>2.7532930241399724E-2</v>
      </c>
      <c r="EH40">
        <v>-8.4908573791244862E-2</v>
      </c>
      <c r="EI40">
        <v>6.6294648857851704E-2</v>
      </c>
      <c r="EJ40">
        <v>2.0373608185397369E-2</v>
      </c>
      <c r="EK40">
        <v>2.1063058483771505E-2</v>
      </c>
      <c r="EL40">
        <v>-1.7747194977365405E-2</v>
      </c>
      <c r="EM40">
        <v>-6.9362419922351939E-2</v>
      </c>
      <c r="EN40">
        <v>4.6363928931316974E-2</v>
      </c>
      <c r="EO40">
        <v>1.8986072508757397E-2</v>
      </c>
      <c r="EP40">
        <v>-0.46053397962255632</v>
      </c>
      <c r="EQ40">
        <v>0.59682299890678192</v>
      </c>
      <c r="ER40">
        <v>-0.13908772968418709</v>
      </c>
      <c r="ES40">
        <v>5.2848187798516634E-3</v>
      </c>
      <c r="ET40">
        <v>2.5239459085232741E-3</v>
      </c>
      <c r="EU40">
        <v>1.5942748497534602E-3</v>
      </c>
      <c r="EV40">
        <v>1.8496591457432852E-2</v>
      </c>
      <c r="EW40">
        <v>-7.6200330127181554E-2</v>
      </c>
      <c r="EX40">
        <v>-6.9905749363276828E-2</v>
      </c>
      <c r="EY40">
        <v>8.4099561645209583E-2</v>
      </c>
      <c r="EZ40">
        <v>5.0489517835533961E-3</v>
      </c>
      <c r="FA40">
        <v>-5.4178046277570377E-2</v>
      </c>
      <c r="FB40">
        <v>-0.15529182419886334</v>
      </c>
      <c r="FC40">
        <v>-0.5085958024846402</v>
      </c>
      <c r="FD40">
        <v>5.439259106933967E-2</v>
      </c>
      <c r="FE40">
        <v>-5.980480640179639E-2</v>
      </c>
      <c r="FF40">
        <v>8.5207328884669184E-2</v>
      </c>
      <c r="FG40">
        <v>-1.5118294728847988E-2</v>
      </c>
      <c r="FH40">
        <v>3.6128066474563944E-2</v>
      </c>
      <c r="FI40">
        <v>-1.5407641913971893E-2</v>
      </c>
      <c r="FJ40">
        <v>-2.8961237277302126E-2</v>
      </c>
      <c r="FK40">
        <v>8.8755009312869084E-3</v>
      </c>
      <c r="FL40">
        <v>5.2281253644567219E-3</v>
      </c>
      <c r="FM40">
        <v>-3.7514990300678563E-2</v>
      </c>
    </row>
    <row r="42" spans="1:169" x14ac:dyDescent="0.25">
      <c r="AQ42" t="s">
        <v>127</v>
      </c>
      <c r="AR42" t="s">
        <v>128</v>
      </c>
    </row>
    <row r="43" spans="1:169" ht="14.4" x14ac:dyDescent="0.3">
      <c r="A43" t="s">
        <v>126</v>
      </c>
      <c r="B43">
        <v>1.5874333</v>
      </c>
      <c r="C43">
        <v>2.1202524</v>
      </c>
      <c r="D43">
        <v>3.8465085000000001</v>
      </c>
      <c r="E43">
        <v>2.2199488000000001</v>
      </c>
      <c r="F43">
        <v>1.8132105000000001</v>
      </c>
      <c r="G43">
        <v>1.6164423999999999</v>
      </c>
      <c r="H43">
        <v>1.1960104</v>
      </c>
      <c r="I43">
        <v>1.4289871999999999</v>
      </c>
      <c r="J43">
        <v>1.6980833</v>
      </c>
      <c r="K43">
        <v>1.1427883999999999</v>
      </c>
      <c r="L43">
        <v>0.80072270000000001</v>
      </c>
      <c r="M43">
        <v>1.2379271000000001</v>
      </c>
      <c r="N43">
        <v>0.57829459000000005</v>
      </c>
      <c r="O43">
        <v>1.1627536000000001</v>
      </c>
      <c r="P43">
        <v>1.0209946000000001</v>
      </c>
      <c r="Q43">
        <v>0.69651275999999995</v>
      </c>
      <c r="R43">
        <v>1.0252357999999999</v>
      </c>
      <c r="S43">
        <v>0.82240278</v>
      </c>
      <c r="T43">
        <v>1.13897</v>
      </c>
      <c r="U43">
        <v>0.38769415000000002</v>
      </c>
      <c r="V43">
        <v>0.18856785000000001</v>
      </c>
      <c r="W43">
        <v>1.7536438999999999</v>
      </c>
      <c r="X43">
        <v>0.92652955999999997</v>
      </c>
      <c r="Y43">
        <v>0.85607761000000004</v>
      </c>
      <c r="Z43">
        <v>1.0286002999999999</v>
      </c>
      <c r="AA43">
        <v>1.0409518</v>
      </c>
      <c r="AB43">
        <v>1.2728005</v>
      </c>
      <c r="AC43">
        <v>0.60993147999999997</v>
      </c>
      <c r="AD43">
        <v>0.65558917999999999</v>
      </c>
      <c r="AE43">
        <v>0.34102569999999999</v>
      </c>
      <c r="AF43">
        <v>1.1184973</v>
      </c>
      <c r="AG43">
        <v>0.85561087999999996</v>
      </c>
      <c r="AH43">
        <v>0.96996844000000004</v>
      </c>
      <c r="AI43">
        <v>1.0122549999999999</v>
      </c>
      <c r="AJ43">
        <v>0.80661337</v>
      </c>
      <c r="AK43">
        <v>1.1929212</v>
      </c>
      <c r="AL43">
        <v>1.0282249000000001</v>
      </c>
      <c r="AM43">
        <v>0.84432010999999996</v>
      </c>
      <c r="AN43">
        <v>0.19026117000000001</v>
      </c>
      <c r="AP43" t="s">
        <v>129</v>
      </c>
      <c r="AQ43">
        <v>112.44597347857831</v>
      </c>
      <c r="AR43" s="6">
        <v>7.0527085113749929E-2</v>
      </c>
      <c r="AS43" s="6">
        <v>0.20572758059004559</v>
      </c>
      <c r="AT43" s="6">
        <v>0.36468173585333757</v>
      </c>
      <c r="AU43" s="6">
        <v>0.32927442872997242</v>
      </c>
      <c r="AV43" s="6">
        <v>0.25556768971875504</v>
      </c>
      <c r="AW43" s="6">
        <v>0.1700817684272542</v>
      </c>
      <c r="AX43" s="6">
        <v>0.20310501631306049</v>
      </c>
      <c r="AY43" s="6">
        <v>0.17862243683761164</v>
      </c>
      <c r="AZ43" s="6">
        <v>0.19223047687923145</v>
      </c>
      <c r="BA43" s="6">
        <v>0.16245416040709895</v>
      </c>
      <c r="BB43" s="6">
        <v>8.911414763949059E-2</v>
      </c>
      <c r="BC43" s="6">
        <v>0.16519315592081041</v>
      </c>
      <c r="BD43" s="6">
        <v>6.0047878408818881E-2</v>
      </c>
      <c r="BE43" s="6">
        <v>0.15293292641934136</v>
      </c>
      <c r="BF43" s="6">
        <v>0.1307838075985526</v>
      </c>
      <c r="BG43" s="6">
        <v>0.10797867884012909</v>
      </c>
      <c r="BH43" s="6">
        <v>0.14025542183343195</v>
      </c>
      <c r="BI43" s="6">
        <v>0.12016036527656106</v>
      </c>
      <c r="BJ43" s="6">
        <v>0.18385251962264812</v>
      </c>
      <c r="BK43" s="6">
        <v>6.145924683444879E-2</v>
      </c>
      <c r="BL43" s="6">
        <v>4.1889861918581378E-2</v>
      </c>
      <c r="BM43" s="6">
        <v>0.24320649157312244</v>
      </c>
      <c r="BN43" s="6">
        <v>0.12401489041549243</v>
      </c>
      <c r="BO43" s="6">
        <v>0.10819300369067014</v>
      </c>
      <c r="BP43" s="6">
        <v>0.13533265084954613</v>
      </c>
      <c r="BQ43" s="6">
        <v>0.17636823510479405</v>
      </c>
      <c r="BR43" s="6">
        <v>0.1615750115833573</v>
      </c>
      <c r="BS43" s="6">
        <v>6.7053541310771334E-2</v>
      </c>
      <c r="BT43" s="6">
        <v>8.3659910675376939E-2</v>
      </c>
      <c r="BU43" s="6">
        <v>4.5949958893847252E-2</v>
      </c>
      <c r="BV43" s="6">
        <v>0.13568180011097322</v>
      </c>
      <c r="BW43" s="6">
        <v>0.11364570354252834</v>
      </c>
      <c r="BX43" s="6">
        <v>0.15531931854659614</v>
      </c>
      <c r="BY43" s="6">
        <v>0.12577261160574754</v>
      </c>
      <c r="BZ43" s="6">
        <v>9.5563288526295934E-2</v>
      </c>
      <c r="CA43" s="6">
        <v>0.16011016816504639</v>
      </c>
      <c r="CB43" s="6">
        <v>0.13835301564102359</v>
      </c>
      <c r="CC43" s="6">
        <v>0.121383026582775</v>
      </c>
      <c r="CD43" s="6">
        <v>2.8848402891904424E-2</v>
      </c>
    </row>
    <row r="44" spans="1:169" ht="14.4" x14ac:dyDescent="0.3">
      <c r="B44">
        <v>2.1202524</v>
      </c>
      <c r="C44">
        <v>10.227817</v>
      </c>
      <c r="D44">
        <v>9.8344432000000008</v>
      </c>
      <c r="E44">
        <v>9.1143119000000006</v>
      </c>
      <c r="F44">
        <v>6.5361801000000002</v>
      </c>
      <c r="G44">
        <v>4.1011790000000001</v>
      </c>
      <c r="H44">
        <v>2.6432573000000001</v>
      </c>
      <c r="I44">
        <v>2.7164350000000002</v>
      </c>
      <c r="J44">
        <v>3.5835355999999998</v>
      </c>
      <c r="K44">
        <v>2.8991302999999999</v>
      </c>
      <c r="L44">
        <v>1.9676822</v>
      </c>
      <c r="M44">
        <v>3.6339095000000001</v>
      </c>
      <c r="N44">
        <v>1.0765828</v>
      </c>
      <c r="O44">
        <v>2.7030951999999999</v>
      </c>
      <c r="P44">
        <v>2.8813379000000001</v>
      </c>
      <c r="Q44">
        <v>1.7919632000000001</v>
      </c>
      <c r="R44">
        <v>2.4739664000000001</v>
      </c>
      <c r="S44">
        <v>2.1623435</v>
      </c>
      <c r="T44">
        <v>3.4294737999999998</v>
      </c>
      <c r="U44">
        <v>1.0684832</v>
      </c>
      <c r="V44">
        <v>1.0303682999999999</v>
      </c>
      <c r="W44">
        <v>5.7438428000000004</v>
      </c>
      <c r="X44">
        <v>2.5161471</v>
      </c>
      <c r="Y44">
        <v>2.3436813999999999</v>
      </c>
      <c r="Z44">
        <v>2.9851660999999998</v>
      </c>
      <c r="AA44">
        <v>3.681152</v>
      </c>
      <c r="AB44">
        <v>3.9519639</v>
      </c>
      <c r="AC44">
        <v>1.8616417999999999</v>
      </c>
      <c r="AD44">
        <v>1.7080378000000001</v>
      </c>
      <c r="AE44">
        <v>0.87129542000000004</v>
      </c>
      <c r="AF44">
        <v>2.7365465000000002</v>
      </c>
      <c r="AG44">
        <v>2.6562459</v>
      </c>
      <c r="AH44">
        <v>2.9341287</v>
      </c>
      <c r="AI44">
        <v>2.2899669</v>
      </c>
      <c r="AJ44">
        <v>1.3603422000000001</v>
      </c>
      <c r="AK44">
        <v>2.7578551999999998</v>
      </c>
      <c r="AL44">
        <v>2.4400126000000002</v>
      </c>
      <c r="AM44">
        <v>2.1862351000000002</v>
      </c>
      <c r="AN44">
        <v>0.63930416000000001</v>
      </c>
      <c r="AP44" t="s">
        <v>130</v>
      </c>
      <c r="AQ44">
        <v>27.767606679919808</v>
      </c>
      <c r="AR44" s="5">
        <v>7.2024347849697769E-4</v>
      </c>
      <c r="AS44" s="5">
        <v>7.2635355554771935E-2</v>
      </c>
      <c r="AT44" s="5">
        <v>0.15706495928686995</v>
      </c>
      <c r="AU44" s="5">
        <v>0.26906591602343555</v>
      </c>
      <c r="AV44" s="5">
        <v>0.17452288329359189</v>
      </c>
      <c r="AW44" s="5">
        <v>4.3164388199052446E-2</v>
      </c>
      <c r="AX44" s="5">
        <v>0.3510762920258988</v>
      </c>
      <c r="AY44" s="5">
        <v>0.18310243589501052</v>
      </c>
      <c r="AZ44" s="5">
        <v>5.5223553509018287E-2</v>
      </c>
      <c r="BA44" s="5">
        <v>-0.31963582371114557</v>
      </c>
      <c r="BB44" s="5">
        <v>-4.8931001131431916E-2</v>
      </c>
      <c r="BC44" s="5">
        <v>-2.4951196607477653E-2</v>
      </c>
      <c r="BD44" s="5">
        <v>-0.32610688685152528</v>
      </c>
      <c r="BE44" s="5">
        <v>-0.37620762211481712</v>
      </c>
      <c r="BF44" s="5">
        <v>-1.7996323456252216E-3</v>
      </c>
      <c r="BG44" s="5">
        <v>-6.8378598026236082E-2</v>
      </c>
      <c r="BH44" s="5">
        <v>-0.11370007584624625</v>
      </c>
      <c r="BI44" s="5">
        <v>-9.1250068252648212E-2</v>
      </c>
      <c r="BJ44" s="5">
        <v>-1.2619256016088841E-2</v>
      </c>
      <c r="BK44" s="5">
        <v>2.9688000189572877E-2</v>
      </c>
      <c r="BL44" s="5">
        <v>-4.1823285236270991E-3</v>
      </c>
      <c r="BM44" s="5">
        <v>1.5802785300945775E-2</v>
      </c>
      <c r="BN44" s="5">
        <v>-1.1520166208221442E-2</v>
      </c>
      <c r="BO44" s="5">
        <v>-7.5114246937517696E-3</v>
      </c>
      <c r="BP44" s="5">
        <v>-2.0012642119864796E-2</v>
      </c>
      <c r="BQ44" s="5">
        <v>-3.4393150437397519E-3</v>
      </c>
      <c r="BR44" s="5">
        <v>6.8141362575721079E-2</v>
      </c>
      <c r="BS44" s="5">
        <v>2.7248893800105897E-3</v>
      </c>
      <c r="BT44" s="5">
        <v>-1.274986580058635E-2</v>
      </c>
      <c r="BU44" s="5">
        <v>-2.2515955546855426E-2</v>
      </c>
      <c r="BV44" s="5">
        <v>-5.5465568767700944E-2</v>
      </c>
      <c r="BW44" s="5">
        <v>5.4246337901606989E-3</v>
      </c>
      <c r="BX44" s="5">
        <v>-1.7200272491896776E-2</v>
      </c>
      <c r="BY44" s="5">
        <v>-0.21275459821233664</v>
      </c>
      <c r="BZ44" s="5">
        <v>-0.35509171387018734</v>
      </c>
      <c r="CA44" s="5">
        <v>-0.28300405372712345</v>
      </c>
      <c r="CB44" s="5">
        <v>-0.21249049706950934</v>
      </c>
      <c r="CC44" s="5">
        <v>-0.13846239484489606</v>
      </c>
      <c r="CD44" s="5">
        <v>-1.046494358971589E-2</v>
      </c>
    </row>
    <row r="45" spans="1:169" x14ac:dyDescent="0.25">
      <c r="B45">
        <v>3.8465085000000001</v>
      </c>
      <c r="C45">
        <v>9.8344432000000008</v>
      </c>
      <c r="D45">
        <v>20.976313999999999</v>
      </c>
      <c r="E45">
        <v>13.930975999999999</v>
      </c>
      <c r="F45">
        <v>11.174123</v>
      </c>
      <c r="G45">
        <v>8.2361641999999993</v>
      </c>
      <c r="H45">
        <v>7.4994095999999999</v>
      </c>
      <c r="I45">
        <v>7.3228625999999997</v>
      </c>
      <c r="J45">
        <v>7.5448367999999997</v>
      </c>
      <c r="K45">
        <v>4.8286452999999998</v>
      </c>
      <c r="L45">
        <v>3.2678242000000002</v>
      </c>
      <c r="M45">
        <v>6.3968283000000001</v>
      </c>
      <c r="N45">
        <v>1.5804351999999999</v>
      </c>
      <c r="O45">
        <v>4.5421373999999997</v>
      </c>
      <c r="P45">
        <v>5.2615620999999999</v>
      </c>
      <c r="Q45">
        <v>3.3341200999999998</v>
      </c>
      <c r="R45">
        <v>4.6535899000000001</v>
      </c>
      <c r="S45">
        <v>3.6810518000000001</v>
      </c>
      <c r="T45">
        <v>5.8939826999999996</v>
      </c>
      <c r="U45">
        <v>2.2348713999999998</v>
      </c>
      <c r="V45">
        <v>1.3108447000000001</v>
      </c>
      <c r="W45">
        <v>9.0845401999999993</v>
      </c>
      <c r="X45">
        <v>4.4158849</v>
      </c>
      <c r="Y45">
        <v>4.0505630000000004</v>
      </c>
      <c r="Z45">
        <v>5.8760297000000001</v>
      </c>
      <c r="AA45">
        <v>6.0333404000000002</v>
      </c>
      <c r="AB45">
        <v>8.0844518000000001</v>
      </c>
      <c r="AC45">
        <v>0.64314380000000004</v>
      </c>
      <c r="AD45">
        <v>3.2059519000000001</v>
      </c>
      <c r="AE45">
        <v>1.5698361000000001</v>
      </c>
      <c r="AF45">
        <v>5.1614709999999997</v>
      </c>
      <c r="AG45">
        <v>4.7954672</v>
      </c>
      <c r="AH45">
        <v>5.0439293000000003</v>
      </c>
      <c r="AI45">
        <v>4.4417537999999999</v>
      </c>
      <c r="AJ45">
        <v>2.5952554999999999</v>
      </c>
      <c r="AK45">
        <v>5.5298648999999997</v>
      </c>
      <c r="AL45">
        <v>4.4683554000000001</v>
      </c>
      <c r="AM45">
        <v>4.0006642000000001</v>
      </c>
      <c r="AN45">
        <v>0.96162192999999996</v>
      </c>
      <c r="AQ45">
        <v>20.389992033831824</v>
      </c>
      <c r="AR45">
        <v>-2.9930721025319558E-3</v>
      </c>
      <c r="AS45">
        <v>-3.8041786178688912E-2</v>
      </c>
      <c r="AT45">
        <v>-3.3292100559424116E-2</v>
      </c>
      <c r="AU45">
        <v>3.9766467101483224E-3</v>
      </c>
      <c r="AV45">
        <v>-5.0246625716993797E-3</v>
      </c>
      <c r="AW45">
        <v>-3.6767130309836456E-3</v>
      </c>
      <c r="AX45">
        <v>8.5437077884439369E-2</v>
      </c>
      <c r="AY45">
        <v>4.1002080568713857E-2</v>
      </c>
      <c r="AZ45">
        <v>1.7474145852965604E-2</v>
      </c>
      <c r="BA45">
        <v>-0.38044939253966009</v>
      </c>
      <c r="BB45">
        <v>2.4060131413972115E-3</v>
      </c>
      <c r="BC45">
        <v>2.6648093400061822E-2</v>
      </c>
      <c r="BD45">
        <v>-0.21450860562753235</v>
      </c>
      <c r="BE45">
        <v>-0.10709043427359091</v>
      </c>
      <c r="BF45">
        <v>-3.60884353330434E-2</v>
      </c>
      <c r="BG45">
        <v>3.3374048683535634E-2</v>
      </c>
      <c r="BH45">
        <v>3.7660703259327966E-2</v>
      </c>
      <c r="BI45">
        <v>7.5024334571938814E-2</v>
      </c>
      <c r="BJ45">
        <v>7.0203652223732621E-2</v>
      </c>
      <c r="BK45">
        <v>4.1622237278993737E-2</v>
      </c>
      <c r="BL45">
        <v>-4.7524744162350061E-3</v>
      </c>
      <c r="BM45">
        <v>-3.1697548888144182E-2</v>
      </c>
      <c r="BN45">
        <v>-3.6479742134400519E-4</v>
      </c>
      <c r="BO45">
        <v>-3.955268681515782E-2</v>
      </c>
      <c r="BP45">
        <v>-6.789784680523981E-3</v>
      </c>
      <c r="BQ45">
        <v>2.7709410120387242E-2</v>
      </c>
      <c r="BR45">
        <v>-2.4092971391057726E-2</v>
      </c>
      <c r="BS45">
        <v>2.4940329583032651E-2</v>
      </c>
      <c r="BT45">
        <v>-5.8495218869427891E-3</v>
      </c>
      <c r="BU45">
        <v>1.0451669889309078E-2</v>
      </c>
      <c r="BV45">
        <v>-1.9926765548506451E-3</v>
      </c>
      <c r="BW45">
        <v>2.4021642154925256E-2</v>
      </c>
      <c r="BX45">
        <v>3.2981543399822517E-2</v>
      </c>
      <c r="BY45">
        <v>-0.11140327558144371</v>
      </c>
      <c r="BZ45">
        <v>0.83629623281561682</v>
      </c>
      <c r="CA45">
        <v>-0.18889564826997932</v>
      </c>
      <c r="CB45">
        <v>0.12176517816016964</v>
      </c>
      <c r="CC45">
        <v>3.7752344093432855E-3</v>
      </c>
      <c r="CD45">
        <v>1.6900699890729363E-2</v>
      </c>
    </row>
    <row r="46" spans="1:169" x14ac:dyDescent="0.25">
      <c r="B46">
        <v>2.2199488000000001</v>
      </c>
      <c r="C46">
        <v>9.1143119000000006</v>
      </c>
      <c r="D46">
        <v>13.930975999999999</v>
      </c>
      <c r="E46">
        <v>16.831643</v>
      </c>
      <c r="F46">
        <v>11.381519000000001</v>
      </c>
      <c r="G46">
        <v>6.5113991000000002</v>
      </c>
      <c r="H46">
        <v>10.472409000000001</v>
      </c>
      <c r="I46">
        <v>8.2933667999999994</v>
      </c>
      <c r="J46">
        <v>6.4039742999999998</v>
      </c>
      <c r="K46">
        <v>4.1767607</v>
      </c>
      <c r="L46">
        <v>2.5495133999999999</v>
      </c>
      <c r="M46">
        <v>5.2701130000000003</v>
      </c>
      <c r="N46">
        <v>0.65778753000000001</v>
      </c>
      <c r="O46">
        <v>3.4508245999999998</v>
      </c>
      <c r="P46">
        <v>4.1746341999999999</v>
      </c>
      <c r="Q46">
        <v>2.7461121999999998</v>
      </c>
      <c r="R46">
        <v>3.5619483000000001</v>
      </c>
      <c r="S46">
        <v>3.1571429000000002</v>
      </c>
      <c r="T46">
        <v>5.6427313999999997</v>
      </c>
      <c r="U46">
        <v>2.0795181</v>
      </c>
      <c r="V46">
        <v>1.0862023999999999</v>
      </c>
      <c r="W46">
        <v>9.1400795000000006</v>
      </c>
      <c r="X46">
        <v>4.3233655000000004</v>
      </c>
      <c r="Y46">
        <v>3.7933216000000001</v>
      </c>
      <c r="Z46">
        <v>4.7969568000000002</v>
      </c>
      <c r="AA46">
        <v>5.8440447999999998</v>
      </c>
      <c r="AB46">
        <v>6.1965662000000004</v>
      </c>
      <c r="AC46">
        <v>2.8083149000000001</v>
      </c>
      <c r="AD46">
        <v>2.783852</v>
      </c>
      <c r="AE46">
        <v>1.3364316999999999</v>
      </c>
      <c r="AF46">
        <v>4.2333483000000003</v>
      </c>
      <c r="AG46">
        <v>3.7214306000000001</v>
      </c>
      <c r="AH46">
        <v>4.8165839999999998</v>
      </c>
      <c r="AI46">
        <v>3.1646649999999998</v>
      </c>
      <c r="AJ46">
        <v>1.8999504</v>
      </c>
      <c r="AK46">
        <v>4.1892788000000003</v>
      </c>
      <c r="AL46">
        <v>3.3624337</v>
      </c>
      <c r="AM46">
        <v>3.4536677999999998</v>
      </c>
      <c r="AN46">
        <v>0.92139232999999998</v>
      </c>
      <c r="AQ46">
        <v>18.36975356087483</v>
      </c>
      <c r="AR46">
        <v>-2.9362200712533554E-2</v>
      </c>
      <c r="AS46">
        <v>-7.0072307582740842E-2</v>
      </c>
      <c r="AT46">
        <v>-0.16518181588019409</v>
      </c>
      <c r="AU46">
        <v>-0.1347529013816888</v>
      </c>
      <c r="AV46">
        <v>-9.886111458755463E-2</v>
      </c>
      <c r="AW46">
        <v>-3.7178040073035733E-2</v>
      </c>
      <c r="AX46">
        <v>-0.10895631776659655</v>
      </c>
      <c r="AY46">
        <v>-9.9479667289281273E-2</v>
      </c>
      <c r="AZ46">
        <v>-4.7897560854370273E-3</v>
      </c>
      <c r="BA46">
        <v>8.5180952407853158E-2</v>
      </c>
      <c r="BB46">
        <v>5.4542224373702094E-3</v>
      </c>
      <c r="BC46">
        <v>-2.5150507275873563E-2</v>
      </c>
      <c r="BD46">
        <v>-0.20525139072712775</v>
      </c>
      <c r="BE46">
        <v>-9.6735200218855483E-2</v>
      </c>
      <c r="BF46">
        <v>-6.527951370343972E-2</v>
      </c>
      <c r="BG46">
        <v>0.27453043780223862</v>
      </c>
      <c r="BH46">
        <v>0.31093526778059222</v>
      </c>
      <c r="BI46">
        <v>0.38099720415345673</v>
      </c>
      <c r="BJ46">
        <v>0.37931574750038716</v>
      </c>
      <c r="BK46">
        <v>0.12856286860435756</v>
      </c>
      <c r="BL46">
        <v>2.1879298380514268E-2</v>
      </c>
      <c r="BM46">
        <v>-1.7018360110856712E-2</v>
      </c>
      <c r="BN46">
        <v>5.3049583603134484E-2</v>
      </c>
      <c r="BO46">
        <v>-2.4111663684389179E-2</v>
      </c>
      <c r="BP46">
        <v>1.8553372745941946E-2</v>
      </c>
      <c r="BQ46">
        <v>0.20630871493835756</v>
      </c>
      <c r="BR46">
        <v>-4.171670739467518E-2</v>
      </c>
      <c r="BS46">
        <v>6.1232397278530283E-2</v>
      </c>
      <c r="BT46">
        <v>2.6081221426880359E-2</v>
      </c>
      <c r="BU46">
        <v>2.2164436656045682E-2</v>
      </c>
      <c r="BV46">
        <v>1.8534050554993301E-2</v>
      </c>
      <c r="BW46">
        <v>6.5143690030403892E-2</v>
      </c>
      <c r="BX46">
        <v>0.21900142344868384</v>
      </c>
      <c r="BY46">
        <v>-0.2069777866053632</v>
      </c>
      <c r="BZ46">
        <v>-0.27197482989465854</v>
      </c>
      <c r="CA46">
        <v>-0.2825229400740541</v>
      </c>
      <c r="CB46">
        <v>0.26649379365159032</v>
      </c>
      <c r="CC46">
        <v>-1.6361375704662191E-2</v>
      </c>
      <c r="CD46">
        <v>1.8968224972038601E-2</v>
      </c>
    </row>
    <row r="47" spans="1:169" x14ac:dyDescent="0.25">
      <c r="B47">
        <v>1.8132105000000001</v>
      </c>
      <c r="C47">
        <v>6.5361801000000002</v>
      </c>
      <c r="D47">
        <v>11.174123</v>
      </c>
      <c r="E47">
        <v>11.381519000000001</v>
      </c>
      <c r="F47">
        <v>11.072222999999999</v>
      </c>
      <c r="G47">
        <v>5.8066937999999997</v>
      </c>
      <c r="H47">
        <v>6.6684523999999996</v>
      </c>
      <c r="I47">
        <v>5.9604011000000003</v>
      </c>
      <c r="J47">
        <v>6.9787604999999999</v>
      </c>
      <c r="K47">
        <v>3.5301629000000001</v>
      </c>
      <c r="L47">
        <v>2.4469552999999999</v>
      </c>
      <c r="M47">
        <v>4.1247746000000003</v>
      </c>
      <c r="N47">
        <v>0.65409052999999995</v>
      </c>
      <c r="O47">
        <v>2.8839301000000002</v>
      </c>
      <c r="P47">
        <v>3.2371698000000002</v>
      </c>
      <c r="Q47">
        <v>2.3952376000000002</v>
      </c>
      <c r="R47">
        <v>3.2200891999999999</v>
      </c>
      <c r="S47">
        <v>2.7595543999999999</v>
      </c>
      <c r="T47">
        <v>4.3031755</v>
      </c>
      <c r="U47">
        <v>1.5221585</v>
      </c>
      <c r="V47">
        <v>1.0766545000000001</v>
      </c>
      <c r="W47">
        <v>6.5495520999999997</v>
      </c>
      <c r="X47">
        <v>3.5547963</v>
      </c>
      <c r="Y47">
        <v>3.1592229000000001</v>
      </c>
      <c r="Z47">
        <v>2.0344601</v>
      </c>
      <c r="AA47">
        <v>3.1942415</v>
      </c>
      <c r="AB47">
        <v>4.9048034999999999</v>
      </c>
      <c r="AC47">
        <v>2.3402938999999998</v>
      </c>
      <c r="AD47">
        <v>2.2747693</v>
      </c>
      <c r="AE47">
        <v>1.1917702999999999</v>
      </c>
      <c r="AF47">
        <v>3.5329402999999999</v>
      </c>
      <c r="AG47">
        <v>2.8307237000000001</v>
      </c>
      <c r="AH47">
        <v>3.5961254999999999</v>
      </c>
      <c r="AI47">
        <v>2.5763538000000001</v>
      </c>
      <c r="AJ47">
        <v>1.5827659999999999</v>
      </c>
      <c r="AK47">
        <v>3.2814263000000001</v>
      </c>
      <c r="AL47">
        <v>2.8204427000000001</v>
      </c>
      <c r="AM47">
        <v>2.7500111</v>
      </c>
      <c r="AN47">
        <v>0.80225429000000004</v>
      </c>
      <c r="AQ47">
        <v>14.140449751770602</v>
      </c>
      <c r="AR47">
        <v>2.2852665595937679E-2</v>
      </c>
      <c r="AS47">
        <v>7.2544100270552414E-2</v>
      </c>
      <c r="AT47">
        <v>7.6821708649768158E-2</v>
      </c>
      <c r="AU47">
        <v>8.9414876496718268E-2</v>
      </c>
      <c r="AV47">
        <v>0.12283676399021964</v>
      </c>
      <c r="AW47">
        <v>7.4415599176695796E-2</v>
      </c>
      <c r="AX47">
        <v>3.7635942590509702E-2</v>
      </c>
      <c r="AY47">
        <v>5.6521595174049054E-2</v>
      </c>
      <c r="AZ47">
        <v>7.2714714835737423E-2</v>
      </c>
      <c r="BA47">
        <v>0.14922124698541342</v>
      </c>
      <c r="BB47">
        <v>5.1357287862233432E-2</v>
      </c>
      <c r="BC47">
        <v>5.7504997491384456E-2</v>
      </c>
      <c r="BD47">
        <v>0.31622862283708331</v>
      </c>
      <c r="BE47">
        <v>-1.0068336392971371E-2</v>
      </c>
      <c r="BF47">
        <v>-0.40606766294348956</v>
      </c>
      <c r="BG47">
        <v>-0.20805297085815994</v>
      </c>
      <c r="BH47">
        <v>-7.863994411588391E-3</v>
      </c>
      <c r="BI47">
        <v>0.16987268737390299</v>
      </c>
      <c r="BJ47">
        <v>-0.24908937387023727</v>
      </c>
      <c r="BK47">
        <v>-0.2602552765482683</v>
      </c>
      <c r="BL47">
        <v>7.4399832933389441E-3</v>
      </c>
      <c r="BM47">
        <v>-1.6903382352435549E-3</v>
      </c>
      <c r="BN47">
        <v>5.6249089288814341E-3</v>
      </c>
      <c r="BO47">
        <v>-4.08045859932935E-2</v>
      </c>
      <c r="BP47">
        <v>-3.2762348186951562E-2</v>
      </c>
      <c r="BQ47">
        <v>-0.16916429351302689</v>
      </c>
      <c r="BR47">
        <v>5.7993923751246403E-4</v>
      </c>
      <c r="BS47">
        <v>2.6126571352579356E-2</v>
      </c>
      <c r="BT47">
        <v>1.1894542178472448E-2</v>
      </c>
      <c r="BU47">
        <v>1.6388598437914546E-2</v>
      </c>
      <c r="BV47">
        <v>-5.5666656923395583E-5</v>
      </c>
      <c r="BW47">
        <v>-1.9629320435926353E-2</v>
      </c>
      <c r="BX47">
        <v>-0.17228271226487715</v>
      </c>
      <c r="BY47">
        <v>-0.24770318549387793</v>
      </c>
      <c r="BZ47">
        <v>-1.339048188932747E-2</v>
      </c>
      <c r="CA47">
        <v>-0.33956321001764284</v>
      </c>
      <c r="CB47">
        <v>0.46122343925995313</v>
      </c>
      <c r="CC47">
        <v>-1.9021131756880673E-2</v>
      </c>
      <c r="CD47">
        <v>4.5536293211914464E-2</v>
      </c>
    </row>
    <row r="48" spans="1:169" x14ac:dyDescent="0.25">
      <c r="B48">
        <v>1.6164423999999999</v>
      </c>
      <c r="C48">
        <v>4.1011790000000001</v>
      </c>
      <c r="D48">
        <v>8.2361641999999993</v>
      </c>
      <c r="E48">
        <v>6.5113991000000002</v>
      </c>
      <c r="F48">
        <v>5.8066937999999997</v>
      </c>
      <c r="G48">
        <v>6.2529833000000004</v>
      </c>
      <c r="H48">
        <v>3.2313423999999999</v>
      </c>
      <c r="I48">
        <v>3.3545777999999999</v>
      </c>
      <c r="J48">
        <v>3.9289779999999999</v>
      </c>
      <c r="K48">
        <v>2.5887204000000001</v>
      </c>
      <c r="L48">
        <v>1.7606061</v>
      </c>
      <c r="M48">
        <v>2.7752593000000001</v>
      </c>
      <c r="N48">
        <v>0.94536595999999995</v>
      </c>
      <c r="O48">
        <v>2.3503075</v>
      </c>
      <c r="P48">
        <v>2.3306757999999999</v>
      </c>
      <c r="Q48">
        <v>1.8063159</v>
      </c>
      <c r="R48">
        <v>2.5192328000000002</v>
      </c>
      <c r="S48">
        <v>2.1518370999999998</v>
      </c>
      <c r="T48">
        <v>2.8986592</v>
      </c>
      <c r="U48">
        <v>1.1147742</v>
      </c>
      <c r="V48">
        <v>0.65818776999999995</v>
      </c>
      <c r="W48">
        <v>3.7930388000000002</v>
      </c>
      <c r="X48">
        <v>2.2264062999999998</v>
      </c>
      <c r="Y48">
        <v>2.3554035999999998</v>
      </c>
      <c r="Z48">
        <v>2.4826899999999998</v>
      </c>
      <c r="AA48">
        <v>2.4810713999999998</v>
      </c>
      <c r="AB48">
        <v>2.2564421000000001</v>
      </c>
      <c r="AC48">
        <v>1.5635041999999999</v>
      </c>
      <c r="AD48">
        <v>1.5619139</v>
      </c>
      <c r="AE48">
        <v>0.82880852999999999</v>
      </c>
      <c r="AF48">
        <v>2.4722624999999998</v>
      </c>
      <c r="AG48">
        <v>2.3575629999999999</v>
      </c>
      <c r="AH48">
        <v>2.3995909000000002</v>
      </c>
      <c r="AI48">
        <v>2.1260238</v>
      </c>
      <c r="AJ48">
        <v>1.4536583000000001</v>
      </c>
      <c r="AK48">
        <v>2.5283506999999998</v>
      </c>
      <c r="AL48">
        <v>2.5850097999999999</v>
      </c>
      <c r="AM48">
        <v>1.9919749</v>
      </c>
      <c r="AN48">
        <v>0.57810934000000003</v>
      </c>
      <c r="AQ48">
        <v>12.554621196355294</v>
      </c>
      <c r="AR48">
        <v>7.5204159633711923E-2</v>
      </c>
      <c r="AS48">
        <v>0.39379945305165404</v>
      </c>
      <c r="AT48">
        <v>0.37347097876170376</v>
      </c>
      <c r="AU48">
        <v>-1.7832351513435232E-2</v>
      </c>
      <c r="AV48">
        <v>6.6093236771318536E-2</v>
      </c>
      <c r="AW48">
        <v>0.12530002497833412</v>
      </c>
      <c r="AX48">
        <v>-0.58433810801335284</v>
      </c>
      <c r="AY48">
        <v>-0.2624440473589168</v>
      </c>
      <c r="AZ48">
        <v>-8.4666829192543633E-2</v>
      </c>
      <c r="BA48">
        <v>8.2621782408516226E-2</v>
      </c>
      <c r="BB48">
        <v>3.2616669637546064E-3</v>
      </c>
      <c r="BC48">
        <v>-9.0246733735993651E-2</v>
      </c>
      <c r="BD48">
        <v>-5.5013319343140188E-2</v>
      </c>
      <c r="BE48">
        <v>-3.5669464453912295E-2</v>
      </c>
      <c r="BF48">
        <v>0.20887081961698284</v>
      </c>
      <c r="BG48">
        <v>2.0149969915778193E-2</v>
      </c>
      <c r="BH48">
        <v>-2.2487634243746998E-2</v>
      </c>
      <c r="BI48">
        <v>-9.608275514745139E-2</v>
      </c>
      <c r="BJ48">
        <v>-2.3420606545150068E-2</v>
      </c>
      <c r="BK48">
        <v>6.7905021181371428E-2</v>
      </c>
      <c r="BL48">
        <v>-1.9855470215670374E-2</v>
      </c>
      <c r="BM48">
        <v>2.6198413349963652E-3</v>
      </c>
      <c r="BN48">
        <v>-2.2819738523644158E-2</v>
      </c>
      <c r="BO48">
        <v>1.7925598333718318E-2</v>
      </c>
      <c r="BP48">
        <v>-3.2468638851763769E-4</v>
      </c>
      <c r="BQ48">
        <v>-6.1429017104326175E-2</v>
      </c>
      <c r="BR48">
        <v>0.12273403926894008</v>
      </c>
      <c r="BS48">
        <v>-5.3001653824615511E-2</v>
      </c>
      <c r="BT48">
        <v>-2.6422065987619157E-3</v>
      </c>
      <c r="BU48">
        <v>1.6197642891357987E-3</v>
      </c>
      <c r="BV48">
        <v>3.0280445847782533E-3</v>
      </c>
      <c r="BW48">
        <v>0.1075286711900426</v>
      </c>
      <c r="BX48">
        <v>-3.8971944161577177E-2</v>
      </c>
      <c r="BY48">
        <v>-0.17422017203400678</v>
      </c>
      <c r="BZ48">
        <v>8.2814004398852906E-2</v>
      </c>
      <c r="CA48">
        <v>-0.29522032797178061</v>
      </c>
      <c r="CB48">
        <v>-0.13398992615362026</v>
      </c>
      <c r="CC48">
        <v>-7.3031023176355264E-2</v>
      </c>
      <c r="CD48">
        <v>7.0824456537529612E-3</v>
      </c>
    </row>
    <row r="49" spans="2:82" x14ac:dyDescent="0.25">
      <c r="B49">
        <v>1.1960104</v>
      </c>
      <c r="C49">
        <v>2.6432573000000001</v>
      </c>
      <c r="D49">
        <v>7.4994095999999999</v>
      </c>
      <c r="E49">
        <v>10.472409000000001</v>
      </c>
      <c r="F49">
        <v>6.6684523999999996</v>
      </c>
      <c r="G49">
        <v>3.2313423999999999</v>
      </c>
      <c r="H49">
        <v>14.62927</v>
      </c>
      <c r="I49">
        <v>7.2533794</v>
      </c>
      <c r="J49">
        <v>4.7080845</v>
      </c>
      <c r="K49">
        <v>0.24476468000000001</v>
      </c>
      <c r="L49">
        <v>1.1258775000000001</v>
      </c>
      <c r="M49">
        <v>4.7617896000000002</v>
      </c>
      <c r="N49">
        <v>-0.45994120999999999</v>
      </c>
      <c r="O49">
        <v>0.84827109000000001</v>
      </c>
      <c r="P49">
        <v>2.1403804000000002</v>
      </c>
      <c r="Q49">
        <v>1.4276070000000001</v>
      </c>
      <c r="R49">
        <v>1.6608487999999999</v>
      </c>
      <c r="S49">
        <v>1.6724437999999999</v>
      </c>
      <c r="T49">
        <v>3.4193927</v>
      </c>
      <c r="U49">
        <v>1.5384007</v>
      </c>
      <c r="V49">
        <v>1.598678</v>
      </c>
      <c r="W49">
        <v>5.7929659999999998</v>
      </c>
      <c r="X49">
        <v>2.8760316000000001</v>
      </c>
      <c r="Y49">
        <v>2.2424629999999999</v>
      </c>
      <c r="Z49">
        <v>2.8610806000000002</v>
      </c>
      <c r="AA49">
        <v>3.8916886000000002</v>
      </c>
      <c r="AB49">
        <v>3.4225859000000001</v>
      </c>
      <c r="AC49">
        <v>1.6043793</v>
      </c>
      <c r="AD49">
        <v>1.6505384999999999</v>
      </c>
      <c r="AE49">
        <v>0.85823748</v>
      </c>
      <c r="AF49">
        <v>2.3314816</v>
      </c>
      <c r="AG49">
        <v>2.0179778000000002</v>
      </c>
      <c r="AH49">
        <v>3.0401634</v>
      </c>
      <c r="AI49">
        <v>1.4726208999999999</v>
      </c>
      <c r="AJ49">
        <v>0.45815854</v>
      </c>
      <c r="AK49">
        <v>1.9736866</v>
      </c>
      <c r="AL49">
        <v>1.5647902</v>
      </c>
      <c r="AM49">
        <v>1.6033932</v>
      </c>
      <c r="AN49">
        <v>0.70762380000000003</v>
      </c>
      <c r="AQ49">
        <v>11.461737058002347</v>
      </c>
      <c r="AR49">
        <v>4.7543130463569588E-2</v>
      </c>
      <c r="AS49">
        <v>9.4279780949977507E-2</v>
      </c>
      <c r="AT49">
        <v>0.25770471583144611</v>
      </c>
      <c r="AU49">
        <v>-5.0599617545698777E-2</v>
      </c>
      <c r="AV49">
        <v>7.2564525757462722E-2</v>
      </c>
      <c r="AW49">
        <v>0.10979206712736396</v>
      </c>
      <c r="AX49">
        <v>-0.18276780736923984</v>
      </c>
      <c r="AY49">
        <v>-5.6691252842725623E-2</v>
      </c>
      <c r="AZ49">
        <v>-4.3382951805955239E-4</v>
      </c>
      <c r="BA49">
        <v>-0.3980589332979152</v>
      </c>
      <c r="BB49">
        <v>-1.7727716653059472E-2</v>
      </c>
      <c r="BC49">
        <v>-5.755930817979505E-2</v>
      </c>
      <c r="BD49">
        <v>-0.1793990561610615</v>
      </c>
      <c r="BE49">
        <v>-0.12644969135204895</v>
      </c>
      <c r="BF49">
        <v>-0.30841586688192796</v>
      </c>
      <c r="BG49">
        <v>5.9140702374179122E-2</v>
      </c>
      <c r="BH49">
        <v>0.16953441956693005</v>
      </c>
      <c r="BI49">
        <v>0.22689701108535706</v>
      </c>
      <c r="BJ49">
        <v>1.0287772514980522E-2</v>
      </c>
      <c r="BK49">
        <v>7.1418427675278257E-2</v>
      </c>
      <c r="BL49">
        <v>-6.7513186019097476E-2</v>
      </c>
      <c r="BM49">
        <v>-0.136038221084857</v>
      </c>
      <c r="BN49">
        <v>-5.0349342275965825E-2</v>
      </c>
      <c r="BO49">
        <v>-9.1611672810648932E-3</v>
      </c>
      <c r="BP49">
        <v>-8.5626239031108969E-2</v>
      </c>
      <c r="BQ49">
        <v>-0.27702312291886949</v>
      </c>
      <c r="BR49">
        <v>4.2042103440872738E-2</v>
      </c>
      <c r="BS49">
        <v>-0.16045102208641532</v>
      </c>
      <c r="BT49">
        <v>2.3259654714694246E-2</v>
      </c>
      <c r="BU49">
        <v>-2.4866150310063714E-2</v>
      </c>
      <c r="BV49">
        <v>6.3696130025356667E-3</v>
      </c>
      <c r="BW49">
        <v>-3.3361033589807257E-2</v>
      </c>
      <c r="BX49">
        <v>-0.11369691351015593</v>
      </c>
      <c r="BY49">
        <v>0.25875796122754802</v>
      </c>
      <c r="BZ49">
        <v>-0.13947277812833839</v>
      </c>
      <c r="CA49">
        <v>0.42225884498350391</v>
      </c>
      <c r="CB49">
        <v>0.22397256116175845</v>
      </c>
      <c r="CC49">
        <v>3.0722403474411759E-2</v>
      </c>
      <c r="CD49">
        <v>-5.7558921362318646E-2</v>
      </c>
    </row>
    <row r="50" spans="2:82" x14ac:dyDescent="0.25">
      <c r="B50">
        <v>1.4289871999999999</v>
      </c>
      <c r="C50">
        <v>2.7164350000000002</v>
      </c>
      <c r="D50">
        <v>7.3228625999999997</v>
      </c>
      <c r="E50">
        <v>8.2933667999999994</v>
      </c>
      <c r="F50">
        <v>5.9604011000000003</v>
      </c>
      <c r="G50">
        <v>3.3545777999999999</v>
      </c>
      <c r="H50">
        <v>7.2533794</v>
      </c>
      <c r="I50">
        <v>8.6440876000000006</v>
      </c>
      <c r="J50">
        <v>5.5072428000000002</v>
      </c>
      <c r="K50">
        <v>2.1478419999999998</v>
      </c>
      <c r="L50">
        <v>2.0590326000000001</v>
      </c>
      <c r="M50">
        <v>2.7912214999999998</v>
      </c>
      <c r="N50">
        <v>0.22640679</v>
      </c>
      <c r="O50">
        <v>1.5159819999999999</v>
      </c>
      <c r="P50">
        <v>1.9909490999999999</v>
      </c>
      <c r="Q50">
        <v>1.4094164</v>
      </c>
      <c r="R50">
        <v>1.8245072</v>
      </c>
      <c r="S50">
        <v>1.6390111999999999</v>
      </c>
      <c r="T50">
        <v>3.1784374999999998</v>
      </c>
      <c r="U50">
        <v>1.2469283</v>
      </c>
      <c r="V50">
        <v>-0.36828098999999997</v>
      </c>
      <c r="W50">
        <v>4.2210859999999997</v>
      </c>
      <c r="X50">
        <v>0.92336532999999998</v>
      </c>
      <c r="Y50">
        <v>1.604168</v>
      </c>
      <c r="Z50">
        <v>2.5838260000000002</v>
      </c>
      <c r="AA50">
        <v>2.9599975000000001</v>
      </c>
      <c r="AB50">
        <v>3.1265752999999998</v>
      </c>
      <c r="AC50">
        <v>1.5183761</v>
      </c>
      <c r="AD50">
        <v>1.5173972</v>
      </c>
      <c r="AE50">
        <v>0.79926956999999998</v>
      </c>
      <c r="AF50">
        <v>2.4110575999999999</v>
      </c>
      <c r="AG50">
        <v>1.7539142999999999</v>
      </c>
      <c r="AH50">
        <v>2.6402633999999998</v>
      </c>
      <c r="AI50">
        <v>1.9448797</v>
      </c>
      <c r="AJ50">
        <v>1.3155329</v>
      </c>
      <c r="AK50">
        <v>2.2747491000000002</v>
      </c>
      <c r="AL50">
        <v>1.6963680999999999</v>
      </c>
      <c r="AM50">
        <v>1.8414173</v>
      </c>
      <c r="AN50">
        <v>0.63898975000000002</v>
      </c>
      <c r="AQ50">
        <v>10.702411525374021</v>
      </c>
      <c r="AR50">
        <v>-2.0226939243280229E-3</v>
      </c>
      <c r="AS50">
        <v>-0.13479414029382397</v>
      </c>
      <c r="AT50">
        <v>-7.4142390517451584E-2</v>
      </c>
      <c r="AU50">
        <v>3.1215952797929977E-2</v>
      </c>
      <c r="AV50">
        <v>0.21606276806983096</v>
      </c>
      <c r="AW50">
        <v>7.4577894050798677E-2</v>
      </c>
      <c r="AX50">
        <v>7.304428473574949E-2</v>
      </c>
      <c r="AY50">
        <v>0.1802118970019598</v>
      </c>
      <c r="AZ50">
        <v>0.17580095592017492</v>
      </c>
      <c r="BA50">
        <v>0.23803303659896419</v>
      </c>
      <c r="BB50">
        <v>-1.4903053005557248E-3</v>
      </c>
      <c r="BC50">
        <v>-4.9547087378173517E-2</v>
      </c>
      <c r="BD50">
        <v>4.1921202785629608E-2</v>
      </c>
      <c r="BE50">
        <v>0.14091619190816312</v>
      </c>
      <c r="BF50">
        <v>7.479098892044761E-2</v>
      </c>
      <c r="BG50">
        <v>0.22399729334191265</v>
      </c>
      <c r="BH50">
        <v>0.11805628061095287</v>
      </c>
      <c r="BI50">
        <v>2.1077167371704883E-2</v>
      </c>
      <c r="BJ50">
        <v>6.631546657885852E-2</v>
      </c>
      <c r="BK50">
        <v>0.49229959916592875</v>
      </c>
      <c r="BL50">
        <v>-6.8141324836111655E-2</v>
      </c>
      <c r="BM50">
        <v>-9.2961168970043015E-2</v>
      </c>
      <c r="BN50">
        <v>-4.2551652607941109E-2</v>
      </c>
      <c r="BO50">
        <v>1.9509289242738502E-2</v>
      </c>
      <c r="BP50">
        <v>-0.27857709462235719</v>
      </c>
      <c r="BQ50">
        <v>-0.52429103146016154</v>
      </c>
      <c r="BR50">
        <v>-8.4470075798209657E-2</v>
      </c>
      <c r="BS50">
        <v>5.2131492273292902E-3</v>
      </c>
      <c r="BT50">
        <v>-3.4143478342334457E-2</v>
      </c>
      <c r="BU50">
        <v>4.4786093347331185E-3</v>
      </c>
      <c r="BV50">
        <v>-1.8097153618918883E-2</v>
      </c>
      <c r="BW50">
        <v>-4.7169773546483322E-2</v>
      </c>
      <c r="BX50">
        <v>-0.16899100598858013</v>
      </c>
      <c r="BY50">
        <v>-2.1050965155920809E-2</v>
      </c>
      <c r="BZ50">
        <v>6.7285590099558423E-2</v>
      </c>
      <c r="CA50">
        <v>-0.13802751455256929</v>
      </c>
      <c r="CB50">
        <v>-0.11256530978974796</v>
      </c>
      <c r="CC50">
        <v>-0.10359563033627135</v>
      </c>
      <c r="CD50">
        <v>4.3675764355214322E-2</v>
      </c>
    </row>
    <row r="51" spans="2:82" x14ac:dyDescent="0.25">
      <c r="B51">
        <v>1.6980833</v>
      </c>
      <c r="C51">
        <v>3.5835355999999998</v>
      </c>
      <c r="D51">
        <v>7.5448367999999997</v>
      </c>
      <c r="E51">
        <v>6.4039742999999998</v>
      </c>
      <c r="F51">
        <v>6.9787604999999999</v>
      </c>
      <c r="G51">
        <v>3.9289779999999999</v>
      </c>
      <c r="H51">
        <v>4.7080845</v>
      </c>
      <c r="I51">
        <v>5.5072428000000002</v>
      </c>
      <c r="J51">
        <v>7.9142529000000001</v>
      </c>
      <c r="K51">
        <v>3.2211614000000002</v>
      </c>
      <c r="L51">
        <v>2.5613730000000001</v>
      </c>
      <c r="M51">
        <v>3.4345493999999999</v>
      </c>
      <c r="N51">
        <v>1.0314951000000001</v>
      </c>
      <c r="O51">
        <v>2.4911368999999999</v>
      </c>
      <c r="P51">
        <v>2.4593970000000001</v>
      </c>
      <c r="Q51">
        <v>1.9217413000000001</v>
      </c>
      <c r="R51">
        <v>2.7235171</v>
      </c>
      <c r="S51">
        <v>2.3676917</v>
      </c>
      <c r="T51">
        <v>3.9236390999999999</v>
      </c>
      <c r="U51">
        <v>1.2082496</v>
      </c>
      <c r="V51">
        <v>0.78647093999999995</v>
      </c>
      <c r="W51">
        <v>4.4152567999999999</v>
      </c>
      <c r="X51">
        <v>3.9486278000000001</v>
      </c>
      <c r="Y51">
        <v>1.9902698000000001</v>
      </c>
      <c r="Z51">
        <v>1.5663806</v>
      </c>
      <c r="AA51">
        <v>3.2757101999999998</v>
      </c>
      <c r="AB51">
        <v>3.264532</v>
      </c>
      <c r="AC51">
        <v>1.6451115999999999</v>
      </c>
      <c r="AD51">
        <v>1.8287198</v>
      </c>
      <c r="AE51">
        <v>1.1553621999999999</v>
      </c>
      <c r="AF51">
        <v>3.0457619999999999</v>
      </c>
      <c r="AG51">
        <v>2.1424496</v>
      </c>
      <c r="AH51">
        <v>3.2981557000000001</v>
      </c>
      <c r="AI51">
        <v>2.4802933</v>
      </c>
      <c r="AJ51">
        <v>1.768866</v>
      </c>
      <c r="AK51">
        <v>2.6634023999999998</v>
      </c>
      <c r="AL51">
        <v>2.8417276999999999</v>
      </c>
      <c r="AM51">
        <v>2.4485975999999998</v>
      </c>
      <c r="AN51">
        <v>0.69484548000000002</v>
      </c>
      <c r="AQ51">
        <v>8.3276786754791239</v>
      </c>
      <c r="AR51">
        <v>4.4741291646030719E-3</v>
      </c>
      <c r="AS51">
        <v>1.7171684979641871E-2</v>
      </c>
      <c r="AT51">
        <v>0.13843643177854378</v>
      </c>
      <c r="AU51">
        <v>5.1255191928144518E-2</v>
      </c>
      <c r="AV51">
        <v>-0.25065987150017544</v>
      </c>
      <c r="AW51">
        <v>-7.3262652116063393E-2</v>
      </c>
      <c r="AX51">
        <v>0.16343569471378486</v>
      </c>
      <c r="AY51">
        <v>-3.3111012445833969E-2</v>
      </c>
      <c r="AZ51">
        <v>-0.3573382677504921</v>
      </c>
      <c r="BA51">
        <v>-1.5040949665574149E-2</v>
      </c>
      <c r="BB51">
        <v>-3.8766668035291621E-2</v>
      </c>
      <c r="BC51">
        <v>0.13139052633192377</v>
      </c>
      <c r="BD51">
        <v>2.9933003841278012E-2</v>
      </c>
      <c r="BE51">
        <v>9.6765757391563845E-2</v>
      </c>
      <c r="BF51">
        <v>6.0344541133982542E-3</v>
      </c>
      <c r="BG51">
        <v>0.10649473346284712</v>
      </c>
      <c r="BH51">
        <v>8.5273805553628956E-2</v>
      </c>
      <c r="BI51">
        <v>3.1294454368501541E-2</v>
      </c>
      <c r="BJ51">
        <v>-6.9232384245833306E-2</v>
      </c>
      <c r="BK51">
        <v>0.29927761406448006</v>
      </c>
      <c r="BL51">
        <v>3.6093419691224482E-2</v>
      </c>
      <c r="BM51">
        <v>0.12836691064702116</v>
      </c>
      <c r="BN51">
        <v>-0.1927880406968171</v>
      </c>
      <c r="BO51">
        <v>-1.9456640538793684E-2</v>
      </c>
      <c r="BP51">
        <v>0.58132505642059251</v>
      </c>
      <c r="BQ51">
        <v>-0.13252742549519383</v>
      </c>
      <c r="BR51">
        <v>6.6477910939606116E-2</v>
      </c>
      <c r="BS51">
        <v>-0.11456570729475574</v>
      </c>
      <c r="BT51">
        <v>1.2833743253065893E-2</v>
      </c>
      <c r="BU51">
        <v>-1.8920752024857001E-2</v>
      </c>
      <c r="BV51">
        <v>7.2272636164595798E-3</v>
      </c>
      <c r="BW51">
        <v>-0.36286397374265722</v>
      </c>
      <c r="BX51">
        <v>-0.17940718747016585</v>
      </c>
      <c r="BY51">
        <v>-0.10403940182171957</v>
      </c>
      <c r="BZ51">
        <v>-1.3871854956072292E-2</v>
      </c>
      <c r="CA51">
        <v>-6.5404615569183117E-2</v>
      </c>
      <c r="CB51">
        <v>5.2538918573254031E-2</v>
      </c>
      <c r="CC51">
        <v>9.57640662754119E-3</v>
      </c>
      <c r="CD51">
        <v>-2.0924390025600123E-3</v>
      </c>
    </row>
    <row r="52" spans="2:82" x14ac:dyDescent="0.25">
      <c r="B52">
        <v>1.1427883999999999</v>
      </c>
      <c r="C52">
        <v>2.8991302999999999</v>
      </c>
      <c r="D52">
        <v>4.8286452999999998</v>
      </c>
      <c r="E52">
        <v>4.1767607</v>
      </c>
      <c r="F52">
        <v>3.5301629000000001</v>
      </c>
      <c r="G52">
        <v>2.5887204000000001</v>
      </c>
      <c r="H52">
        <v>0.24476468000000001</v>
      </c>
      <c r="I52">
        <v>2.1478419999999998</v>
      </c>
      <c r="J52">
        <v>3.2211614000000002</v>
      </c>
      <c r="K52">
        <v>13.093832000000001</v>
      </c>
      <c r="L52">
        <v>2.0925627000000002</v>
      </c>
      <c r="M52">
        <v>2.5290463999999999</v>
      </c>
      <c r="N52">
        <v>6.3176699000000003</v>
      </c>
      <c r="O52">
        <v>6.8687196000000004</v>
      </c>
      <c r="P52">
        <v>3.4206918000000002</v>
      </c>
      <c r="Q52">
        <v>2.3914488</v>
      </c>
      <c r="R52">
        <v>2.9706806000000001</v>
      </c>
      <c r="S52">
        <v>2.5155408000000001</v>
      </c>
      <c r="T52">
        <v>3.3454541</v>
      </c>
      <c r="U52">
        <v>1.0095027000000001</v>
      </c>
      <c r="V52">
        <v>0.92538982000000003</v>
      </c>
      <c r="W52">
        <v>4.3824566999999996</v>
      </c>
      <c r="X52">
        <v>2.2390165999999998</v>
      </c>
      <c r="Y52">
        <v>1.9618116999999999</v>
      </c>
      <c r="Z52">
        <v>2.3673829</v>
      </c>
      <c r="AA52">
        <v>3.1432978</v>
      </c>
      <c r="AB52">
        <v>2.2492744</v>
      </c>
      <c r="AC52">
        <v>1.4546329</v>
      </c>
      <c r="AD52">
        <v>1.3611759000000001</v>
      </c>
      <c r="AE52">
        <v>1.0886239</v>
      </c>
      <c r="AF52">
        <v>2.6424761999999999</v>
      </c>
      <c r="AG52">
        <v>1.7875257</v>
      </c>
      <c r="AH52">
        <v>2.8077527999999998</v>
      </c>
      <c r="AI52">
        <v>3.0382131000000001</v>
      </c>
      <c r="AJ52">
        <v>-0.71284006</v>
      </c>
      <c r="AK52">
        <v>3.4934191000000001</v>
      </c>
      <c r="AL52">
        <v>3.5684575000000001</v>
      </c>
      <c r="AM52">
        <v>2.5856827</v>
      </c>
      <c r="AN52">
        <v>0.80830584999999999</v>
      </c>
      <c r="AQ52">
        <v>7.5182661078151973</v>
      </c>
      <c r="AR52">
        <v>4.9561928570405235E-2</v>
      </c>
      <c r="AS52">
        <v>-0.19070835919318133</v>
      </c>
      <c r="AT52">
        <v>0.2447273703360377</v>
      </c>
      <c r="AU52">
        <v>-6.427051306936904E-2</v>
      </c>
      <c r="AV52">
        <v>-3.2336771977470306E-2</v>
      </c>
      <c r="AW52">
        <v>8.1022069495661708E-2</v>
      </c>
      <c r="AX52">
        <v>-0.13517468467230206</v>
      </c>
      <c r="AY52">
        <v>0.40919171512996699</v>
      </c>
      <c r="AZ52">
        <v>0.20071493787339434</v>
      </c>
      <c r="BA52">
        <v>0.17526579921811283</v>
      </c>
      <c r="BB52">
        <v>0.10139324727746007</v>
      </c>
      <c r="BC52">
        <v>-0.22006453299870529</v>
      </c>
      <c r="BD52">
        <v>-5.6211193832053823E-3</v>
      </c>
      <c r="BE52">
        <v>-3.4882908030230995E-2</v>
      </c>
      <c r="BF52">
        <v>-5.3958491352113017E-3</v>
      </c>
      <c r="BG52">
        <v>-3.5492293855416912E-2</v>
      </c>
      <c r="BH52">
        <v>-2.9152515705606761E-2</v>
      </c>
      <c r="BI52">
        <v>5.0528828462145011E-3</v>
      </c>
      <c r="BJ52">
        <v>6.9208747997353173E-2</v>
      </c>
      <c r="BK52">
        <v>-8.5254982087628453E-2</v>
      </c>
      <c r="BL52">
        <v>-0.2293177778091825</v>
      </c>
      <c r="BM52">
        <v>-0.42499648311055804</v>
      </c>
      <c r="BN52">
        <v>-0.15369499182288621</v>
      </c>
      <c r="BO52">
        <v>-0.30133415795007357</v>
      </c>
      <c r="BP52">
        <v>0.2541859344555491</v>
      </c>
      <c r="BQ52">
        <v>0.20012978719647828</v>
      </c>
      <c r="BR52">
        <v>3.6158160066665002E-2</v>
      </c>
      <c r="BS52">
        <v>-9.6321602070831319E-2</v>
      </c>
      <c r="BT52">
        <v>-2.4800253390611098E-3</v>
      </c>
      <c r="BU52">
        <v>4.7447694064155161E-3</v>
      </c>
      <c r="BV52">
        <v>-2.6728311270423268E-3</v>
      </c>
      <c r="BW52">
        <v>-0.20847659694965665</v>
      </c>
      <c r="BX52">
        <v>0.10187917072728486</v>
      </c>
      <c r="BY52">
        <v>0.10379393946623476</v>
      </c>
      <c r="BZ52">
        <v>4.9290100474702871E-2</v>
      </c>
      <c r="CA52">
        <v>-5.0144508387810517E-2</v>
      </c>
      <c r="CB52">
        <v>-3.2121245478308448E-2</v>
      </c>
      <c r="CC52">
        <v>-0.15738737776022657</v>
      </c>
      <c r="CD52">
        <v>1.9204478622445835E-2</v>
      </c>
    </row>
    <row r="53" spans="2:82" x14ac:dyDescent="0.25">
      <c r="B53">
        <v>0.80072270000000001</v>
      </c>
      <c r="C53">
        <v>1.9676822</v>
      </c>
      <c r="D53">
        <v>3.2678242000000002</v>
      </c>
      <c r="E53">
        <v>2.5495133999999999</v>
      </c>
      <c r="F53">
        <v>2.4469552999999999</v>
      </c>
      <c r="G53">
        <v>1.7606061</v>
      </c>
      <c r="H53">
        <v>1.1258775000000001</v>
      </c>
      <c r="I53">
        <v>2.0590326000000001</v>
      </c>
      <c r="J53">
        <v>2.5613730000000001</v>
      </c>
      <c r="K53">
        <v>2.0925627000000002</v>
      </c>
      <c r="L53">
        <v>2.8382971000000001</v>
      </c>
      <c r="M53">
        <v>2.2699208</v>
      </c>
      <c r="N53">
        <v>1.1892990000000001</v>
      </c>
      <c r="O53">
        <v>1.7623403</v>
      </c>
      <c r="P53">
        <v>1.0734509999999999</v>
      </c>
      <c r="Q53">
        <v>0.92087876999999996</v>
      </c>
      <c r="R53">
        <v>1.4786315000000001</v>
      </c>
      <c r="S53">
        <v>1.3138558</v>
      </c>
      <c r="T53">
        <v>1.7830585999999999</v>
      </c>
      <c r="U53">
        <v>0.28958768000000001</v>
      </c>
      <c r="V53">
        <v>0.66811052000000004</v>
      </c>
      <c r="W53">
        <v>2.0990277000000002</v>
      </c>
      <c r="X53">
        <v>1.0916982</v>
      </c>
      <c r="Y53">
        <v>0.82365770999999999</v>
      </c>
      <c r="Z53">
        <v>1.6623625</v>
      </c>
      <c r="AA53">
        <v>1.6891700999999999</v>
      </c>
      <c r="AB53">
        <v>1.5470299999999999</v>
      </c>
      <c r="AC53">
        <v>0.95899699000000005</v>
      </c>
      <c r="AD53">
        <v>0.95594842999999996</v>
      </c>
      <c r="AE53">
        <v>0.63180970000000003</v>
      </c>
      <c r="AF53">
        <v>1.6333812999999999</v>
      </c>
      <c r="AG53">
        <v>1.0301568999999999</v>
      </c>
      <c r="AH53">
        <v>1.5430203</v>
      </c>
      <c r="AI53">
        <v>1.3919626</v>
      </c>
      <c r="AJ53">
        <v>1.3651793999999999</v>
      </c>
      <c r="AK53">
        <v>1.5687743999999999</v>
      </c>
      <c r="AL53">
        <v>1.7417535</v>
      </c>
      <c r="AM53">
        <v>1.2944481000000001</v>
      </c>
      <c r="AN53">
        <v>0.43675008999999998</v>
      </c>
      <c r="AQ53">
        <v>6.9779810362187478</v>
      </c>
      <c r="AR53">
        <v>-1.6680439367169641E-3</v>
      </c>
      <c r="AS53">
        <v>0.11605820014579073</v>
      </c>
      <c r="AT53">
        <v>3.1054988718201167E-2</v>
      </c>
      <c r="AU53">
        <v>5.2692594138535061E-2</v>
      </c>
      <c r="AV53">
        <v>-6.1441820501165936E-2</v>
      </c>
      <c r="AW53">
        <v>-5.6479635476473687E-2</v>
      </c>
      <c r="AX53">
        <v>0.1222618825711116</v>
      </c>
      <c r="AY53">
        <v>-8.8371122735085739E-2</v>
      </c>
      <c r="AZ53">
        <v>-0.15566482189443784</v>
      </c>
      <c r="BA53">
        <v>2.9990147345326883E-2</v>
      </c>
      <c r="BB53">
        <v>-3.6587512171773036E-2</v>
      </c>
      <c r="BC53">
        <v>8.9805080898662987E-2</v>
      </c>
      <c r="BD53">
        <v>0.11547062134441165</v>
      </c>
      <c r="BE53">
        <v>9.2408826271962743E-2</v>
      </c>
      <c r="BF53">
        <v>-0.17655129853057025</v>
      </c>
      <c r="BG53">
        <v>5.6553690447709748E-2</v>
      </c>
      <c r="BH53">
        <v>7.7044806611308719E-2</v>
      </c>
      <c r="BI53">
        <v>0.15405589482761625</v>
      </c>
      <c r="BJ53">
        <v>5.4151306910223233E-2</v>
      </c>
      <c r="BK53">
        <v>-8.1447815878451013E-2</v>
      </c>
      <c r="BL53">
        <v>6.3732358105712192E-2</v>
      </c>
      <c r="BM53">
        <v>6.0596072336049266E-2</v>
      </c>
      <c r="BN53">
        <v>-3.4239537501697247E-2</v>
      </c>
      <c r="BO53">
        <v>2.5271652918431612E-3</v>
      </c>
      <c r="BP53">
        <v>-7.5631751739249881E-2</v>
      </c>
      <c r="BQ53">
        <v>7.0045629581733826E-2</v>
      </c>
      <c r="BR53">
        <v>2.8876661086469829E-2</v>
      </c>
      <c r="BS53">
        <v>-6.68395015666364E-2</v>
      </c>
      <c r="BT53">
        <v>-2.1199449209988157E-2</v>
      </c>
      <c r="BU53">
        <v>-3.870767452340032E-3</v>
      </c>
      <c r="BV53">
        <v>-8.0740401434443415E-2</v>
      </c>
      <c r="BW53">
        <v>0.11261587211719289</v>
      </c>
      <c r="BX53">
        <v>4.0628983238508734E-2</v>
      </c>
      <c r="BY53">
        <v>0.30987756341177669</v>
      </c>
      <c r="BZ53">
        <v>7.3976731470551643E-2</v>
      </c>
      <c r="CA53">
        <v>-6.8656350705758526E-2</v>
      </c>
      <c r="CB53">
        <v>-0.15126599746476319</v>
      </c>
      <c r="CC53">
        <v>-0.80462842006578339</v>
      </c>
      <c r="CD53">
        <v>1.9429840158158077E-2</v>
      </c>
    </row>
    <row r="54" spans="2:82" x14ac:dyDescent="0.25">
      <c r="B54">
        <v>1.2379271000000001</v>
      </c>
      <c r="C54">
        <v>3.6339095000000001</v>
      </c>
      <c r="D54">
        <v>6.3968283000000001</v>
      </c>
      <c r="E54">
        <v>5.2701130000000003</v>
      </c>
      <c r="F54">
        <v>4.1247746000000003</v>
      </c>
      <c r="G54">
        <v>2.7752593000000001</v>
      </c>
      <c r="H54">
        <v>4.7617896000000002</v>
      </c>
      <c r="I54">
        <v>2.7912214999999998</v>
      </c>
      <c r="J54">
        <v>3.4345493999999999</v>
      </c>
      <c r="K54">
        <v>2.5290463999999999</v>
      </c>
      <c r="L54">
        <v>2.2699208</v>
      </c>
      <c r="M54">
        <v>7.0507869000000003</v>
      </c>
      <c r="N54">
        <v>1.7241868</v>
      </c>
      <c r="O54">
        <v>3.2940106999999998</v>
      </c>
      <c r="P54">
        <v>2.4652476000000001</v>
      </c>
      <c r="Q54">
        <v>1.9951928000000001</v>
      </c>
      <c r="R54">
        <v>2.7456510000000001</v>
      </c>
      <c r="S54">
        <v>2.2647493999999999</v>
      </c>
      <c r="T54">
        <v>2.7120441999999998</v>
      </c>
      <c r="U54">
        <v>0.55957372999999999</v>
      </c>
      <c r="V54">
        <v>0.86966745000000001</v>
      </c>
      <c r="W54">
        <v>5.2179609999999998</v>
      </c>
      <c r="X54">
        <v>2.3901815000000002</v>
      </c>
      <c r="Y54">
        <v>1.9893379</v>
      </c>
      <c r="Z54">
        <v>2.6454943000000002</v>
      </c>
      <c r="AA54">
        <v>2.9853600999999998</v>
      </c>
      <c r="AB54">
        <v>2.3833383000000001</v>
      </c>
      <c r="AC54">
        <v>0.91887721</v>
      </c>
      <c r="AD54">
        <v>1.6045974000000001</v>
      </c>
      <c r="AE54">
        <v>0.98495178999999999</v>
      </c>
      <c r="AF54">
        <v>2.6470568000000001</v>
      </c>
      <c r="AG54">
        <v>2.0175871999999999</v>
      </c>
      <c r="AH54">
        <v>2.5292815000000002</v>
      </c>
      <c r="AI54">
        <v>2.1429171999999999</v>
      </c>
      <c r="AJ54">
        <v>2.2035043999999999</v>
      </c>
      <c r="AK54">
        <v>2.7754265</v>
      </c>
      <c r="AL54">
        <v>2.8508453</v>
      </c>
      <c r="AM54">
        <v>2.1566299999999998</v>
      </c>
      <c r="AN54">
        <v>0.59163085000000004</v>
      </c>
      <c r="AQ54">
        <v>6.7608724945043939</v>
      </c>
      <c r="AR54">
        <v>3.7462814010536215E-2</v>
      </c>
      <c r="AS54">
        <v>-0.36835217832845685</v>
      </c>
      <c r="AT54">
        <v>0.35729356342670915</v>
      </c>
      <c r="AU54">
        <v>-0.35111118930827079</v>
      </c>
      <c r="AV54">
        <v>-0.12706605314249603</v>
      </c>
      <c r="AW54">
        <v>-5.847158038973025E-2</v>
      </c>
      <c r="AX54">
        <v>0.14603690214752835</v>
      </c>
      <c r="AY54">
        <v>-6.6165979905967384E-2</v>
      </c>
      <c r="AZ54">
        <v>0.13306877397657804</v>
      </c>
      <c r="BA54">
        <v>-5.8804830970388355E-2</v>
      </c>
      <c r="BB54">
        <v>9.0614398600521225E-3</v>
      </c>
      <c r="BC54">
        <v>0.28235156548404411</v>
      </c>
      <c r="BD54">
        <v>4.5261012645775638E-2</v>
      </c>
      <c r="BE54">
        <v>8.1115082425537957E-2</v>
      </c>
      <c r="BF54">
        <v>7.1121474368718171E-2</v>
      </c>
      <c r="BG54">
        <v>4.9705191528346786E-2</v>
      </c>
      <c r="BH54">
        <v>5.1267110357166218E-2</v>
      </c>
      <c r="BI54">
        <v>-6.3583883746592643E-2</v>
      </c>
      <c r="BJ54">
        <v>-3.7506549783640396E-2</v>
      </c>
      <c r="BK54">
        <v>-7.3006281060917E-2</v>
      </c>
      <c r="BL54">
        <v>5.3076904596882128E-2</v>
      </c>
      <c r="BM54">
        <v>5.5591054327473945E-2</v>
      </c>
      <c r="BN54">
        <v>0.14442745887545502</v>
      </c>
      <c r="BO54">
        <v>8.4367802562784443E-3</v>
      </c>
      <c r="BP54">
        <v>-0.16706378505678152</v>
      </c>
      <c r="BQ54">
        <v>-2.3376498679930219E-2</v>
      </c>
      <c r="BR54">
        <v>0.17968443370746479</v>
      </c>
      <c r="BS54">
        <v>-0.52773332539120232</v>
      </c>
      <c r="BT54">
        <v>8.2752986164864858E-2</v>
      </c>
      <c r="BU54">
        <v>9.4731918809797866E-2</v>
      </c>
      <c r="BV54">
        <v>6.5437495323929576E-2</v>
      </c>
      <c r="BW54">
        <v>0.13201768176209339</v>
      </c>
      <c r="BX54">
        <v>2.7049341087239272E-2</v>
      </c>
      <c r="BY54">
        <v>-0.1104393286885654</v>
      </c>
      <c r="BZ54">
        <v>-3.644512078910727E-2</v>
      </c>
      <c r="CA54">
        <v>-0.12207727394391708</v>
      </c>
      <c r="CB54">
        <v>-4.5459829927032652E-2</v>
      </c>
      <c r="CC54">
        <v>3.5021619824061018E-2</v>
      </c>
      <c r="CD54">
        <v>-1.0091749445417127E-2</v>
      </c>
    </row>
    <row r="55" spans="2:82" x14ac:dyDescent="0.25">
      <c r="B55">
        <v>0.57829459000000005</v>
      </c>
      <c r="C55">
        <v>1.0765828</v>
      </c>
      <c r="D55">
        <v>1.5804351999999999</v>
      </c>
      <c r="E55">
        <v>0.65778753000000001</v>
      </c>
      <c r="F55">
        <v>0.65409052999999995</v>
      </c>
      <c r="G55">
        <v>0.94536595999999995</v>
      </c>
      <c r="H55">
        <v>-0.45994120999999999</v>
      </c>
      <c r="I55">
        <v>0.22640679</v>
      </c>
      <c r="J55">
        <v>1.0314951000000001</v>
      </c>
      <c r="K55">
        <v>6.3176699000000003</v>
      </c>
      <c r="L55">
        <v>1.1892990000000001</v>
      </c>
      <c r="M55">
        <v>1.7241868</v>
      </c>
      <c r="N55">
        <v>7.9533069000000003</v>
      </c>
      <c r="O55">
        <v>5.6977925000000003</v>
      </c>
      <c r="P55">
        <v>-0.23986378</v>
      </c>
      <c r="Q55">
        <v>-0.79711151999999996</v>
      </c>
      <c r="R55">
        <v>0.44781172000000002</v>
      </c>
      <c r="S55">
        <v>0.25297866000000002</v>
      </c>
      <c r="T55">
        <v>-1.3473968999999999</v>
      </c>
      <c r="U55">
        <v>-1.1114904000000001</v>
      </c>
      <c r="V55">
        <v>0.36027513</v>
      </c>
      <c r="W55">
        <v>1.7973969999999999</v>
      </c>
      <c r="X55">
        <v>0.91719229999999996</v>
      </c>
      <c r="Y55">
        <v>0.83945144999999999</v>
      </c>
      <c r="Z55">
        <v>1.0236923</v>
      </c>
      <c r="AA55">
        <v>6.7649653000000004E-2</v>
      </c>
      <c r="AB55">
        <v>0.72849027</v>
      </c>
      <c r="AC55">
        <v>0.52533708999999995</v>
      </c>
      <c r="AD55">
        <v>0.5143238</v>
      </c>
      <c r="AE55">
        <v>0.48234380999999998</v>
      </c>
      <c r="AF55">
        <v>1.2896019000000001</v>
      </c>
      <c r="AG55">
        <v>0.64380366</v>
      </c>
      <c r="AH55">
        <v>-3.0133355000000001E-2</v>
      </c>
      <c r="AI55">
        <v>2.6629673</v>
      </c>
      <c r="AJ55">
        <v>1.3704783</v>
      </c>
      <c r="AK55">
        <v>3.0628761</v>
      </c>
      <c r="AL55">
        <v>2.7529797</v>
      </c>
      <c r="AM55">
        <v>1.4720975999999999</v>
      </c>
      <c r="AN55">
        <v>0.45462278</v>
      </c>
      <c r="AQ55">
        <v>5.6370152571563388</v>
      </c>
      <c r="AR55">
        <v>4.0821466858294062E-2</v>
      </c>
      <c r="AS55">
        <v>3.5923460790346105E-2</v>
      </c>
      <c r="AT55">
        <v>-0.11783390735797841</v>
      </c>
      <c r="AU55">
        <v>-0.19780926111828623</v>
      </c>
      <c r="AV55">
        <v>0.13136700183336883</v>
      </c>
      <c r="AW55">
        <v>0.11372049711527588</v>
      </c>
      <c r="AX55">
        <v>-0.1002944648836939</v>
      </c>
      <c r="AY55">
        <v>-0.17925205516088236</v>
      </c>
      <c r="AZ55">
        <v>0.39128979866655561</v>
      </c>
      <c r="BA55">
        <v>-0.13944683345517195</v>
      </c>
      <c r="BB55">
        <v>0.20006199727406404</v>
      </c>
      <c r="BC55">
        <v>0.25784675075635666</v>
      </c>
      <c r="BD55">
        <v>-3.5549484697809726E-2</v>
      </c>
      <c r="BE55">
        <v>-7.0200136302351335E-2</v>
      </c>
      <c r="BF55">
        <v>4.9764193733072025E-2</v>
      </c>
      <c r="BG55">
        <v>-9.9554905254453869E-4</v>
      </c>
      <c r="BH55">
        <v>7.3423703295888543E-2</v>
      </c>
      <c r="BI55">
        <v>-6.2423926106862829E-2</v>
      </c>
      <c r="BJ55">
        <v>-7.673331513993896E-2</v>
      </c>
      <c r="BK55">
        <v>-3.9571377024872165E-2</v>
      </c>
      <c r="BL55">
        <v>0.18484948549129226</v>
      </c>
      <c r="BM55">
        <v>1.4979828840393372E-2</v>
      </c>
      <c r="BN55">
        <v>0.38791689126881851</v>
      </c>
      <c r="BO55">
        <v>-5.9446253457599414E-2</v>
      </c>
      <c r="BP55">
        <v>0.24288634358601699</v>
      </c>
      <c r="BQ55">
        <v>-7.630791750970678E-2</v>
      </c>
      <c r="BR55">
        <v>-0.13522819616747617</v>
      </c>
      <c r="BS55">
        <v>0.18442851456489026</v>
      </c>
      <c r="BT55">
        <v>9.1246927944492712E-2</v>
      </c>
      <c r="BU55">
        <v>4.9294429015796164E-2</v>
      </c>
      <c r="BV55">
        <v>0.12910253353669959</v>
      </c>
      <c r="BW55">
        <v>-0.40895613836642808</v>
      </c>
      <c r="BX55">
        <v>-4.1948823911098373E-2</v>
      </c>
      <c r="BY55">
        <v>0.1388450566537098</v>
      </c>
      <c r="BZ55">
        <v>-4.7152163415148302E-2</v>
      </c>
      <c r="CA55">
        <v>-8.5181634349660515E-2</v>
      </c>
      <c r="CB55">
        <v>-8.600061025540956E-2</v>
      </c>
      <c r="CC55">
        <v>-0.17008149574024256</v>
      </c>
      <c r="CD55">
        <v>1.1935142110924E-2</v>
      </c>
    </row>
    <row r="56" spans="2:82" x14ac:dyDescent="0.25">
      <c r="B56">
        <v>1.1627536000000001</v>
      </c>
      <c r="C56">
        <v>2.7030951999999999</v>
      </c>
      <c r="D56">
        <v>4.5421373999999997</v>
      </c>
      <c r="E56">
        <v>3.4508245999999998</v>
      </c>
      <c r="F56">
        <v>2.8839301000000002</v>
      </c>
      <c r="G56">
        <v>2.3503075</v>
      </c>
      <c r="H56">
        <v>0.84827109000000001</v>
      </c>
      <c r="I56">
        <v>1.5159819999999999</v>
      </c>
      <c r="J56">
        <v>2.4911368999999999</v>
      </c>
      <c r="K56">
        <v>6.8687196000000004</v>
      </c>
      <c r="L56">
        <v>1.7623403</v>
      </c>
      <c r="M56">
        <v>3.2940106999999998</v>
      </c>
      <c r="N56">
        <v>5.6977925000000003</v>
      </c>
      <c r="O56">
        <v>9.3747746999999997</v>
      </c>
      <c r="P56">
        <v>2.5542639</v>
      </c>
      <c r="Q56">
        <v>2.8786510000000001</v>
      </c>
      <c r="R56">
        <v>3.2419907000000001</v>
      </c>
      <c r="S56">
        <v>2.0363188999999999</v>
      </c>
      <c r="T56">
        <v>2.6305795000000001</v>
      </c>
      <c r="U56">
        <v>0.79473782000000004</v>
      </c>
      <c r="V56">
        <v>0.57281022999999998</v>
      </c>
      <c r="W56">
        <v>4.1093168000000002</v>
      </c>
      <c r="X56">
        <v>2.0407058</v>
      </c>
      <c r="Y56">
        <v>1.9678134</v>
      </c>
      <c r="Z56">
        <v>2.2307739</v>
      </c>
      <c r="AA56">
        <v>2.4792911000000002</v>
      </c>
      <c r="AB56">
        <v>1.9669892</v>
      </c>
      <c r="AC56">
        <v>0.61713284999999996</v>
      </c>
      <c r="AD56">
        <v>1.5715623000000001</v>
      </c>
      <c r="AE56">
        <v>0.83355221999999995</v>
      </c>
      <c r="AF56">
        <v>2.6563067</v>
      </c>
      <c r="AG56">
        <v>1.3522634</v>
      </c>
      <c r="AH56">
        <v>2.2939560999999999</v>
      </c>
      <c r="AI56">
        <v>4.0627626000000001</v>
      </c>
      <c r="AJ56">
        <v>4.0836017</v>
      </c>
      <c r="AK56">
        <v>5.7255773999999997</v>
      </c>
      <c r="AL56">
        <v>2.7974169999999998</v>
      </c>
      <c r="AM56">
        <v>3.1920312000000002</v>
      </c>
      <c r="AN56">
        <v>0.59373463000000004</v>
      </c>
      <c r="AQ56">
        <v>5.5700867879365452</v>
      </c>
      <c r="AR56">
        <v>5.8836145206064581E-2</v>
      </c>
      <c r="AS56">
        <v>-0.19036460000263442</v>
      </c>
      <c r="AT56">
        <v>6.7983740183020655E-2</v>
      </c>
      <c r="AU56">
        <v>-0.23119610139491881</v>
      </c>
      <c r="AV56">
        <v>-0.18506307761069296</v>
      </c>
      <c r="AW56">
        <v>0.15480513553849615</v>
      </c>
      <c r="AX56">
        <v>2.1557001750080748E-3</v>
      </c>
      <c r="AY56">
        <v>7.8859499067121808E-2</v>
      </c>
      <c r="AZ56">
        <v>5.4624672193814283E-3</v>
      </c>
      <c r="BA56">
        <v>-3.4905127496924628E-2</v>
      </c>
      <c r="BB56">
        <v>9.8027725497386475E-2</v>
      </c>
      <c r="BC56">
        <v>6.3346848085563734E-2</v>
      </c>
      <c r="BD56">
        <v>6.5840253488984229E-2</v>
      </c>
      <c r="BE56">
        <v>-0.27987461356368726</v>
      </c>
      <c r="BF56">
        <v>0.19041675014780035</v>
      </c>
      <c r="BG56">
        <v>-0.21557996514690286</v>
      </c>
      <c r="BH56">
        <v>-9.3259365739974745E-2</v>
      </c>
      <c r="BI56">
        <v>-1.8760150648112536E-2</v>
      </c>
      <c r="BJ56">
        <v>-8.9148848201554526E-2</v>
      </c>
      <c r="BK56">
        <v>0.26347509008498377</v>
      </c>
      <c r="BL56">
        <v>2.3105570253085152E-2</v>
      </c>
      <c r="BM56">
        <v>1.5085027665793144E-2</v>
      </c>
      <c r="BN56">
        <v>-0.1273312413606649</v>
      </c>
      <c r="BO56">
        <v>0.11213961512915577</v>
      </c>
      <c r="BP56">
        <v>0.19219993644507691</v>
      </c>
      <c r="BQ56">
        <v>-6.860652649643656E-2</v>
      </c>
      <c r="BR56">
        <v>-1.7411001302461107E-2</v>
      </c>
      <c r="BS56">
        <v>0.32909180863391674</v>
      </c>
      <c r="BT56">
        <v>7.8721448198940738E-2</v>
      </c>
      <c r="BU56">
        <v>4.3032472201817697E-2</v>
      </c>
      <c r="BV56">
        <v>0.12273335528101638</v>
      </c>
      <c r="BW56">
        <v>0.49296951451437976</v>
      </c>
      <c r="BX56">
        <v>-9.8894463407601385E-2</v>
      </c>
      <c r="BY56">
        <v>0.18532780569737006</v>
      </c>
      <c r="BZ56">
        <v>-5.4098624691252546E-2</v>
      </c>
      <c r="CA56">
        <v>-2.6273206727637024E-2</v>
      </c>
      <c r="CB56">
        <v>0.21468938173453567</v>
      </c>
      <c r="CC56">
        <v>-0.13247008134474489</v>
      </c>
      <c r="CD56">
        <v>0.11742496351601706</v>
      </c>
    </row>
    <row r="57" spans="2:82" x14ac:dyDescent="0.25">
      <c r="B57">
        <v>1.0209946000000001</v>
      </c>
      <c r="C57">
        <v>2.8813379000000001</v>
      </c>
      <c r="D57">
        <v>5.2615620999999999</v>
      </c>
      <c r="E57">
        <v>4.1746341999999999</v>
      </c>
      <c r="F57">
        <v>3.2371698000000002</v>
      </c>
      <c r="G57">
        <v>2.3306757999999999</v>
      </c>
      <c r="H57">
        <v>2.1403804000000002</v>
      </c>
      <c r="I57">
        <v>1.9909490999999999</v>
      </c>
      <c r="J57">
        <v>2.4593970000000001</v>
      </c>
      <c r="K57">
        <v>3.4206918000000002</v>
      </c>
      <c r="L57">
        <v>1.0734509999999999</v>
      </c>
      <c r="M57">
        <v>2.4652476000000001</v>
      </c>
      <c r="N57">
        <v>-0.23986378</v>
      </c>
      <c r="O57">
        <v>2.5542639</v>
      </c>
      <c r="P57">
        <v>7.6840618000000003</v>
      </c>
      <c r="Q57">
        <v>2.3545208999999998</v>
      </c>
      <c r="R57">
        <v>1.1727131</v>
      </c>
      <c r="S57">
        <v>-0.84721212000000001</v>
      </c>
      <c r="T57">
        <v>3.2258624</v>
      </c>
      <c r="U57">
        <v>2.2464775000000001</v>
      </c>
      <c r="V57">
        <v>0.32630753000000001</v>
      </c>
      <c r="W57">
        <v>3.8073934999999999</v>
      </c>
      <c r="X57">
        <v>1.7778362000000001</v>
      </c>
      <c r="Y57">
        <v>1.8208918000000001</v>
      </c>
      <c r="Z57">
        <v>2.4065020000000001</v>
      </c>
      <c r="AA57">
        <v>3.2018536000000002</v>
      </c>
      <c r="AB57">
        <v>2.3918270000000001</v>
      </c>
      <c r="AC57">
        <v>1.4190284</v>
      </c>
      <c r="AD57">
        <v>1.2987305</v>
      </c>
      <c r="AE57">
        <v>0.75575093000000004</v>
      </c>
      <c r="AF57">
        <v>2.1634814000000002</v>
      </c>
      <c r="AG57">
        <v>2.2436669999999999</v>
      </c>
      <c r="AH57">
        <v>2.8486706000000002</v>
      </c>
      <c r="AI57">
        <v>1.9968258999999999</v>
      </c>
      <c r="AJ57">
        <v>1.7314862</v>
      </c>
      <c r="AK57">
        <v>2.5211451</v>
      </c>
      <c r="AL57">
        <v>-1.2980376</v>
      </c>
      <c r="AM57">
        <v>2.1072926999999999</v>
      </c>
      <c r="AN57">
        <v>0.46021648999999998</v>
      </c>
      <c r="AQ57">
        <v>5.2293560884360861</v>
      </c>
      <c r="AR57">
        <v>3.1678751377023459E-2</v>
      </c>
      <c r="AS57">
        <v>-2.7460319611554498E-2</v>
      </c>
      <c r="AT57">
        <v>-5.3021170816575765E-2</v>
      </c>
      <c r="AU57">
        <v>-6.0594487988737289E-2</v>
      </c>
      <c r="AV57">
        <v>5.0761881039478589E-2</v>
      </c>
      <c r="AW57">
        <v>0.15308163976801634</v>
      </c>
      <c r="AX57">
        <v>-9.1646328815501249E-2</v>
      </c>
      <c r="AY57">
        <v>0.20856925607410445</v>
      </c>
      <c r="AZ57">
        <v>-7.4225184171291883E-2</v>
      </c>
      <c r="BA57">
        <v>-0.12961964087445441</v>
      </c>
      <c r="BB57">
        <v>0.10639491259662505</v>
      </c>
      <c r="BC57">
        <v>0.27643570982730942</v>
      </c>
      <c r="BD57">
        <v>-6.7835390179208754E-2</v>
      </c>
      <c r="BE57">
        <v>0.14325102508294243</v>
      </c>
      <c r="BF57">
        <v>9.8196785360323363E-2</v>
      </c>
      <c r="BG57">
        <v>0.2028943584000501</v>
      </c>
      <c r="BH57">
        <v>0.31511087896914014</v>
      </c>
      <c r="BI57">
        <v>-5.2361466308845171E-4</v>
      </c>
      <c r="BJ57">
        <v>-0.10166155297679651</v>
      </c>
      <c r="BK57">
        <v>-0.42570901338909672</v>
      </c>
      <c r="BL57">
        <v>-0.1642190808934374</v>
      </c>
      <c r="BM57">
        <v>2.1742769221624294E-2</v>
      </c>
      <c r="BN57">
        <v>-0.44226455777321105</v>
      </c>
      <c r="BO57">
        <v>0.20731647351585891</v>
      </c>
      <c r="BP57">
        <v>4.7812741333419428E-3</v>
      </c>
      <c r="BQ57">
        <v>-9.2601495459314703E-2</v>
      </c>
      <c r="BR57">
        <v>-0.18938928876494318</v>
      </c>
      <c r="BS57">
        <v>0.14810349245941742</v>
      </c>
      <c r="BT57">
        <v>0.15883338499419578</v>
      </c>
      <c r="BU57">
        <v>1.7999892258118752E-2</v>
      </c>
      <c r="BV57">
        <v>0.12728877208388215</v>
      </c>
      <c r="BW57">
        <v>5.0789464128885742E-2</v>
      </c>
      <c r="BX57">
        <v>-9.0256514018443937E-3</v>
      </c>
      <c r="BY57">
        <v>-0.14289808991427608</v>
      </c>
      <c r="BZ57">
        <v>-4.5636304567476457E-2</v>
      </c>
      <c r="CA57">
        <v>-3.6263320935175994E-3</v>
      </c>
      <c r="CB57">
        <v>-0.18447288995410593</v>
      </c>
      <c r="CC57">
        <v>-1.5741708764954929E-2</v>
      </c>
      <c r="CD57">
        <v>-5.8162797825882254E-2</v>
      </c>
    </row>
    <row r="58" spans="2:82" x14ac:dyDescent="0.25">
      <c r="B58">
        <v>0.69651275999999995</v>
      </c>
      <c r="C58">
        <v>1.7919632000000001</v>
      </c>
      <c r="D58">
        <v>3.3341200999999998</v>
      </c>
      <c r="E58">
        <v>2.7461121999999998</v>
      </c>
      <c r="F58">
        <v>2.3952376000000002</v>
      </c>
      <c r="G58">
        <v>1.8063159</v>
      </c>
      <c r="H58">
        <v>1.4276070000000001</v>
      </c>
      <c r="I58">
        <v>1.4094164</v>
      </c>
      <c r="J58">
        <v>1.9217413000000001</v>
      </c>
      <c r="K58">
        <v>2.3914488</v>
      </c>
      <c r="L58">
        <v>0.92087876999999996</v>
      </c>
      <c r="M58">
        <v>1.9951928000000001</v>
      </c>
      <c r="N58">
        <v>-0.79711151999999996</v>
      </c>
      <c r="O58">
        <v>2.8786510000000001</v>
      </c>
      <c r="P58">
        <v>2.3545208999999998</v>
      </c>
      <c r="Q58">
        <v>5.5795705</v>
      </c>
      <c r="R58">
        <v>4.6052267000000002</v>
      </c>
      <c r="S58">
        <v>3.1272114000000002</v>
      </c>
      <c r="T58">
        <v>4.6577687000000001</v>
      </c>
      <c r="U58">
        <v>2.6305097000000002</v>
      </c>
      <c r="V58">
        <v>0.42111907999999998</v>
      </c>
      <c r="W58">
        <v>2.6430212000000002</v>
      </c>
      <c r="X58">
        <v>1.3798747</v>
      </c>
      <c r="Y58">
        <v>1.3262962</v>
      </c>
      <c r="Z58">
        <v>1.2554567000000001</v>
      </c>
      <c r="AA58">
        <v>2.3144939</v>
      </c>
      <c r="AB58">
        <v>1.4419101000000001</v>
      </c>
      <c r="AC58">
        <v>0.65745902000000001</v>
      </c>
      <c r="AD58">
        <v>0.50792676999999997</v>
      </c>
      <c r="AE58">
        <v>0.71707491000000001</v>
      </c>
      <c r="AF58">
        <v>1.6559632</v>
      </c>
      <c r="AG58">
        <v>1.1059916999999999</v>
      </c>
      <c r="AH58">
        <v>2.6121791999999999</v>
      </c>
      <c r="AI58">
        <v>1.406045</v>
      </c>
      <c r="AJ58">
        <v>1.1186105</v>
      </c>
      <c r="AK58">
        <v>1.629116</v>
      </c>
      <c r="AL58">
        <v>1.6854241000000001</v>
      </c>
      <c r="AM58">
        <v>1.4660686000000001</v>
      </c>
      <c r="AN58">
        <v>0.45982918</v>
      </c>
      <c r="AQ58">
        <v>4.6642010215060212</v>
      </c>
      <c r="AR58">
        <v>4.4417282057985161E-2</v>
      </c>
      <c r="AS58">
        <v>0.18365443552792468</v>
      </c>
      <c r="AT58">
        <v>0.11443514492442981</v>
      </c>
      <c r="AU58">
        <v>4.7467185775509235E-2</v>
      </c>
      <c r="AV58">
        <v>-8.6746981015593902E-2</v>
      </c>
      <c r="AW58">
        <v>0.21119165358919048</v>
      </c>
      <c r="AX58">
        <v>0.23560900255651931</v>
      </c>
      <c r="AY58">
        <v>-0.17461261253599938</v>
      </c>
      <c r="AZ58">
        <v>-0.10143124432996713</v>
      </c>
      <c r="BA58">
        <v>-7.0266334542935141E-2</v>
      </c>
      <c r="BB58">
        <v>-5.331438393133834E-2</v>
      </c>
      <c r="BC58">
        <v>0.22475685307229953</v>
      </c>
      <c r="BD58">
        <v>8.1576921055381738E-2</v>
      </c>
      <c r="BE58">
        <v>0.16964258360713036</v>
      </c>
      <c r="BF58">
        <v>8.8053116615622928E-2</v>
      </c>
      <c r="BG58">
        <v>0.11019878493335993</v>
      </c>
      <c r="BH58">
        <v>9.2080656104371994E-2</v>
      </c>
      <c r="BI58">
        <v>-3.2077817522866064E-2</v>
      </c>
      <c r="BJ58">
        <v>-0.12948503035333095</v>
      </c>
      <c r="BK58">
        <v>0.12982858437304179</v>
      </c>
      <c r="BL58">
        <v>-6.2185482853786632E-2</v>
      </c>
      <c r="BM58">
        <v>-0.47156347231408213</v>
      </c>
      <c r="BN58">
        <v>0.15034771926163673</v>
      </c>
      <c r="BO58">
        <v>-0.3205023496068144</v>
      </c>
      <c r="BP58">
        <v>-9.5571581822634047E-2</v>
      </c>
      <c r="BQ58">
        <v>0.24946425640981781</v>
      </c>
      <c r="BR58">
        <v>-0.346016560046366</v>
      </c>
      <c r="BS58">
        <v>8.2510131864255098E-2</v>
      </c>
      <c r="BT58">
        <v>-4.8202675417010942E-3</v>
      </c>
      <c r="BU58">
        <v>-2.4316513365746091E-2</v>
      </c>
      <c r="BV58">
        <v>-9.517474181569989E-2</v>
      </c>
      <c r="BW58">
        <v>0.1731739811494088</v>
      </c>
      <c r="BX58">
        <v>-0.18538779657241433</v>
      </c>
      <c r="BY58">
        <v>-0.10612457893323007</v>
      </c>
      <c r="BZ58">
        <v>-5.102404006699042E-2</v>
      </c>
      <c r="CA58">
        <v>4.9011009882128448E-2</v>
      </c>
      <c r="CB58">
        <v>8.6683973826682508E-3</v>
      </c>
      <c r="CC58">
        <v>6.2624110318756476E-2</v>
      </c>
      <c r="CD58">
        <v>3.8757426726673495E-3</v>
      </c>
    </row>
    <row r="59" spans="2:82" x14ac:dyDescent="0.25">
      <c r="B59">
        <v>1.0252357999999999</v>
      </c>
      <c r="C59">
        <v>2.4739664000000001</v>
      </c>
      <c r="D59">
        <v>4.6535899000000001</v>
      </c>
      <c r="E59">
        <v>3.5619483000000001</v>
      </c>
      <c r="F59">
        <v>3.2200891999999999</v>
      </c>
      <c r="G59">
        <v>2.5192328000000002</v>
      </c>
      <c r="H59">
        <v>1.6608487999999999</v>
      </c>
      <c r="I59">
        <v>1.8245072</v>
      </c>
      <c r="J59">
        <v>2.7235171</v>
      </c>
      <c r="K59">
        <v>2.9706806000000001</v>
      </c>
      <c r="L59">
        <v>1.4786315000000001</v>
      </c>
      <c r="M59">
        <v>2.7456510000000001</v>
      </c>
      <c r="N59">
        <v>0.44781172000000002</v>
      </c>
      <c r="O59">
        <v>3.2419907000000001</v>
      </c>
      <c r="P59">
        <v>1.1727131</v>
      </c>
      <c r="Q59">
        <v>4.6052267000000002</v>
      </c>
      <c r="R59">
        <v>6.5605818999999999</v>
      </c>
      <c r="S59">
        <v>4.6659250999999999</v>
      </c>
      <c r="T59">
        <v>4.6116589000000001</v>
      </c>
      <c r="U59">
        <v>1.7907556</v>
      </c>
      <c r="V59">
        <v>0.62381492000000005</v>
      </c>
      <c r="W59">
        <v>3.3479554999999999</v>
      </c>
      <c r="X59">
        <v>1.8396931000000001</v>
      </c>
      <c r="Y59">
        <v>1.5950563</v>
      </c>
      <c r="Z59">
        <v>1.9446454</v>
      </c>
      <c r="AA59">
        <v>2.8710417000000001</v>
      </c>
      <c r="AB59">
        <v>1.9835273</v>
      </c>
      <c r="AC59">
        <v>1.2193354000000001</v>
      </c>
      <c r="AD59">
        <v>2.3782193</v>
      </c>
      <c r="AE59">
        <v>0.84918676999999998</v>
      </c>
      <c r="AF59">
        <v>2.7718796999999999</v>
      </c>
      <c r="AG59">
        <v>1.7085106000000001</v>
      </c>
      <c r="AH59">
        <v>2.9302988000000001</v>
      </c>
      <c r="AI59">
        <v>1.6517139000000001</v>
      </c>
      <c r="AJ59">
        <v>1.5132128</v>
      </c>
      <c r="AK59">
        <v>2.3325691000000002</v>
      </c>
      <c r="AL59">
        <v>4.1068682000000001</v>
      </c>
      <c r="AM59">
        <v>1.8252607999999999</v>
      </c>
      <c r="AN59">
        <v>0.34408548999999999</v>
      </c>
      <c r="AQ59">
        <v>3.9946600704118489</v>
      </c>
      <c r="AR59">
        <v>-1.8088194238250699E-2</v>
      </c>
      <c r="AS59">
        <v>-0.40391477826966865</v>
      </c>
      <c r="AT59">
        <v>0.14156923131394988</v>
      </c>
      <c r="AU59">
        <v>5.05218622521992E-2</v>
      </c>
      <c r="AV59">
        <v>0.12138072867026252</v>
      </c>
      <c r="AW59">
        <v>0.43691576565055334</v>
      </c>
      <c r="AX59">
        <v>7.0194484456377604E-2</v>
      </c>
      <c r="AY59">
        <v>-0.20705999804519817</v>
      </c>
      <c r="AZ59">
        <v>-0.10564627641684465</v>
      </c>
      <c r="BA59">
        <v>8.064659607129547E-2</v>
      </c>
      <c r="BB59">
        <v>-0.2299771942499296</v>
      </c>
      <c r="BC59">
        <v>-0.42428923876908164</v>
      </c>
      <c r="BD59">
        <v>-3.3181289917312243E-2</v>
      </c>
      <c r="BE59">
        <v>2.9935078893273716E-2</v>
      </c>
      <c r="BF59">
        <v>-1.8558579719537963E-2</v>
      </c>
      <c r="BG59">
        <v>1.7167384639504731E-2</v>
      </c>
      <c r="BH59">
        <v>0.10597829604638639</v>
      </c>
      <c r="BI59">
        <v>-1.9041898868540068E-3</v>
      </c>
      <c r="BJ59">
        <v>-7.5877100822373186E-2</v>
      </c>
      <c r="BK59">
        <v>-9.0680360853485464E-2</v>
      </c>
      <c r="BL59">
        <v>0.16022213825875919</v>
      </c>
      <c r="BM59">
        <v>-1.5051201130690778E-2</v>
      </c>
      <c r="BN59">
        <v>0.15721381323286368</v>
      </c>
      <c r="BO59">
        <v>0.32348627726835938</v>
      </c>
      <c r="BP59">
        <v>0.11976388140573622</v>
      </c>
      <c r="BQ59">
        <v>8.7612453639419899E-2</v>
      </c>
      <c r="BR59">
        <v>-0.14150333913891394</v>
      </c>
      <c r="BS59">
        <v>3.5743998692643213E-2</v>
      </c>
      <c r="BT59">
        <v>8.3779046096478474E-2</v>
      </c>
      <c r="BU59">
        <v>-4.7105418493068436E-2</v>
      </c>
      <c r="BV59">
        <v>-2.4954576772144854E-2</v>
      </c>
      <c r="BW59">
        <v>-5.1211584152950455E-2</v>
      </c>
      <c r="BX59">
        <v>-6.0589822249286378E-2</v>
      </c>
      <c r="BY59">
        <v>-0.12034663971427986</v>
      </c>
      <c r="BZ59">
        <v>6.5201960813851489E-2</v>
      </c>
      <c r="CA59">
        <v>6.3431728126756473E-2</v>
      </c>
      <c r="CB59">
        <v>-2.3542022777063E-2</v>
      </c>
      <c r="CC59">
        <v>-0.11273486167592651</v>
      </c>
      <c r="CD59">
        <v>-0.17697706145275036</v>
      </c>
    </row>
    <row r="60" spans="2:82" x14ac:dyDescent="0.25">
      <c r="B60">
        <v>0.82240278</v>
      </c>
      <c r="C60">
        <v>2.1623435</v>
      </c>
      <c r="D60">
        <v>3.6810518000000001</v>
      </c>
      <c r="E60">
        <v>3.1571429000000002</v>
      </c>
      <c r="F60">
        <v>2.7595543999999999</v>
      </c>
      <c r="G60">
        <v>2.1518370999999998</v>
      </c>
      <c r="H60">
        <v>1.6724437999999999</v>
      </c>
      <c r="I60">
        <v>1.6390111999999999</v>
      </c>
      <c r="J60">
        <v>2.3676917</v>
      </c>
      <c r="K60">
        <v>2.5155408000000001</v>
      </c>
      <c r="L60">
        <v>1.3138558</v>
      </c>
      <c r="M60">
        <v>2.2647493999999999</v>
      </c>
      <c r="N60">
        <v>0.25297866000000002</v>
      </c>
      <c r="O60">
        <v>2.0363188999999999</v>
      </c>
      <c r="P60">
        <v>-0.84721212000000001</v>
      </c>
      <c r="Q60">
        <v>3.1272114000000002</v>
      </c>
      <c r="R60">
        <v>4.6659250999999999</v>
      </c>
      <c r="S60">
        <v>6.7605082000000003</v>
      </c>
      <c r="T60">
        <v>4.8791188999999999</v>
      </c>
      <c r="U60">
        <v>1.2105836000000001</v>
      </c>
      <c r="V60">
        <v>0.50786144</v>
      </c>
      <c r="W60">
        <v>2.8723534000000002</v>
      </c>
      <c r="X60">
        <v>1.6822288999999999</v>
      </c>
      <c r="Y60">
        <v>1.1095917</v>
      </c>
      <c r="Z60">
        <v>1.7968785</v>
      </c>
      <c r="AA60">
        <v>2.7027551000000001</v>
      </c>
      <c r="AB60">
        <v>1.6440199</v>
      </c>
      <c r="AC60">
        <v>1.0908382000000001</v>
      </c>
      <c r="AD60">
        <v>1.1753207999999999</v>
      </c>
      <c r="AE60">
        <v>0.74849714000000001</v>
      </c>
      <c r="AF60">
        <v>1.7636479</v>
      </c>
      <c r="AG60">
        <v>1.8027545</v>
      </c>
      <c r="AH60">
        <v>2.9002213000000001</v>
      </c>
      <c r="AI60">
        <v>1.1420279</v>
      </c>
      <c r="AJ60">
        <v>1.2498176000000001</v>
      </c>
      <c r="AK60">
        <v>1.2760548</v>
      </c>
      <c r="AL60">
        <v>5.8430952999999999</v>
      </c>
      <c r="AM60">
        <v>1.256068</v>
      </c>
      <c r="AN60">
        <v>0.47041955000000002</v>
      </c>
      <c r="AQ60">
        <v>3.8210550206506735</v>
      </c>
      <c r="AR60">
        <v>3.8735611953559373E-2</v>
      </c>
      <c r="AS60">
        <v>1.5999012308857415E-2</v>
      </c>
      <c r="AT60">
        <v>0.11818077798485513</v>
      </c>
      <c r="AU60">
        <v>-7.3866242510512048E-2</v>
      </c>
      <c r="AV60">
        <v>-3.6153637721083036E-2</v>
      </c>
      <c r="AW60">
        <v>0.28405989286406341</v>
      </c>
      <c r="AX60">
        <v>7.206213827641321E-2</v>
      </c>
      <c r="AY60">
        <v>-6.4729260411700532E-2</v>
      </c>
      <c r="AZ60">
        <v>-7.150350279199949E-2</v>
      </c>
      <c r="BA60">
        <v>5.3249554066407565E-2</v>
      </c>
      <c r="BB60">
        <v>-1.2398878860281456E-2</v>
      </c>
      <c r="BC60">
        <v>0.18931552389593465</v>
      </c>
      <c r="BD60">
        <v>-2.5928750039571E-2</v>
      </c>
      <c r="BE60">
        <v>-6.0964696108760291E-2</v>
      </c>
      <c r="BF60">
        <v>2.8020725656101607E-2</v>
      </c>
      <c r="BG60">
        <v>5.9498895744911108E-2</v>
      </c>
      <c r="BH60">
        <v>-0.30643555830630287</v>
      </c>
      <c r="BI60">
        <v>5.3412644260269829E-2</v>
      </c>
      <c r="BJ60">
        <v>0.18802699579727356</v>
      </c>
      <c r="BK60">
        <v>-0.1365150913425569</v>
      </c>
      <c r="BL60">
        <v>-9.2266882972552484E-3</v>
      </c>
      <c r="BM60">
        <v>-3.4650601431260343E-2</v>
      </c>
      <c r="BN60">
        <v>-7.7156708342746086E-2</v>
      </c>
      <c r="BO60">
        <v>0.24162321688673435</v>
      </c>
      <c r="BP60">
        <v>1.290271171993544E-2</v>
      </c>
      <c r="BQ60">
        <v>-0.15081956538791286</v>
      </c>
      <c r="BR60">
        <v>-0.31067897495205465</v>
      </c>
      <c r="BS60">
        <v>-9.8845077788564772E-2</v>
      </c>
      <c r="BT60">
        <v>-0.44024304475636933</v>
      </c>
      <c r="BU60">
        <v>-9.0419885145487378E-2</v>
      </c>
      <c r="BV60">
        <v>-0.19442172184923043</v>
      </c>
      <c r="BW60">
        <v>-0.13663391009909334</v>
      </c>
      <c r="BX60">
        <v>0.25911103645741385</v>
      </c>
      <c r="BY60">
        <v>0.19535498980666208</v>
      </c>
      <c r="BZ60">
        <v>-1.083031759826935E-2</v>
      </c>
      <c r="CA60">
        <v>-0.12607994640756354</v>
      </c>
      <c r="CB60">
        <v>6.2170999716700127E-2</v>
      </c>
      <c r="CC60">
        <v>0.1244926225499542</v>
      </c>
      <c r="CD60">
        <v>0.30012475637470992</v>
      </c>
    </row>
    <row r="61" spans="2:82" x14ac:dyDescent="0.25">
      <c r="B61">
        <v>1.13897</v>
      </c>
      <c r="C61">
        <v>3.4294737999999998</v>
      </c>
      <c r="D61">
        <v>5.8939826999999996</v>
      </c>
      <c r="E61">
        <v>5.6427313999999997</v>
      </c>
      <c r="F61">
        <v>4.3031755</v>
      </c>
      <c r="G61">
        <v>2.8986592</v>
      </c>
      <c r="H61">
        <v>3.4193927</v>
      </c>
      <c r="I61">
        <v>3.1784374999999998</v>
      </c>
      <c r="J61">
        <v>3.9236390999999999</v>
      </c>
      <c r="K61">
        <v>3.3454541</v>
      </c>
      <c r="L61">
        <v>1.7830585999999999</v>
      </c>
      <c r="M61">
        <v>2.7120441999999998</v>
      </c>
      <c r="N61">
        <v>-1.3473968999999999</v>
      </c>
      <c r="O61">
        <v>2.6305795000000001</v>
      </c>
      <c r="P61">
        <v>3.2258624</v>
      </c>
      <c r="Q61">
        <v>4.6577687000000001</v>
      </c>
      <c r="R61">
        <v>4.6116589000000001</v>
      </c>
      <c r="S61">
        <v>4.8791188999999999</v>
      </c>
      <c r="T61">
        <v>8.6717402999999997</v>
      </c>
      <c r="U61">
        <v>3.1072891999999999</v>
      </c>
      <c r="V61">
        <v>0.82031860000000001</v>
      </c>
      <c r="W61">
        <v>4.6086292000000002</v>
      </c>
      <c r="X61">
        <v>2.8164186999999998</v>
      </c>
      <c r="Y61">
        <v>2.0660653999999998</v>
      </c>
      <c r="Z61">
        <v>2.5835870000000001</v>
      </c>
      <c r="AA61">
        <v>5.0545378999999997</v>
      </c>
      <c r="AB61">
        <v>2.9783770999999999</v>
      </c>
      <c r="AC61">
        <v>1.4727783999999999</v>
      </c>
      <c r="AD61">
        <v>1.5212137999999999</v>
      </c>
      <c r="AE61">
        <v>0.91811925999999999</v>
      </c>
      <c r="AF61">
        <v>2.6939747999999999</v>
      </c>
      <c r="AG61">
        <v>2.7485154999999999</v>
      </c>
      <c r="AH61">
        <v>5.8539867000000001</v>
      </c>
      <c r="AI61">
        <v>2.2154847000000002</v>
      </c>
      <c r="AJ61">
        <v>1.5990911999999999</v>
      </c>
      <c r="AK61">
        <v>2.4036884000000001</v>
      </c>
      <c r="AL61">
        <v>3.1897120000000001</v>
      </c>
      <c r="AM61">
        <v>2.2737522000000001</v>
      </c>
      <c r="AN61">
        <v>0.57679325000000004</v>
      </c>
      <c r="AQ61">
        <v>3.2623216393169412</v>
      </c>
      <c r="AR61">
        <v>-7.902445277995912E-2</v>
      </c>
      <c r="AS61">
        <v>-8.2101349754824613E-3</v>
      </c>
      <c r="AT61">
        <v>-7.4529076100294092E-2</v>
      </c>
      <c r="AU61">
        <v>0.16940492399149903</v>
      </c>
      <c r="AV61">
        <v>7.1443834292478123E-2</v>
      </c>
      <c r="AW61">
        <v>4.4183809820324176E-3</v>
      </c>
      <c r="AX61">
        <v>0.15435516728008933</v>
      </c>
      <c r="AY61">
        <v>-0.21997305224275904</v>
      </c>
      <c r="AZ61">
        <v>-0.23010199094526806</v>
      </c>
      <c r="BA61">
        <v>4.2116185051567702E-2</v>
      </c>
      <c r="BB61">
        <v>-9.981962581194441E-2</v>
      </c>
      <c r="BC61">
        <v>-7.4668344212961799E-2</v>
      </c>
      <c r="BD61">
        <v>-7.4471407649887595E-3</v>
      </c>
      <c r="BE61">
        <v>-4.1173349592734179E-2</v>
      </c>
      <c r="BF61">
        <v>0.2290151630187697</v>
      </c>
      <c r="BG61">
        <v>-0.12316550531568761</v>
      </c>
      <c r="BH61">
        <v>5.7190126337228739E-2</v>
      </c>
      <c r="BI61">
        <v>-4.0748762172173061E-2</v>
      </c>
      <c r="BJ61">
        <v>0.10336789147356581</v>
      </c>
      <c r="BK61">
        <v>-0.21890093934338875</v>
      </c>
      <c r="BL61">
        <v>-3.9916300569690852E-2</v>
      </c>
      <c r="BM61">
        <v>-0.2129885840106116</v>
      </c>
      <c r="BN61">
        <v>5.7048661747476609E-2</v>
      </c>
      <c r="BO61">
        <v>-0.2626582908301448</v>
      </c>
      <c r="BP61">
        <v>9.0344984978424747E-2</v>
      </c>
      <c r="BQ61">
        <v>-0.44350226166957857</v>
      </c>
      <c r="BR61">
        <v>2.4867605984658182E-2</v>
      </c>
      <c r="BS61">
        <v>-6.5398414974095403E-2</v>
      </c>
      <c r="BT61">
        <v>0.32726701962225552</v>
      </c>
      <c r="BU61">
        <v>0.14441679320285272</v>
      </c>
      <c r="BV61">
        <v>0.21227909102050188</v>
      </c>
      <c r="BW61">
        <v>5.6920710837750535E-2</v>
      </c>
      <c r="BX61">
        <v>0.36815257453144029</v>
      </c>
      <c r="BY61">
        <v>0.13881162456861856</v>
      </c>
      <c r="BZ61">
        <v>-1.7630348820907753E-3</v>
      </c>
      <c r="CA61">
        <v>-7.7202815359546581E-2</v>
      </c>
      <c r="CB61">
        <v>8.2749361286144407E-2</v>
      </c>
      <c r="CC61">
        <v>3.2175134496908939E-2</v>
      </c>
      <c r="CD61">
        <v>7.1197216758031229E-2</v>
      </c>
    </row>
    <row r="62" spans="2:82" x14ac:dyDescent="0.25">
      <c r="B62">
        <v>0.38769415000000002</v>
      </c>
      <c r="C62">
        <v>1.0684832</v>
      </c>
      <c r="D62">
        <v>2.2348713999999998</v>
      </c>
      <c r="E62">
        <v>2.0795181</v>
      </c>
      <c r="F62">
        <v>1.5221585</v>
      </c>
      <c r="G62">
        <v>1.1147742</v>
      </c>
      <c r="H62">
        <v>1.5384007</v>
      </c>
      <c r="I62">
        <v>1.2469283</v>
      </c>
      <c r="J62">
        <v>1.2082496</v>
      </c>
      <c r="K62">
        <v>1.0095027000000001</v>
      </c>
      <c r="L62">
        <v>0.28958768000000001</v>
      </c>
      <c r="M62">
        <v>0.55957372999999999</v>
      </c>
      <c r="N62">
        <v>-1.1114904000000001</v>
      </c>
      <c r="O62">
        <v>0.79473782000000004</v>
      </c>
      <c r="P62">
        <v>2.2464775000000001</v>
      </c>
      <c r="Q62">
        <v>2.6305097000000002</v>
      </c>
      <c r="R62">
        <v>1.7907556</v>
      </c>
      <c r="S62">
        <v>1.2105836000000001</v>
      </c>
      <c r="T62">
        <v>3.1072891999999999</v>
      </c>
      <c r="U62">
        <v>7.4821147999999997</v>
      </c>
      <c r="V62">
        <v>0.26515149999999998</v>
      </c>
      <c r="W62">
        <v>1.3582566</v>
      </c>
      <c r="X62">
        <v>0.82720424000000004</v>
      </c>
      <c r="Y62">
        <v>0.74236447999999999</v>
      </c>
      <c r="Z62">
        <v>0.95141469000000001</v>
      </c>
      <c r="AA62">
        <v>-0.35336160999999999</v>
      </c>
      <c r="AB62">
        <v>1.0110212999999999</v>
      </c>
      <c r="AC62">
        <v>0.50482415000000003</v>
      </c>
      <c r="AD62">
        <v>0.41861823999999997</v>
      </c>
      <c r="AE62">
        <v>0.24005642999999999</v>
      </c>
      <c r="AF62">
        <v>0.76157993999999996</v>
      </c>
      <c r="AG62">
        <v>0.72640899000000003</v>
      </c>
      <c r="AH62">
        <v>0.52972571000000002</v>
      </c>
      <c r="AI62">
        <v>0.79620793000000001</v>
      </c>
      <c r="AJ62">
        <v>0.65649831999999997</v>
      </c>
      <c r="AK62">
        <v>0.68333524000000001</v>
      </c>
      <c r="AL62">
        <v>0.12103678</v>
      </c>
      <c r="AM62">
        <v>0.61450353000000002</v>
      </c>
      <c r="AN62">
        <v>0.32599664</v>
      </c>
      <c r="AQ62">
        <v>3.1775040572729853</v>
      </c>
      <c r="AR62">
        <v>5.8885102473816729E-3</v>
      </c>
      <c r="AS62">
        <v>6.6271959102282849E-3</v>
      </c>
      <c r="AT62">
        <v>2.0601341403836522E-2</v>
      </c>
      <c r="AU62">
        <v>-1.6247938556352474E-2</v>
      </c>
      <c r="AV62">
        <v>-2.5904990230278443E-4</v>
      </c>
      <c r="AW62">
        <v>6.3605881394637113E-4</v>
      </c>
      <c r="AX62">
        <v>-2.0480178019701829E-2</v>
      </c>
      <c r="AY62">
        <v>-3.3492606798157447E-3</v>
      </c>
      <c r="AZ62">
        <v>1.8197623785015549E-2</v>
      </c>
      <c r="BA62">
        <v>0.2232459099161366</v>
      </c>
      <c r="BB62">
        <v>6.7504046087848685E-2</v>
      </c>
      <c r="BC62">
        <v>0.29545389907081049</v>
      </c>
      <c r="BD62">
        <v>-8.9243328049514695E-2</v>
      </c>
      <c r="BE62">
        <v>-0.16391403466871976</v>
      </c>
      <c r="BF62">
        <v>0.12611530051518369</v>
      </c>
      <c r="BG62">
        <v>-0.20471515459670175</v>
      </c>
      <c r="BH62">
        <v>-0.17324623959972718</v>
      </c>
      <c r="BI62">
        <v>0.11364064458511144</v>
      </c>
      <c r="BJ62">
        <v>0.14832221525979031</v>
      </c>
      <c r="BK62">
        <v>1.2401144497509384E-2</v>
      </c>
      <c r="BL62">
        <v>-4.7268727576342789E-2</v>
      </c>
      <c r="BM62">
        <v>4.7774178905288546E-3</v>
      </c>
      <c r="BN62">
        <v>1.2225060341546667E-2</v>
      </c>
      <c r="BO62">
        <v>-5.6097929995156018E-2</v>
      </c>
      <c r="BP62">
        <v>3.475069048161987E-2</v>
      </c>
      <c r="BQ62">
        <v>-0.17373567326797723</v>
      </c>
      <c r="BR62">
        <v>-0.11072302308463772</v>
      </c>
      <c r="BS62">
        <v>-1.9257377499640006E-2</v>
      </c>
      <c r="BT62">
        <v>-3.2947889420129994E-2</v>
      </c>
      <c r="BU62">
        <v>-7.6450430885717971E-2</v>
      </c>
      <c r="BV62">
        <v>-0.17166844610107179</v>
      </c>
      <c r="BW62">
        <v>-6.2212398624924871E-3</v>
      </c>
      <c r="BX62">
        <v>0.1360371303316876</v>
      </c>
      <c r="BY62">
        <v>-0.36818596175260299</v>
      </c>
      <c r="BZ62">
        <v>7.1697677034858409E-2</v>
      </c>
      <c r="CA62">
        <v>0.33821251677611602</v>
      </c>
      <c r="CB62">
        <v>8.6109719184007172E-2</v>
      </c>
      <c r="CC62">
        <v>-0.22067330422416043</v>
      </c>
      <c r="CD62">
        <v>-0.53229067379878114</v>
      </c>
    </row>
    <row r="63" spans="2:82" x14ac:dyDescent="0.25">
      <c r="B63">
        <v>0.18856785000000001</v>
      </c>
      <c r="C63">
        <v>1.0303682999999999</v>
      </c>
      <c r="D63">
        <v>1.3108447000000001</v>
      </c>
      <c r="E63">
        <v>1.0862023999999999</v>
      </c>
      <c r="F63">
        <v>1.0766545000000001</v>
      </c>
      <c r="G63">
        <v>0.65818776999999995</v>
      </c>
      <c r="H63">
        <v>1.598678</v>
      </c>
      <c r="I63">
        <v>-0.36828098999999997</v>
      </c>
      <c r="J63">
        <v>0.78647093999999995</v>
      </c>
      <c r="K63">
        <v>0.92538982000000003</v>
      </c>
      <c r="L63">
        <v>0.66811052000000004</v>
      </c>
      <c r="M63">
        <v>0.86966745000000001</v>
      </c>
      <c r="N63">
        <v>0.36027513</v>
      </c>
      <c r="O63">
        <v>0.57281022999999998</v>
      </c>
      <c r="P63">
        <v>0.32630753000000001</v>
      </c>
      <c r="Q63">
        <v>0.42111907999999998</v>
      </c>
      <c r="R63">
        <v>0.62381492000000005</v>
      </c>
      <c r="S63">
        <v>0.50786144</v>
      </c>
      <c r="T63">
        <v>0.82031860000000001</v>
      </c>
      <c r="U63">
        <v>0.26515149999999998</v>
      </c>
      <c r="V63">
        <v>2.6314503</v>
      </c>
      <c r="W63">
        <v>2.2109765000000001</v>
      </c>
      <c r="X63">
        <v>1.1914004</v>
      </c>
      <c r="Y63">
        <v>0.69871532999999997</v>
      </c>
      <c r="Z63">
        <v>0.87757708000000001</v>
      </c>
      <c r="AA63">
        <v>1.1159204</v>
      </c>
      <c r="AB63">
        <v>0.66645734000000001</v>
      </c>
      <c r="AC63">
        <v>0.48238242999999997</v>
      </c>
      <c r="AD63">
        <v>0.48030148</v>
      </c>
      <c r="AE63">
        <v>0.31829527000000002</v>
      </c>
      <c r="AF63">
        <v>0.67193064000000002</v>
      </c>
      <c r="AG63">
        <v>0.58686344000000001</v>
      </c>
      <c r="AH63">
        <v>0.75863570999999996</v>
      </c>
      <c r="AI63">
        <v>0.43741468</v>
      </c>
      <c r="AJ63">
        <v>0.37633725000000001</v>
      </c>
      <c r="AK63">
        <v>0.55271044000000003</v>
      </c>
      <c r="AL63">
        <v>0.59498421000000001</v>
      </c>
      <c r="AM63">
        <v>0.49514108000000001</v>
      </c>
      <c r="AN63">
        <v>0.21893282</v>
      </c>
      <c r="AQ63">
        <v>3.0686503319827261</v>
      </c>
      <c r="AR63">
        <v>-5.7675980942788828E-2</v>
      </c>
      <c r="AS63">
        <v>-0.1413781837466157</v>
      </c>
      <c r="AT63">
        <v>3.6811378638416464E-2</v>
      </c>
      <c r="AU63">
        <v>4.9428977761224929E-2</v>
      </c>
      <c r="AV63">
        <v>0.12460325757826088</v>
      </c>
      <c r="AW63">
        <v>-0.12488017880773992</v>
      </c>
      <c r="AX63">
        <v>1.9627133102870516E-2</v>
      </c>
      <c r="AY63">
        <v>-7.7203208036012702E-2</v>
      </c>
      <c r="AZ63">
        <v>-9.401098024677372E-2</v>
      </c>
      <c r="BA63">
        <v>0.29119673174791993</v>
      </c>
      <c r="BB63">
        <v>-0.10434026891521456</v>
      </c>
      <c r="BC63">
        <v>0.10062403026245542</v>
      </c>
      <c r="BD63">
        <v>-0.29335530185778919</v>
      </c>
      <c r="BE63">
        <v>-0.28734707896268902</v>
      </c>
      <c r="BF63">
        <v>0.34048499410842065</v>
      </c>
      <c r="BG63">
        <v>0.22854610414136939</v>
      </c>
      <c r="BH63">
        <v>8.0594712490995382E-2</v>
      </c>
      <c r="BI63">
        <v>3.006879983532006E-2</v>
      </c>
      <c r="BJ63">
        <v>-0.17924924301064754</v>
      </c>
      <c r="BK63">
        <v>-0.2568916678207227</v>
      </c>
      <c r="BL63">
        <v>-3.1197439476131059E-2</v>
      </c>
      <c r="BM63">
        <v>7.1965832587102554E-2</v>
      </c>
      <c r="BN63">
        <v>-1.814953140759725E-4</v>
      </c>
      <c r="BO63">
        <v>-0.16360087553930855</v>
      </c>
      <c r="BP63">
        <v>-0.12153137524388177</v>
      </c>
      <c r="BQ63">
        <v>6.097592656185017E-2</v>
      </c>
      <c r="BR63">
        <v>0.13747294918064901</v>
      </c>
      <c r="BS63">
        <v>5.8567397223670471E-2</v>
      </c>
      <c r="BT63">
        <v>-0.18442683277400559</v>
      </c>
      <c r="BU63">
        <v>2.9483175572295822E-2</v>
      </c>
      <c r="BV63">
        <v>-5.2676520183718753E-2</v>
      </c>
      <c r="BW63">
        <v>-0.1127085452279137</v>
      </c>
      <c r="BX63">
        <v>-0.37930921430740117</v>
      </c>
      <c r="BY63">
        <v>0.14582455074665807</v>
      </c>
      <c r="BZ63">
        <v>5.2570305310468197E-2</v>
      </c>
      <c r="CA63">
        <v>7.8600281982727935E-2</v>
      </c>
      <c r="CB63">
        <v>0.24672990446962889</v>
      </c>
      <c r="CC63">
        <v>-6.0971651227440478E-2</v>
      </c>
      <c r="CD63">
        <v>0.1252703452310969</v>
      </c>
    </row>
    <row r="64" spans="2:82" x14ac:dyDescent="0.25">
      <c r="B64">
        <v>1.7536438999999999</v>
      </c>
      <c r="C64">
        <v>5.7438428000000004</v>
      </c>
      <c r="D64">
        <v>9.0845401999999993</v>
      </c>
      <c r="E64">
        <v>9.1400795000000006</v>
      </c>
      <c r="F64">
        <v>6.5495520999999997</v>
      </c>
      <c r="G64">
        <v>3.7930388000000002</v>
      </c>
      <c r="H64">
        <v>5.7929659999999998</v>
      </c>
      <c r="I64">
        <v>4.2210859999999997</v>
      </c>
      <c r="J64">
        <v>4.4152567999999999</v>
      </c>
      <c r="K64">
        <v>4.3824566999999996</v>
      </c>
      <c r="L64">
        <v>2.0990277000000002</v>
      </c>
      <c r="M64">
        <v>5.2179609999999998</v>
      </c>
      <c r="N64">
        <v>1.7973969999999999</v>
      </c>
      <c r="O64">
        <v>4.1093168000000002</v>
      </c>
      <c r="P64">
        <v>3.8073934999999999</v>
      </c>
      <c r="Q64">
        <v>2.6430212000000002</v>
      </c>
      <c r="R64">
        <v>3.3479554999999999</v>
      </c>
      <c r="S64">
        <v>2.8723534000000002</v>
      </c>
      <c r="T64">
        <v>4.6086292000000002</v>
      </c>
      <c r="U64">
        <v>1.3582566</v>
      </c>
      <c r="V64">
        <v>2.2109765000000001</v>
      </c>
      <c r="W64">
        <v>10.242516999999999</v>
      </c>
      <c r="X64">
        <v>3.5229409</v>
      </c>
      <c r="Y64">
        <v>4.3220763</v>
      </c>
      <c r="Z64">
        <v>3.8870518999999999</v>
      </c>
      <c r="AA64">
        <v>4.6552657999999996</v>
      </c>
      <c r="AB64">
        <v>5.115119</v>
      </c>
      <c r="AC64">
        <v>1.9318535999999999</v>
      </c>
      <c r="AD64">
        <v>2.2136263999999999</v>
      </c>
      <c r="AE64">
        <v>1.2249156999999999</v>
      </c>
      <c r="AF64">
        <v>3.7084514999999998</v>
      </c>
      <c r="AG64">
        <v>3.1425538999999998</v>
      </c>
      <c r="AH64">
        <v>4.0616127999999998</v>
      </c>
      <c r="AI64">
        <v>2.9563430999999998</v>
      </c>
      <c r="AJ64">
        <v>2.0742753999999999</v>
      </c>
      <c r="AK64">
        <v>3.8877410000000001</v>
      </c>
      <c r="AL64">
        <v>3.3220019999999999</v>
      </c>
      <c r="AM64">
        <v>3.2896382000000002</v>
      </c>
      <c r="AN64">
        <v>0.68866324000000001</v>
      </c>
      <c r="AQ64">
        <v>2.8167347580487108</v>
      </c>
      <c r="AR64">
        <v>-6.4451614629382106E-2</v>
      </c>
      <c r="AS64">
        <v>0.15751681249212601</v>
      </c>
      <c r="AT64">
        <v>-0.14396242989315478</v>
      </c>
      <c r="AU64">
        <v>0.14758703236091075</v>
      </c>
      <c r="AV64">
        <v>-8.4988966788378362E-2</v>
      </c>
      <c r="AW64">
        <v>5.687170378711396E-2</v>
      </c>
      <c r="AX64">
        <v>-7.4191684049937784E-2</v>
      </c>
      <c r="AY64">
        <v>9.7406410428796386E-2</v>
      </c>
      <c r="AZ64">
        <v>-2.1057917672732429E-3</v>
      </c>
      <c r="BA64">
        <v>0.18878415754501932</v>
      </c>
      <c r="BB64">
        <v>-1.188672079819194E-2</v>
      </c>
      <c r="BC64">
        <v>8.6224460369353328E-2</v>
      </c>
      <c r="BD64">
        <v>-0.14576434262851071</v>
      </c>
      <c r="BE64">
        <v>-0.2041356859212016</v>
      </c>
      <c r="BF64">
        <v>-7.9914294397232331E-3</v>
      </c>
      <c r="BG64">
        <v>-0.16448038399296894</v>
      </c>
      <c r="BH64">
        <v>-4.73532780252231E-3</v>
      </c>
      <c r="BI64">
        <v>-3.9519085981379987E-2</v>
      </c>
      <c r="BJ64">
        <v>-5.7792307293404989E-2</v>
      </c>
      <c r="BK64">
        <v>0.15463617922773085</v>
      </c>
      <c r="BL64">
        <v>-6.047162030955925E-2</v>
      </c>
      <c r="BM64">
        <v>-3.0391482681136808E-3</v>
      </c>
      <c r="BN64">
        <v>-3.5655067455703647E-2</v>
      </c>
      <c r="BO64">
        <v>0.27306072611570398</v>
      </c>
      <c r="BP64">
        <v>-9.921892636555335E-2</v>
      </c>
      <c r="BQ64">
        <v>0.20652472495224783</v>
      </c>
      <c r="BR64">
        <v>-0.36025088696276392</v>
      </c>
      <c r="BS64">
        <v>-0.43218993503342984</v>
      </c>
      <c r="BT64">
        <v>0.34701110642225769</v>
      </c>
      <c r="BU64">
        <v>0.32003335023499341</v>
      </c>
      <c r="BV64">
        <v>7.6678679560770902E-2</v>
      </c>
      <c r="BW64">
        <v>-0.10973851673127644</v>
      </c>
      <c r="BX64">
        <v>-0.1204551416582043</v>
      </c>
      <c r="BY64">
        <v>0.15624400333148927</v>
      </c>
      <c r="BZ64">
        <v>3.8908930105803347E-2</v>
      </c>
      <c r="CA64">
        <v>-5.584584707983347E-2</v>
      </c>
      <c r="CB64">
        <v>8.9795359902907518E-2</v>
      </c>
      <c r="CC64">
        <v>2.6721826295945019E-3</v>
      </c>
      <c r="CD64">
        <v>-5.893564825439318E-3</v>
      </c>
    </row>
    <row r="65" spans="2:82" x14ac:dyDescent="0.25">
      <c r="B65">
        <v>0.92652955999999997</v>
      </c>
      <c r="C65">
        <v>2.5161471</v>
      </c>
      <c r="D65">
        <v>4.4158849</v>
      </c>
      <c r="E65">
        <v>4.3233655000000004</v>
      </c>
      <c r="F65">
        <v>3.5547963</v>
      </c>
      <c r="G65">
        <v>2.2264062999999998</v>
      </c>
      <c r="H65">
        <v>2.8760316000000001</v>
      </c>
      <c r="I65">
        <v>0.92336532999999998</v>
      </c>
      <c r="J65">
        <v>3.9486278000000001</v>
      </c>
      <c r="K65">
        <v>2.2390165999999998</v>
      </c>
      <c r="L65">
        <v>1.0916982</v>
      </c>
      <c r="M65">
        <v>2.3901815000000002</v>
      </c>
      <c r="N65">
        <v>0.91719229999999996</v>
      </c>
      <c r="O65">
        <v>2.0407058</v>
      </c>
      <c r="P65">
        <v>1.7778362000000001</v>
      </c>
      <c r="Q65">
        <v>1.3798747</v>
      </c>
      <c r="R65">
        <v>1.8396931000000001</v>
      </c>
      <c r="S65">
        <v>1.6822288999999999</v>
      </c>
      <c r="T65">
        <v>2.8164186999999998</v>
      </c>
      <c r="U65">
        <v>0.82720424000000004</v>
      </c>
      <c r="V65">
        <v>1.1914004</v>
      </c>
      <c r="W65">
        <v>3.5229409</v>
      </c>
      <c r="X65">
        <v>5.3352012000000002</v>
      </c>
      <c r="Y65">
        <v>1.1419948</v>
      </c>
      <c r="Z65">
        <v>1.2796836</v>
      </c>
      <c r="AA65">
        <v>3.0704218999999999</v>
      </c>
      <c r="AB65">
        <v>2.0580227</v>
      </c>
      <c r="AC65">
        <v>0.85768577000000001</v>
      </c>
      <c r="AD65">
        <v>1.1512358</v>
      </c>
      <c r="AE65">
        <v>0.73523344999999996</v>
      </c>
      <c r="AF65">
        <v>1.8936812000000001</v>
      </c>
      <c r="AG65">
        <v>1.5339898999999999</v>
      </c>
      <c r="AH65">
        <v>2.4582638000000001</v>
      </c>
      <c r="AI65">
        <v>1.6754743000000001</v>
      </c>
      <c r="AJ65">
        <v>1.1326379</v>
      </c>
      <c r="AK65">
        <v>1.8946845999999999</v>
      </c>
      <c r="AL65">
        <v>2.2371384000000001</v>
      </c>
      <c r="AM65">
        <v>1.8078425</v>
      </c>
      <c r="AN65">
        <v>0.28689671</v>
      </c>
      <c r="AQ65">
        <v>2.540385641539654</v>
      </c>
      <c r="AR65">
        <v>-1.9231677939031418E-2</v>
      </c>
      <c r="AS65">
        <v>-0.11189414272026726</v>
      </c>
      <c r="AT65">
        <v>-7.2919380256255967E-2</v>
      </c>
      <c r="AU65">
        <v>0.16932581071055688</v>
      </c>
      <c r="AV65">
        <v>-6.5635735006674661E-2</v>
      </c>
      <c r="AW65">
        <v>-4.5644065460644978E-2</v>
      </c>
      <c r="AX65">
        <v>-0.15723380188636146</v>
      </c>
      <c r="AY65">
        <v>4.8899545836195817E-2</v>
      </c>
      <c r="AZ65">
        <v>4.271489392764468E-2</v>
      </c>
      <c r="BA65">
        <v>-0.23507293393652851</v>
      </c>
      <c r="BB65">
        <v>-0.2918541783250031</v>
      </c>
      <c r="BC65">
        <v>0.10226402785618212</v>
      </c>
      <c r="BD65">
        <v>8.9143047807560036E-2</v>
      </c>
      <c r="BE65">
        <v>0.17402851574160105</v>
      </c>
      <c r="BF65">
        <v>0.18531174319631158</v>
      </c>
      <c r="BG65">
        <v>-2.1033869206923454E-2</v>
      </c>
      <c r="BH65">
        <v>-5.1072150853349256E-2</v>
      </c>
      <c r="BI65">
        <v>-1.8926552745193153E-2</v>
      </c>
      <c r="BJ65">
        <v>-3.8037532679570024E-2</v>
      </c>
      <c r="BK65">
        <v>3.0583924463573359E-2</v>
      </c>
      <c r="BL65">
        <v>-0.66406729469033987</v>
      </c>
      <c r="BM65">
        <v>6.0596826428155511E-2</v>
      </c>
      <c r="BN65">
        <v>0.3170626728148031</v>
      </c>
      <c r="BO65">
        <v>0.18909015591632386</v>
      </c>
      <c r="BP65">
        <v>4.3551271862577297E-2</v>
      </c>
      <c r="BQ65">
        <v>1.2147741966933466E-2</v>
      </c>
      <c r="BR65">
        <v>4.5885765620709715E-2</v>
      </c>
      <c r="BS65">
        <v>1.1486019556186141E-2</v>
      </c>
      <c r="BT65">
        <v>-2.684092675196955E-2</v>
      </c>
      <c r="BU65">
        <v>-0.14225809001086212</v>
      </c>
      <c r="BV65">
        <v>-2.9285496998396931E-3</v>
      </c>
      <c r="BW65">
        <v>-4.3601765084561622E-2</v>
      </c>
      <c r="BX65">
        <v>1.5425215020876206E-2</v>
      </c>
      <c r="BY65">
        <v>4.3007484962690759E-2</v>
      </c>
      <c r="BZ65">
        <v>-8.1077216983418215E-2</v>
      </c>
      <c r="CA65">
        <v>-0.10341470921687766</v>
      </c>
      <c r="CB65">
        <v>0.20216831495420179</v>
      </c>
      <c r="CC65">
        <v>-0.13294743140658979</v>
      </c>
      <c r="CD65">
        <v>-5.0383369042831472E-2</v>
      </c>
    </row>
    <row r="66" spans="2:82" x14ac:dyDescent="0.25">
      <c r="B66">
        <v>0.85607761000000004</v>
      </c>
      <c r="C66">
        <v>2.3436813999999999</v>
      </c>
      <c r="D66">
        <v>4.0505630000000004</v>
      </c>
      <c r="E66">
        <v>3.7933216000000001</v>
      </c>
      <c r="F66">
        <v>3.1592229000000001</v>
      </c>
      <c r="G66">
        <v>2.3554035999999998</v>
      </c>
      <c r="H66">
        <v>2.2424629999999999</v>
      </c>
      <c r="I66">
        <v>1.604168</v>
      </c>
      <c r="J66">
        <v>1.9902698000000001</v>
      </c>
      <c r="K66">
        <v>1.9618116999999999</v>
      </c>
      <c r="L66">
        <v>0.82365770999999999</v>
      </c>
      <c r="M66">
        <v>1.9893379</v>
      </c>
      <c r="N66">
        <v>0.83945144999999999</v>
      </c>
      <c r="O66">
        <v>1.9678134</v>
      </c>
      <c r="P66">
        <v>1.8208918000000001</v>
      </c>
      <c r="Q66">
        <v>1.3262962</v>
      </c>
      <c r="R66">
        <v>1.5950563</v>
      </c>
      <c r="S66">
        <v>1.1095917</v>
      </c>
      <c r="T66">
        <v>2.0660653999999998</v>
      </c>
      <c r="U66">
        <v>0.74236447999999999</v>
      </c>
      <c r="V66">
        <v>0.69871532999999997</v>
      </c>
      <c r="W66">
        <v>4.3220763</v>
      </c>
      <c r="X66">
        <v>1.1419948</v>
      </c>
      <c r="Y66">
        <v>4.6551410000000004</v>
      </c>
      <c r="Z66">
        <v>1.2536863</v>
      </c>
      <c r="AA66">
        <v>1.6246442999999999</v>
      </c>
      <c r="AB66">
        <v>1.6128690000000001</v>
      </c>
      <c r="AC66">
        <v>0.87169733999999999</v>
      </c>
      <c r="AD66">
        <v>0.9530959</v>
      </c>
      <c r="AE66">
        <v>0.49196287999999999</v>
      </c>
      <c r="AF66">
        <v>1.7312323000000001</v>
      </c>
      <c r="AG66">
        <v>1.793784</v>
      </c>
      <c r="AH66">
        <v>1.7811596999999999</v>
      </c>
      <c r="AI66">
        <v>1.6512647</v>
      </c>
      <c r="AJ66">
        <v>0.69870421999999999</v>
      </c>
      <c r="AK66">
        <v>2.2778018000000002</v>
      </c>
      <c r="AL66">
        <v>1.2187460999999999</v>
      </c>
      <c r="AM66">
        <v>1.5981715000000001</v>
      </c>
      <c r="AN66">
        <v>0.28126856</v>
      </c>
      <c r="AQ66">
        <v>2.1895107247511589</v>
      </c>
      <c r="AR66">
        <v>-0.32706691339692195</v>
      </c>
      <c r="AS66">
        <v>-0.3097636994372896</v>
      </c>
      <c r="AT66">
        <v>-0.18265054587808019</v>
      </c>
      <c r="AU66">
        <v>0.23779744200202463</v>
      </c>
      <c r="AV66">
        <v>0.2840147050886932</v>
      </c>
      <c r="AW66">
        <v>0.23652993396587735</v>
      </c>
      <c r="AX66">
        <v>-0.24865173804137608</v>
      </c>
      <c r="AY66">
        <v>-8.1669487822243036E-2</v>
      </c>
      <c r="AZ66">
        <v>-0.14321167410516472</v>
      </c>
      <c r="BA66">
        <v>-0.10020428899292161</v>
      </c>
      <c r="BB66">
        <v>0.23975080236218771</v>
      </c>
      <c r="BC66">
        <v>0.21286237937250524</v>
      </c>
      <c r="BD66">
        <v>-4.5731268497730737E-2</v>
      </c>
      <c r="BE66">
        <v>0.13746244284162723</v>
      </c>
      <c r="BF66">
        <v>-0.11544695432096712</v>
      </c>
      <c r="BG66">
        <v>-1.7492611925793225E-2</v>
      </c>
      <c r="BH66">
        <v>-0.19467635511465572</v>
      </c>
      <c r="BI66">
        <v>9.7980278065822837E-2</v>
      </c>
      <c r="BJ66">
        <v>-9.2150718801028691E-3</v>
      </c>
      <c r="BK66">
        <v>0.10068921584494477</v>
      </c>
      <c r="BL66">
        <v>-2.7700877144876106E-2</v>
      </c>
      <c r="BM66">
        <v>1.4578028213822529E-2</v>
      </c>
      <c r="BN66">
        <v>-8.7776483021516569E-3</v>
      </c>
      <c r="BO66">
        <v>-0.16166195262067631</v>
      </c>
      <c r="BP66">
        <v>0.14633764628110332</v>
      </c>
      <c r="BQ66">
        <v>8.6618456352689513E-2</v>
      </c>
      <c r="BR66">
        <v>0.13444363462054015</v>
      </c>
      <c r="BS66">
        <v>-0.13019157937729067</v>
      </c>
      <c r="BT66">
        <v>-0.12130903235779547</v>
      </c>
      <c r="BU66">
        <v>0.28835770099450786</v>
      </c>
      <c r="BV66">
        <v>-3.0487893881834392E-2</v>
      </c>
      <c r="BW66">
        <v>0.15645164490081834</v>
      </c>
      <c r="BX66">
        <v>-4.9964633260419833E-2</v>
      </c>
      <c r="BY66">
        <v>-0.10270051718807213</v>
      </c>
      <c r="BZ66">
        <v>-3.76338271069699E-2</v>
      </c>
      <c r="CA66">
        <v>7.9985937057693718E-2</v>
      </c>
      <c r="CB66">
        <v>-9.4912523856272635E-2</v>
      </c>
      <c r="CC66">
        <v>-3.845317728946538E-2</v>
      </c>
      <c r="CD66">
        <v>0.17498607291680257</v>
      </c>
    </row>
    <row r="67" spans="2:82" x14ac:dyDescent="0.25">
      <c r="B67">
        <v>1.0286002999999999</v>
      </c>
      <c r="C67">
        <v>2.9851660999999998</v>
      </c>
      <c r="D67">
        <v>5.8760297000000001</v>
      </c>
      <c r="E67">
        <v>4.7969568000000002</v>
      </c>
      <c r="F67">
        <v>2.0344601</v>
      </c>
      <c r="G67">
        <v>2.4826899999999998</v>
      </c>
      <c r="H67">
        <v>2.8610806000000002</v>
      </c>
      <c r="I67">
        <v>2.5838260000000002</v>
      </c>
      <c r="J67">
        <v>1.5663806</v>
      </c>
      <c r="K67">
        <v>2.3673829</v>
      </c>
      <c r="L67">
        <v>1.6623625</v>
      </c>
      <c r="M67">
        <v>2.6454943000000002</v>
      </c>
      <c r="N67">
        <v>1.0236923</v>
      </c>
      <c r="O67">
        <v>2.2307739</v>
      </c>
      <c r="P67">
        <v>2.4065020000000001</v>
      </c>
      <c r="Q67">
        <v>1.2554567000000001</v>
      </c>
      <c r="R67">
        <v>1.9446454</v>
      </c>
      <c r="S67">
        <v>1.7968785</v>
      </c>
      <c r="T67">
        <v>2.5835870000000001</v>
      </c>
      <c r="U67">
        <v>0.95141469000000001</v>
      </c>
      <c r="V67">
        <v>0.87757708000000001</v>
      </c>
      <c r="W67">
        <v>3.8870518999999999</v>
      </c>
      <c r="X67">
        <v>1.2796836</v>
      </c>
      <c r="Y67">
        <v>1.2536863</v>
      </c>
      <c r="Z67">
        <v>7.6490051000000001</v>
      </c>
      <c r="AA67">
        <v>3.8049664999999999</v>
      </c>
      <c r="AB67">
        <v>2.6672931000000002</v>
      </c>
      <c r="AC67">
        <v>1.5616204</v>
      </c>
      <c r="AD67">
        <v>1.5447976999999999</v>
      </c>
      <c r="AE67">
        <v>0.69923765000000004</v>
      </c>
      <c r="AF67">
        <v>2.3927418</v>
      </c>
      <c r="AG67">
        <v>-0.16112815999999999</v>
      </c>
      <c r="AH67">
        <v>2.4784522999999998</v>
      </c>
      <c r="AI67">
        <v>1.7936386</v>
      </c>
      <c r="AJ67">
        <v>1.3215489</v>
      </c>
      <c r="AK67">
        <v>2.3401380999999999</v>
      </c>
      <c r="AL67">
        <v>2.4371972</v>
      </c>
      <c r="AM67">
        <v>1.8961836999999999</v>
      </c>
      <c r="AN67">
        <v>0.44526503000000001</v>
      </c>
      <c r="AQ67">
        <v>2.0264623982717276</v>
      </c>
      <c r="AR67">
        <v>-0.12343625792338467</v>
      </c>
      <c r="AS67">
        <v>-0.18668908896345687</v>
      </c>
      <c r="AT67">
        <v>5.4759732038581317E-2</v>
      </c>
      <c r="AU67">
        <v>2.3689532842889851E-2</v>
      </c>
      <c r="AV67">
        <v>0.19987698377271837</v>
      </c>
      <c r="AW67">
        <v>2.6665970335405707E-2</v>
      </c>
      <c r="AX67">
        <v>-7.567623960571658E-2</v>
      </c>
      <c r="AY67">
        <v>-9.9399202728092995E-2</v>
      </c>
      <c r="AZ67">
        <v>-0.12836910206190433</v>
      </c>
      <c r="BA67">
        <v>8.2637295266889524E-2</v>
      </c>
      <c r="BB67">
        <v>4.6467223397472841E-2</v>
      </c>
      <c r="BC67">
        <v>0.24838400219146833</v>
      </c>
      <c r="BD67">
        <v>-3.2845884295163608E-2</v>
      </c>
      <c r="BE67">
        <v>-5.313801953038387E-2</v>
      </c>
      <c r="BF67">
        <v>-7.3309500507593772E-2</v>
      </c>
      <c r="BG67">
        <v>-0.24402661864934444</v>
      </c>
      <c r="BH67">
        <v>9.3785688905667172E-2</v>
      </c>
      <c r="BI67">
        <v>3.1059709187128554E-2</v>
      </c>
      <c r="BJ67">
        <v>4.6962019612554248E-3</v>
      </c>
      <c r="BK67">
        <v>0.1373542944813762</v>
      </c>
      <c r="BL67">
        <v>6.9676275702675507E-3</v>
      </c>
      <c r="BM67">
        <v>1.6119362619300952E-2</v>
      </c>
      <c r="BN67">
        <v>-0.12993972947280802</v>
      </c>
      <c r="BO67">
        <v>-6.335809595925683E-2</v>
      </c>
      <c r="BP67">
        <v>-0.13009428444703838</v>
      </c>
      <c r="BQ67">
        <v>0.13863384491036421</v>
      </c>
      <c r="BR67">
        <v>4.9230817109348658E-2</v>
      </c>
      <c r="BS67">
        <v>3.46035098181579E-2</v>
      </c>
      <c r="BT67">
        <v>0.32116297239102604</v>
      </c>
      <c r="BU67">
        <v>-0.64261236905479269</v>
      </c>
      <c r="BV67">
        <v>-0.14229052240171064</v>
      </c>
      <c r="BW67">
        <v>-0.10224926115800884</v>
      </c>
      <c r="BX67">
        <v>4.38003672553164E-2</v>
      </c>
      <c r="BY67">
        <v>0.21318342082692149</v>
      </c>
      <c r="BZ67">
        <v>2.3346575137451177E-2</v>
      </c>
      <c r="CA67">
        <v>-0.15518442729851911</v>
      </c>
      <c r="CB67">
        <v>-7.522749807348264E-2</v>
      </c>
      <c r="CC67">
        <v>0.1412056487291477</v>
      </c>
      <c r="CD67">
        <v>9.2284323054314266E-3</v>
      </c>
    </row>
    <row r="68" spans="2:82" x14ac:dyDescent="0.25">
      <c r="B68">
        <v>1.0409518</v>
      </c>
      <c r="C68">
        <v>3.681152</v>
      </c>
      <c r="D68">
        <v>6.0333404000000002</v>
      </c>
      <c r="E68">
        <v>5.8440447999999998</v>
      </c>
      <c r="F68">
        <v>3.1942415</v>
      </c>
      <c r="G68">
        <v>2.4810713999999998</v>
      </c>
      <c r="H68">
        <v>3.8916886000000002</v>
      </c>
      <c r="I68">
        <v>2.9599975000000001</v>
      </c>
      <c r="J68">
        <v>3.2757101999999998</v>
      </c>
      <c r="K68">
        <v>3.1432978</v>
      </c>
      <c r="L68">
        <v>1.6891700999999999</v>
      </c>
      <c r="M68">
        <v>2.9853600999999998</v>
      </c>
      <c r="N68">
        <v>6.7649653000000004E-2</v>
      </c>
      <c r="O68">
        <v>2.4792911000000002</v>
      </c>
      <c r="P68">
        <v>3.2018536000000002</v>
      </c>
      <c r="Q68">
        <v>2.3144939</v>
      </c>
      <c r="R68">
        <v>2.8710417000000001</v>
      </c>
      <c r="S68">
        <v>2.7027551000000001</v>
      </c>
      <c r="T68">
        <v>5.0545378999999997</v>
      </c>
      <c r="U68">
        <v>-0.35336160999999999</v>
      </c>
      <c r="V68">
        <v>1.1159204</v>
      </c>
      <c r="W68">
        <v>4.6552657999999996</v>
      </c>
      <c r="X68">
        <v>3.0704218999999999</v>
      </c>
      <c r="Y68">
        <v>1.6246442999999999</v>
      </c>
      <c r="Z68">
        <v>3.8049664999999999</v>
      </c>
      <c r="AA68">
        <v>10.603085</v>
      </c>
      <c r="AB68">
        <v>3.0715636000000002</v>
      </c>
      <c r="AC68">
        <v>1.8363141999999999</v>
      </c>
      <c r="AD68">
        <v>1.6744441000000001</v>
      </c>
      <c r="AE68">
        <v>0.96459472000000002</v>
      </c>
      <c r="AF68">
        <v>2.4983818000000002</v>
      </c>
      <c r="AG68">
        <v>2.8889558000000002</v>
      </c>
      <c r="AH68">
        <v>5.0670083999999997</v>
      </c>
      <c r="AI68">
        <v>1.9195930000000001</v>
      </c>
      <c r="AJ68">
        <v>1.5462435000000001</v>
      </c>
      <c r="AK68">
        <v>2.5756676000000001</v>
      </c>
      <c r="AL68">
        <v>2.5942167</v>
      </c>
      <c r="AM68">
        <v>2.4307603000000002</v>
      </c>
      <c r="AN68">
        <v>0.48718122000000003</v>
      </c>
      <c r="AQ68">
        <v>1.9240505022243435</v>
      </c>
      <c r="AR68">
        <v>-5.7888285713103241E-2</v>
      </c>
      <c r="AS68">
        <v>8.302920362920431E-2</v>
      </c>
      <c r="AT68">
        <v>-1.9436509914962666E-2</v>
      </c>
      <c r="AU68">
        <v>-0.21950760277538442</v>
      </c>
      <c r="AV68">
        <v>0.35171851391801012</v>
      </c>
      <c r="AW68">
        <v>-8.9508475398221918E-2</v>
      </c>
      <c r="AX68">
        <v>0.15055614897500655</v>
      </c>
      <c r="AY68">
        <v>-0.21984021018058664</v>
      </c>
      <c r="AZ68">
        <v>3.8204407098543697E-2</v>
      </c>
      <c r="BA68">
        <v>-0.11151838340547582</v>
      </c>
      <c r="BB68">
        <v>-2.3285298428982804E-2</v>
      </c>
      <c r="BC68">
        <v>-7.0406724710654475E-3</v>
      </c>
      <c r="BD68">
        <v>0.10923645601266591</v>
      </c>
      <c r="BE68">
        <v>7.0102339019890283E-2</v>
      </c>
      <c r="BF68">
        <v>0.16649297732379817</v>
      </c>
      <c r="BG68">
        <v>-8.3444938739854535E-2</v>
      </c>
      <c r="BH68">
        <v>-4.4857720844913233E-2</v>
      </c>
      <c r="BI68">
        <v>-0.11706798648841547</v>
      </c>
      <c r="BJ68">
        <v>-6.0996285102686523E-2</v>
      </c>
      <c r="BK68">
        <v>0.17661473044045997</v>
      </c>
      <c r="BL68">
        <v>-2.1819428665458933E-2</v>
      </c>
      <c r="BM68">
        <v>-0.23366493828624377</v>
      </c>
      <c r="BN68">
        <v>-0.34536062719014093</v>
      </c>
      <c r="BO68">
        <v>0.23660037319206059</v>
      </c>
      <c r="BP68">
        <v>-0.12335099324895248</v>
      </c>
      <c r="BQ68">
        <v>0.20780622409913488</v>
      </c>
      <c r="BR68">
        <v>0.18102336586295417</v>
      </c>
      <c r="BS68">
        <v>2.4541429367834822E-2</v>
      </c>
      <c r="BT68">
        <v>-5.7424088884895112E-3</v>
      </c>
      <c r="BU68">
        <v>8.9970805758938538E-2</v>
      </c>
      <c r="BV68">
        <v>9.2356031961427582E-2</v>
      </c>
      <c r="BW68">
        <v>-0.25665068020824783</v>
      </c>
      <c r="BX68">
        <v>0.18561879841208842</v>
      </c>
      <c r="BY68">
        <v>-0.18146618054253569</v>
      </c>
      <c r="BZ68">
        <v>-3.2260172506998794E-2</v>
      </c>
      <c r="CA68">
        <v>0.13087509047193888</v>
      </c>
      <c r="CB68">
        <v>0.27063774438239524</v>
      </c>
      <c r="CC68">
        <v>-0.19242568540529165</v>
      </c>
      <c r="CD68">
        <v>0.14621465753543572</v>
      </c>
    </row>
    <row r="69" spans="2:82" x14ac:dyDescent="0.25">
      <c r="B69">
        <v>1.2728005</v>
      </c>
      <c r="C69">
        <v>3.9519639</v>
      </c>
      <c r="D69">
        <v>8.0844518000000001</v>
      </c>
      <c r="E69">
        <v>6.1965662000000004</v>
      </c>
      <c r="F69">
        <v>4.9048034999999999</v>
      </c>
      <c r="G69">
        <v>2.2564421000000001</v>
      </c>
      <c r="H69">
        <v>3.4225859000000001</v>
      </c>
      <c r="I69">
        <v>3.1265752999999998</v>
      </c>
      <c r="J69">
        <v>3.264532</v>
      </c>
      <c r="K69">
        <v>2.2492744</v>
      </c>
      <c r="L69">
        <v>1.5470299999999999</v>
      </c>
      <c r="M69">
        <v>2.3833383000000001</v>
      </c>
      <c r="N69">
        <v>0.72849027</v>
      </c>
      <c r="O69">
        <v>1.9669892</v>
      </c>
      <c r="P69">
        <v>2.3918270000000001</v>
      </c>
      <c r="Q69">
        <v>1.4419101000000001</v>
      </c>
      <c r="R69">
        <v>1.9835273</v>
      </c>
      <c r="S69">
        <v>1.6440199</v>
      </c>
      <c r="T69">
        <v>2.9783770999999999</v>
      </c>
      <c r="U69">
        <v>1.0110212999999999</v>
      </c>
      <c r="V69">
        <v>0.66645734000000001</v>
      </c>
      <c r="W69">
        <v>5.115119</v>
      </c>
      <c r="X69">
        <v>2.0580227</v>
      </c>
      <c r="Y69">
        <v>1.6128690000000001</v>
      </c>
      <c r="Z69">
        <v>2.6672931000000002</v>
      </c>
      <c r="AA69">
        <v>3.0715636000000002</v>
      </c>
      <c r="AB69">
        <v>5.8916724</v>
      </c>
      <c r="AC69">
        <v>0.36242274000000002</v>
      </c>
      <c r="AD69">
        <v>1.4788428</v>
      </c>
      <c r="AE69">
        <v>0.79646824999999999</v>
      </c>
      <c r="AF69">
        <v>2.5007476</v>
      </c>
      <c r="AG69">
        <v>2.2314362999999999</v>
      </c>
      <c r="AH69">
        <v>2.6368607000000002</v>
      </c>
      <c r="AI69">
        <v>1.9378171</v>
      </c>
      <c r="AJ69">
        <v>0.94038964999999997</v>
      </c>
      <c r="AK69">
        <v>2.4024453000000001</v>
      </c>
      <c r="AL69">
        <v>1.9450574</v>
      </c>
      <c r="AM69">
        <v>1.8137501</v>
      </c>
      <c r="AN69">
        <v>0.42199513</v>
      </c>
      <c r="AQ69">
        <v>1.7053328288264336</v>
      </c>
      <c r="AR69">
        <v>-2.2315493310216065E-4</v>
      </c>
      <c r="AS69">
        <v>9.7934252036830483E-2</v>
      </c>
      <c r="AT69">
        <v>-6.422860809063298E-2</v>
      </c>
      <c r="AU69">
        <v>-5.853994007636238E-2</v>
      </c>
      <c r="AV69">
        <v>-2.6443787208770948E-2</v>
      </c>
      <c r="AW69">
        <v>-1.9524274249073541E-2</v>
      </c>
      <c r="AX69">
        <v>-1.7529701992686032E-2</v>
      </c>
      <c r="AY69">
        <v>0.12209353202505947</v>
      </c>
      <c r="AZ69">
        <v>0.16641594125725193</v>
      </c>
      <c r="BA69">
        <v>-7.8493662935355105E-2</v>
      </c>
      <c r="BB69">
        <v>-1.663018508855045E-2</v>
      </c>
      <c r="BC69">
        <v>-0.16421496611431119</v>
      </c>
      <c r="BD69">
        <v>-0.23150657793805915</v>
      </c>
      <c r="BE69">
        <v>0.33694146456042573</v>
      </c>
      <c r="BF69">
        <v>0.22797409714156991</v>
      </c>
      <c r="BG69">
        <v>-0.13684445751728355</v>
      </c>
      <c r="BH69">
        <v>-9.3282873472018954E-2</v>
      </c>
      <c r="BI69">
        <v>9.7516795069397241E-2</v>
      </c>
      <c r="BJ69">
        <v>6.321315775645224E-2</v>
      </c>
      <c r="BK69">
        <v>-0.1103551552230632</v>
      </c>
      <c r="BL69">
        <v>0.16650062861883497</v>
      </c>
      <c r="BM69">
        <v>0.12180618498677276</v>
      </c>
      <c r="BN69">
        <v>1.3949531758348791E-2</v>
      </c>
      <c r="BO69">
        <v>-7.3140827395728858E-2</v>
      </c>
      <c r="BP69">
        <v>0.10598433567201958</v>
      </c>
      <c r="BQ69">
        <v>-8.1295292222737903E-2</v>
      </c>
      <c r="BR69">
        <v>-0.1367357278460031</v>
      </c>
      <c r="BS69">
        <v>-0.1651402524190895</v>
      </c>
      <c r="BT69">
        <v>0.26277783295329793</v>
      </c>
      <c r="BU69">
        <v>-0.22326200617631656</v>
      </c>
      <c r="BV69">
        <v>-0.27411442242622525</v>
      </c>
      <c r="BW69">
        <v>9.0444405837775077E-2</v>
      </c>
      <c r="BX69">
        <v>-0.14386920024780336</v>
      </c>
      <c r="BY69">
        <v>-0.1995480076722411</v>
      </c>
      <c r="BZ69">
        <v>-4.9754369098122829E-2</v>
      </c>
      <c r="CA69">
        <v>0.15053365565659302</v>
      </c>
      <c r="CB69">
        <v>0.14682880848978805</v>
      </c>
      <c r="CC69">
        <v>-0.15763249722182454</v>
      </c>
      <c r="CD69">
        <v>0.43250925539818663</v>
      </c>
    </row>
    <row r="70" spans="2:82" x14ac:dyDescent="0.25">
      <c r="B70">
        <v>0.60993147999999997</v>
      </c>
      <c r="C70">
        <v>1.8616417999999999</v>
      </c>
      <c r="D70">
        <v>0.64314380000000004</v>
      </c>
      <c r="E70">
        <v>2.8083149000000001</v>
      </c>
      <c r="F70">
        <v>2.3402938999999998</v>
      </c>
      <c r="G70">
        <v>1.5635041999999999</v>
      </c>
      <c r="H70">
        <v>1.6043793</v>
      </c>
      <c r="I70">
        <v>1.5183761</v>
      </c>
      <c r="J70">
        <v>1.6451115999999999</v>
      </c>
      <c r="K70">
        <v>1.4546329</v>
      </c>
      <c r="L70">
        <v>0.95899699000000005</v>
      </c>
      <c r="M70">
        <v>0.91887721</v>
      </c>
      <c r="N70">
        <v>0.52533708999999995</v>
      </c>
      <c r="O70">
        <v>0.61713284999999996</v>
      </c>
      <c r="P70">
        <v>1.4190284</v>
      </c>
      <c r="Q70">
        <v>0.65745902000000001</v>
      </c>
      <c r="R70">
        <v>1.2193354000000001</v>
      </c>
      <c r="S70">
        <v>1.0908382000000001</v>
      </c>
      <c r="T70">
        <v>1.4727783999999999</v>
      </c>
      <c r="U70">
        <v>0.50482415000000003</v>
      </c>
      <c r="V70">
        <v>0.48238242999999997</v>
      </c>
      <c r="W70">
        <v>1.9318535999999999</v>
      </c>
      <c r="X70">
        <v>0.85768577000000001</v>
      </c>
      <c r="Y70">
        <v>0.87169733999999999</v>
      </c>
      <c r="Z70">
        <v>1.5616204</v>
      </c>
      <c r="AA70">
        <v>1.8363141999999999</v>
      </c>
      <c r="AB70">
        <v>0.36242274000000002</v>
      </c>
      <c r="AC70">
        <v>4.8368707000000004</v>
      </c>
      <c r="AD70">
        <v>0.41113386000000002</v>
      </c>
      <c r="AE70">
        <v>-1.2095061000000001E-2</v>
      </c>
      <c r="AF70">
        <v>1.158506</v>
      </c>
      <c r="AG70">
        <v>1.4545165</v>
      </c>
      <c r="AH70">
        <v>1.2236157000000001</v>
      </c>
      <c r="AI70">
        <v>0.63025142000000001</v>
      </c>
      <c r="AJ70">
        <v>0.87375208999999998</v>
      </c>
      <c r="AK70">
        <v>0.56242592999999996</v>
      </c>
      <c r="AL70">
        <v>1.4419862000000001</v>
      </c>
      <c r="AM70">
        <v>0.81908650999999999</v>
      </c>
      <c r="AN70">
        <v>0.36061823999999998</v>
      </c>
      <c r="AQ70">
        <v>1.5558062455849999</v>
      </c>
      <c r="AR70">
        <v>-6.6370195112945035E-2</v>
      </c>
      <c r="AS70">
        <v>-2.5785283352188978E-2</v>
      </c>
      <c r="AT70">
        <v>1.30310139406943E-2</v>
      </c>
      <c r="AU70">
        <v>0.20345752959417718</v>
      </c>
      <c r="AV70">
        <v>-0.12106829316900693</v>
      </c>
      <c r="AW70">
        <v>-0.17271328611051026</v>
      </c>
      <c r="AX70">
        <v>-4.7462622794673129E-2</v>
      </c>
      <c r="AY70">
        <v>-9.5927233844003094E-3</v>
      </c>
      <c r="AZ70">
        <v>-1.9970520414654396E-2</v>
      </c>
      <c r="BA70">
        <v>0.13971089675886694</v>
      </c>
      <c r="BB70">
        <v>0.20085918912784148</v>
      </c>
      <c r="BC70">
        <v>4.1738692411456779E-2</v>
      </c>
      <c r="BD70">
        <v>-2.652384352306068E-2</v>
      </c>
      <c r="BE70">
        <v>-0.2013618992818404</v>
      </c>
      <c r="BF70">
        <v>-0.15690254067489995</v>
      </c>
      <c r="BG70">
        <v>4.385496444002504E-2</v>
      </c>
      <c r="BH70">
        <v>0.18223220140981486</v>
      </c>
      <c r="BI70">
        <v>-0.19644661059268045</v>
      </c>
      <c r="BJ70">
        <v>-4.5922204637215851E-2</v>
      </c>
      <c r="BK70">
        <v>2.1820245247822462E-3</v>
      </c>
      <c r="BL70">
        <v>-1.6852174765030682E-2</v>
      </c>
      <c r="BM70">
        <v>-0.20609996041404655</v>
      </c>
      <c r="BN70">
        <v>0.19925468352203854</v>
      </c>
      <c r="BO70">
        <v>0.21341985838565702</v>
      </c>
      <c r="BP70">
        <v>6.6490238102272947E-2</v>
      </c>
      <c r="BQ70">
        <v>-5.53316554241223E-2</v>
      </c>
      <c r="BR70">
        <v>-5.5357116499792795E-2</v>
      </c>
      <c r="BS70">
        <v>-0.10629006883317449</v>
      </c>
      <c r="BT70">
        <v>-0.14881619165279056</v>
      </c>
      <c r="BU70">
        <v>-0.34436805120334207</v>
      </c>
      <c r="BV70">
        <v>0.37291237583808545</v>
      </c>
      <c r="BW70">
        <v>9.3810641353069338E-2</v>
      </c>
      <c r="BX70">
        <v>6.2055235723449099E-2</v>
      </c>
      <c r="BY70">
        <v>-0.25804655229236567</v>
      </c>
      <c r="BZ70">
        <v>5.932761397634826E-2</v>
      </c>
      <c r="CA70">
        <v>0.22851895481084836</v>
      </c>
      <c r="CB70">
        <v>-4.9611762715202935E-2</v>
      </c>
      <c r="CC70">
        <v>-0.12302405976014273</v>
      </c>
      <c r="CD70">
        <v>0.34726329606858258</v>
      </c>
    </row>
    <row r="71" spans="2:82" x14ac:dyDescent="0.25">
      <c r="B71">
        <v>0.65558917999999999</v>
      </c>
      <c r="C71">
        <v>1.7080378000000001</v>
      </c>
      <c r="D71">
        <v>3.2059519000000001</v>
      </c>
      <c r="E71">
        <v>2.783852</v>
      </c>
      <c r="F71">
        <v>2.2747693</v>
      </c>
      <c r="G71">
        <v>1.5619139</v>
      </c>
      <c r="H71">
        <v>1.6505384999999999</v>
      </c>
      <c r="I71">
        <v>1.5173972</v>
      </c>
      <c r="J71">
        <v>1.8287198</v>
      </c>
      <c r="K71">
        <v>1.3611759000000001</v>
      </c>
      <c r="L71">
        <v>0.95594842999999996</v>
      </c>
      <c r="M71">
        <v>1.6045974000000001</v>
      </c>
      <c r="N71">
        <v>0.5143238</v>
      </c>
      <c r="O71">
        <v>1.5715623000000001</v>
      </c>
      <c r="P71">
        <v>1.2987305</v>
      </c>
      <c r="Q71">
        <v>0.50792676999999997</v>
      </c>
      <c r="R71">
        <v>2.3782193</v>
      </c>
      <c r="S71">
        <v>1.1753207999999999</v>
      </c>
      <c r="T71">
        <v>1.5212137999999999</v>
      </c>
      <c r="U71">
        <v>0.41861823999999997</v>
      </c>
      <c r="V71">
        <v>0.48030148</v>
      </c>
      <c r="W71">
        <v>2.2136263999999999</v>
      </c>
      <c r="X71">
        <v>1.1512358</v>
      </c>
      <c r="Y71">
        <v>0.9530959</v>
      </c>
      <c r="Z71">
        <v>1.5447976999999999</v>
      </c>
      <c r="AA71">
        <v>1.6744441000000001</v>
      </c>
      <c r="AB71">
        <v>1.4788428</v>
      </c>
      <c r="AC71">
        <v>0.41113386000000002</v>
      </c>
      <c r="AD71">
        <v>3.1664954999999999</v>
      </c>
      <c r="AE71">
        <v>0.70813654000000004</v>
      </c>
      <c r="AF71">
        <v>1.8167044000000001</v>
      </c>
      <c r="AG71">
        <v>1.2955576</v>
      </c>
      <c r="AH71">
        <v>1.4716695</v>
      </c>
      <c r="AI71">
        <v>1.1272135000000001</v>
      </c>
      <c r="AJ71">
        <v>0.65853024000000004</v>
      </c>
      <c r="AK71">
        <v>1.4314172000000001</v>
      </c>
      <c r="AL71">
        <v>1.4994776999999999</v>
      </c>
      <c r="AM71">
        <v>1.1387932000000001</v>
      </c>
      <c r="AN71">
        <v>-0.10862276999999999</v>
      </c>
      <c r="AQ71">
        <v>1.4679142095564461</v>
      </c>
      <c r="AR71">
        <v>1.202585085620422E-2</v>
      </c>
      <c r="AS71">
        <v>3.6445400458278238E-2</v>
      </c>
      <c r="AT71">
        <v>2.6738626268079362E-2</v>
      </c>
      <c r="AU71">
        <v>-4.487348574674617E-2</v>
      </c>
      <c r="AV71">
        <v>0.11138050132360126</v>
      </c>
      <c r="AW71">
        <v>-0.29643054609201003</v>
      </c>
      <c r="AX71">
        <v>0.14827419473545725</v>
      </c>
      <c r="AY71">
        <v>-0.20157453808865236</v>
      </c>
      <c r="AZ71">
        <v>7.7653405796964031E-2</v>
      </c>
      <c r="BA71">
        <v>9.9465344760286539E-2</v>
      </c>
      <c r="BB71">
        <v>0.11266985833680844</v>
      </c>
      <c r="BC71">
        <v>1.4505042028101956E-2</v>
      </c>
      <c r="BD71">
        <v>-9.3885705775653888E-2</v>
      </c>
      <c r="BE71">
        <v>6.8410039099997003E-2</v>
      </c>
      <c r="BF71">
        <v>-1.2774567903092608E-2</v>
      </c>
      <c r="BG71">
        <v>-0.12660586391575651</v>
      </c>
      <c r="BH71">
        <v>-9.4897489655015557E-2</v>
      </c>
      <c r="BI71">
        <v>0.34993897361734594</v>
      </c>
      <c r="BJ71">
        <v>0.17223798035239826</v>
      </c>
      <c r="BK71">
        <v>-0.12865002769725109</v>
      </c>
      <c r="BL71">
        <v>-0.15069742485975518</v>
      </c>
      <c r="BM71">
        <v>-0.36942563073425622</v>
      </c>
      <c r="BN71">
        <v>5.4495676347461018E-2</v>
      </c>
      <c r="BO71">
        <v>0.37426174606478813</v>
      </c>
      <c r="BP71">
        <v>0.21776022814395196</v>
      </c>
      <c r="BQ71">
        <v>-4.6925249330878327E-2</v>
      </c>
      <c r="BR71">
        <v>0.12590974396277324</v>
      </c>
      <c r="BS71">
        <v>5.5438951894407146E-2</v>
      </c>
      <c r="BT71">
        <v>6.0592243154020703E-2</v>
      </c>
      <c r="BU71">
        <v>6.9946783148579481E-2</v>
      </c>
      <c r="BV71">
        <v>-9.2532446089523851E-2</v>
      </c>
      <c r="BW71">
        <v>0.12227013847741651</v>
      </c>
      <c r="BX71">
        <v>-0.32157356242808149</v>
      </c>
      <c r="BY71">
        <v>6.7893682558538115E-2</v>
      </c>
      <c r="BZ71">
        <v>3.794303768615636E-2</v>
      </c>
      <c r="CA71">
        <v>-7.4481982780025019E-2</v>
      </c>
      <c r="CB71">
        <v>-0.24219720902147401</v>
      </c>
      <c r="CC71">
        <v>0.13989890624968995</v>
      </c>
      <c r="CD71">
        <v>-2.4922203005850414E-2</v>
      </c>
    </row>
    <row r="72" spans="2:82" x14ac:dyDescent="0.25">
      <c r="B72">
        <v>0.34102569999999999</v>
      </c>
      <c r="C72">
        <v>0.87129542000000004</v>
      </c>
      <c r="D72">
        <v>1.5698361000000001</v>
      </c>
      <c r="E72">
        <v>1.3364316999999999</v>
      </c>
      <c r="F72">
        <v>1.1917702999999999</v>
      </c>
      <c r="G72">
        <v>0.82880852999999999</v>
      </c>
      <c r="H72">
        <v>0.85823748</v>
      </c>
      <c r="I72">
        <v>0.79926956999999998</v>
      </c>
      <c r="J72">
        <v>1.1553621999999999</v>
      </c>
      <c r="K72">
        <v>1.0886239</v>
      </c>
      <c r="L72">
        <v>0.63180970000000003</v>
      </c>
      <c r="M72">
        <v>0.98495178999999999</v>
      </c>
      <c r="N72">
        <v>0.48234380999999998</v>
      </c>
      <c r="O72">
        <v>0.83355221999999995</v>
      </c>
      <c r="P72">
        <v>0.75575093000000004</v>
      </c>
      <c r="Q72">
        <v>0.71707491000000001</v>
      </c>
      <c r="R72">
        <v>0.84918676999999998</v>
      </c>
      <c r="S72">
        <v>0.74849714000000001</v>
      </c>
      <c r="T72">
        <v>0.91811925999999999</v>
      </c>
      <c r="U72">
        <v>0.24005642999999999</v>
      </c>
      <c r="V72">
        <v>0.31829527000000002</v>
      </c>
      <c r="W72">
        <v>1.2249156999999999</v>
      </c>
      <c r="X72">
        <v>0.73523344999999996</v>
      </c>
      <c r="Y72">
        <v>0.49196287999999999</v>
      </c>
      <c r="Z72">
        <v>0.69923765000000004</v>
      </c>
      <c r="AA72">
        <v>0.96459472000000002</v>
      </c>
      <c r="AB72">
        <v>0.79646824999999999</v>
      </c>
      <c r="AC72">
        <v>-1.2095061000000001E-2</v>
      </c>
      <c r="AD72">
        <v>0.70813654000000004</v>
      </c>
      <c r="AE72">
        <v>2.2954924999999999</v>
      </c>
      <c r="AF72">
        <v>1.0774575</v>
      </c>
      <c r="AG72">
        <v>0.79549966000000005</v>
      </c>
      <c r="AH72">
        <v>0.84280297999999998</v>
      </c>
      <c r="AI72">
        <v>0.60388613000000002</v>
      </c>
      <c r="AJ72">
        <v>0.76576705</v>
      </c>
      <c r="AK72">
        <v>0.58724337000000004</v>
      </c>
      <c r="AL72">
        <v>0.99488779999999999</v>
      </c>
      <c r="AM72">
        <v>0.63328737999999996</v>
      </c>
      <c r="AN72">
        <v>0.24217752000000001</v>
      </c>
      <c r="AQ72">
        <v>1.3283713620515176</v>
      </c>
      <c r="AR72">
        <v>-0.17054284536069275</v>
      </c>
      <c r="AS72">
        <v>6.2867863090355094E-2</v>
      </c>
      <c r="AT72">
        <v>-0.12520715104210384</v>
      </c>
      <c r="AU72">
        <v>0.10983296842426563</v>
      </c>
      <c r="AV72">
        <v>-6.2230610936751897E-2</v>
      </c>
      <c r="AW72">
        <v>3.127126007480964E-2</v>
      </c>
      <c r="AX72">
        <v>3.7508877246814537E-2</v>
      </c>
      <c r="AY72">
        <v>1.7024077462286787E-2</v>
      </c>
      <c r="AZ72">
        <v>1.1312697176779489E-2</v>
      </c>
      <c r="BA72">
        <v>-9.6064847325356195E-2</v>
      </c>
      <c r="BB72">
        <v>0.47817170177359081</v>
      </c>
      <c r="BC72">
        <v>-0.11582393925730902</v>
      </c>
      <c r="BD72">
        <v>0.11399357344695683</v>
      </c>
      <c r="BE72">
        <v>-4.6503356532595574E-2</v>
      </c>
      <c r="BF72">
        <v>0.13551588587075852</v>
      </c>
      <c r="BG72">
        <v>0.28947950273026796</v>
      </c>
      <c r="BH72">
        <v>8.2880467970276039E-2</v>
      </c>
      <c r="BI72">
        <v>-0.28577336319720043</v>
      </c>
      <c r="BJ72">
        <v>-5.3303763898298044E-2</v>
      </c>
      <c r="BK72">
        <v>-5.7930713219430656E-2</v>
      </c>
      <c r="BL72">
        <v>8.2270293011244847E-2</v>
      </c>
      <c r="BM72">
        <v>-0.1578797550503579</v>
      </c>
      <c r="BN72">
        <v>4.6632603100677246E-2</v>
      </c>
      <c r="BO72">
        <v>0.17936107607191681</v>
      </c>
      <c r="BP72">
        <v>7.2601571002181536E-2</v>
      </c>
      <c r="BQ72">
        <v>-5.1668597351204291E-2</v>
      </c>
      <c r="BR72">
        <v>0.14944378550396348</v>
      </c>
      <c r="BS72">
        <v>-0.15048471415279951</v>
      </c>
      <c r="BT72">
        <v>4.9554955504889857E-2</v>
      </c>
      <c r="BU72">
        <v>-9.7219524988801403E-2</v>
      </c>
      <c r="BV72">
        <v>-0.42920798873371657</v>
      </c>
      <c r="BW72">
        <v>9.2895210758670313E-2</v>
      </c>
      <c r="BX72">
        <v>3.2620846771548452E-2</v>
      </c>
      <c r="BY72">
        <v>0.12728793744526212</v>
      </c>
      <c r="BZ72">
        <v>-3.0559091324334122E-2</v>
      </c>
      <c r="CA72">
        <v>-0.10370705936124033</v>
      </c>
      <c r="CB72">
        <v>0.2508262792500911</v>
      </c>
      <c r="CC72">
        <v>-6.1998922995801595E-3</v>
      </c>
      <c r="CD72">
        <v>-0.23147270613455917</v>
      </c>
    </row>
    <row r="73" spans="2:82" x14ac:dyDescent="0.25">
      <c r="B73">
        <v>1.1184973</v>
      </c>
      <c r="C73">
        <v>2.7365465000000002</v>
      </c>
      <c r="D73">
        <v>5.1614709999999997</v>
      </c>
      <c r="E73">
        <v>4.2333483000000003</v>
      </c>
      <c r="F73">
        <v>3.5329402999999999</v>
      </c>
      <c r="G73">
        <v>2.4722624999999998</v>
      </c>
      <c r="H73">
        <v>2.3314816</v>
      </c>
      <c r="I73">
        <v>2.4110575999999999</v>
      </c>
      <c r="J73">
        <v>3.0457619999999999</v>
      </c>
      <c r="K73">
        <v>2.6424761999999999</v>
      </c>
      <c r="L73">
        <v>1.6333812999999999</v>
      </c>
      <c r="M73">
        <v>2.6470568000000001</v>
      </c>
      <c r="N73">
        <v>1.2896019000000001</v>
      </c>
      <c r="O73">
        <v>2.6563067</v>
      </c>
      <c r="P73">
        <v>2.1634814000000002</v>
      </c>
      <c r="Q73">
        <v>1.6559632</v>
      </c>
      <c r="R73">
        <v>2.7718796999999999</v>
      </c>
      <c r="S73">
        <v>1.7636479</v>
      </c>
      <c r="T73">
        <v>2.6939747999999999</v>
      </c>
      <c r="U73">
        <v>0.76157993999999996</v>
      </c>
      <c r="V73">
        <v>0.67193064000000002</v>
      </c>
      <c r="W73">
        <v>3.7084514999999998</v>
      </c>
      <c r="X73">
        <v>1.8936812000000001</v>
      </c>
      <c r="Y73">
        <v>1.7312323000000001</v>
      </c>
      <c r="Z73">
        <v>2.3927418</v>
      </c>
      <c r="AA73">
        <v>2.4983818000000002</v>
      </c>
      <c r="AB73">
        <v>2.5007476</v>
      </c>
      <c r="AC73">
        <v>1.158506</v>
      </c>
      <c r="AD73">
        <v>1.8167044000000001</v>
      </c>
      <c r="AE73">
        <v>1.0774575</v>
      </c>
      <c r="AF73">
        <v>4.0512343</v>
      </c>
      <c r="AG73">
        <v>1.7965363000000001</v>
      </c>
      <c r="AH73">
        <v>2.4449646999999999</v>
      </c>
      <c r="AI73">
        <v>2.1741850999999999</v>
      </c>
      <c r="AJ73">
        <v>1.6991331999999999</v>
      </c>
      <c r="AK73">
        <v>2.6227453999999999</v>
      </c>
      <c r="AL73">
        <v>2.5125196999999999</v>
      </c>
      <c r="AM73">
        <v>2.2534285000000001</v>
      </c>
      <c r="AN73">
        <v>0.51833843000000002</v>
      </c>
      <c r="AQ73">
        <v>1.2935469216220143</v>
      </c>
      <c r="AR73">
        <v>3.1279971229707118E-2</v>
      </c>
      <c r="AS73">
        <v>2.0468920722793865E-2</v>
      </c>
      <c r="AT73">
        <v>-6.427248286036634E-2</v>
      </c>
      <c r="AU73">
        <v>2.4314647766958471E-2</v>
      </c>
      <c r="AV73">
        <v>-6.4126665947272204E-2</v>
      </c>
      <c r="AW73">
        <v>0.1377604479602316</v>
      </c>
      <c r="AX73">
        <v>6.7230662237855704E-2</v>
      </c>
      <c r="AY73">
        <v>-1.3643648547689772E-2</v>
      </c>
      <c r="AZ73">
        <v>-9.7273272575681941E-2</v>
      </c>
      <c r="BA73">
        <v>-5.8468512838235419E-2</v>
      </c>
      <c r="BB73">
        <v>0.25202500087434876</v>
      </c>
      <c r="BC73">
        <v>-8.9813425196410321E-2</v>
      </c>
      <c r="BD73">
        <v>-0.17167337823256806</v>
      </c>
      <c r="BE73">
        <v>0.27670193161873385</v>
      </c>
      <c r="BF73">
        <v>8.706267064341762E-2</v>
      </c>
      <c r="BG73">
        <v>-3.9302417052430372E-2</v>
      </c>
      <c r="BH73">
        <v>-0.27578973183018174</v>
      </c>
      <c r="BI73">
        <v>-3.6383991062275328E-2</v>
      </c>
      <c r="BJ73">
        <v>0.25738491295188903</v>
      </c>
      <c r="BK73">
        <v>-6.5880906710919132E-2</v>
      </c>
      <c r="BL73">
        <v>7.578807679144639E-2</v>
      </c>
      <c r="BM73">
        <v>-1.2891779060978699E-2</v>
      </c>
      <c r="BN73">
        <v>-5.8769869125273357E-2</v>
      </c>
      <c r="BO73">
        <v>-4.1852587762549062E-2</v>
      </c>
      <c r="BP73">
        <v>-0.14414753447121609</v>
      </c>
      <c r="BQ73">
        <v>4.1331723993801438E-2</v>
      </c>
      <c r="BR73">
        <v>1.5809706763057027E-2</v>
      </c>
      <c r="BS73">
        <v>-8.3577120219963982E-2</v>
      </c>
      <c r="BT73">
        <v>-0.11446511823124871</v>
      </c>
      <c r="BU73">
        <v>-0.21803768546806507</v>
      </c>
      <c r="BV73">
        <v>0.5472515461627947</v>
      </c>
      <c r="BW73">
        <v>-5.1555200492206181E-2</v>
      </c>
      <c r="BX73">
        <v>-0.27920427526264957</v>
      </c>
      <c r="BY73">
        <v>9.2213862457378518E-2</v>
      </c>
      <c r="BZ73">
        <v>-6.1960082264090874E-2</v>
      </c>
      <c r="CA73">
        <v>-0.13995413596736545</v>
      </c>
      <c r="CB73">
        <v>0.18068218651230697</v>
      </c>
      <c r="CC73">
        <v>-5.8662441882296197E-2</v>
      </c>
      <c r="CD73">
        <v>-0.26247811243445202</v>
      </c>
    </row>
    <row r="74" spans="2:82" x14ac:dyDescent="0.25">
      <c r="B74">
        <v>0.85561087999999996</v>
      </c>
      <c r="C74">
        <v>2.6562459</v>
      </c>
      <c r="D74">
        <v>4.7954672</v>
      </c>
      <c r="E74">
        <v>3.7214306000000001</v>
      </c>
      <c r="F74">
        <v>2.8307237000000001</v>
      </c>
      <c r="G74">
        <v>2.3575629999999999</v>
      </c>
      <c r="H74">
        <v>2.0179778000000002</v>
      </c>
      <c r="I74">
        <v>1.7539142999999999</v>
      </c>
      <c r="J74">
        <v>2.1424496</v>
      </c>
      <c r="K74">
        <v>1.7875257</v>
      </c>
      <c r="L74">
        <v>1.0301568999999999</v>
      </c>
      <c r="M74">
        <v>2.0175871999999999</v>
      </c>
      <c r="N74">
        <v>0.64380366</v>
      </c>
      <c r="O74">
        <v>1.3522634</v>
      </c>
      <c r="P74">
        <v>2.2436669999999999</v>
      </c>
      <c r="Q74">
        <v>1.1059916999999999</v>
      </c>
      <c r="R74">
        <v>1.7085106000000001</v>
      </c>
      <c r="S74">
        <v>1.8027545</v>
      </c>
      <c r="T74">
        <v>2.7485154999999999</v>
      </c>
      <c r="U74">
        <v>0.72640899000000003</v>
      </c>
      <c r="V74">
        <v>0.58686344000000001</v>
      </c>
      <c r="W74">
        <v>3.1425538999999998</v>
      </c>
      <c r="X74">
        <v>1.5339898999999999</v>
      </c>
      <c r="Y74">
        <v>1.793784</v>
      </c>
      <c r="Z74">
        <v>-0.16112815999999999</v>
      </c>
      <c r="AA74">
        <v>2.8889558000000002</v>
      </c>
      <c r="AB74">
        <v>2.2314362999999999</v>
      </c>
      <c r="AC74">
        <v>1.4545165</v>
      </c>
      <c r="AD74">
        <v>1.2955576</v>
      </c>
      <c r="AE74">
        <v>0.79549966000000005</v>
      </c>
      <c r="AF74">
        <v>1.7965363000000001</v>
      </c>
      <c r="AG74">
        <v>6.3433994</v>
      </c>
      <c r="AH74">
        <v>2.4572457000000001</v>
      </c>
      <c r="AI74">
        <v>1.2335465000000001</v>
      </c>
      <c r="AJ74">
        <v>1.2592095000000001</v>
      </c>
      <c r="AK74">
        <v>1.4932700000000001</v>
      </c>
      <c r="AL74">
        <v>1.9683330000000001</v>
      </c>
      <c r="AM74">
        <v>1.1993933999999999</v>
      </c>
      <c r="AN74">
        <v>0.54979073000000001</v>
      </c>
      <c r="AQ74">
        <v>1.0867027139821379</v>
      </c>
      <c r="AR74">
        <v>0.40691133194570239</v>
      </c>
      <c r="AS74">
        <v>-6.3841815581514444E-2</v>
      </c>
      <c r="AT74">
        <v>-1.5712739376378061E-2</v>
      </c>
      <c r="AU74">
        <v>2.7912024955917859E-2</v>
      </c>
      <c r="AV74">
        <v>-0.23166343560284527</v>
      </c>
      <c r="AW74">
        <v>0.23052409778941302</v>
      </c>
      <c r="AX74">
        <v>8.2772767790455726E-2</v>
      </c>
      <c r="AY74">
        <v>-5.0796847711123402E-2</v>
      </c>
      <c r="AZ74">
        <v>-0.24420627902011921</v>
      </c>
      <c r="BA74">
        <v>2.48050052492086E-2</v>
      </c>
      <c r="BB74">
        <v>0.38963780610858534</v>
      </c>
      <c r="BC74">
        <v>-5.3788240874078637E-2</v>
      </c>
      <c r="BD74">
        <v>-4.2372743003866575E-3</v>
      </c>
      <c r="BE74">
        <v>-4.3166231688622353E-2</v>
      </c>
      <c r="BF74">
        <v>7.6470080875701944E-3</v>
      </c>
      <c r="BG74">
        <v>-0.15402991584878997</v>
      </c>
      <c r="BH74">
        <v>5.8613462175911131E-2</v>
      </c>
      <c r="BI74">
        <v>2.6708142465908163E-2</v>
      </c>
      <c r="BJ74">
        <v>0.12105918846548801</v>
      </c>
      <c r="BK74">
        <v>-1.0439402416864425E-3</v>
      </c>
      <c r="BL74">
        <v>-0.23168200795737792</v>
      </c>
      <c r="BM74">
        <v>7.7773419986046782E-2</v>
      </c>
      <c r="BN74">
        <v>0.13840320753137403</v>
      </c>
      <c r="BO74">
        <v>1.9879336363438752E-2</v>
      </c>
      <c r="BP74">
        <v>-0.28892313580498435</v>
      </c>
      <c r="BQ74">
        <v>7.9776634939979166E-3</v>
      </c>
      <c r="BR74">
        <v>0.23147340635406996</v>
      </c>
      <c r="BS74">
        <v>0.15077864719648867</v>
      </c>
      <c r="BT74">
        <v>0.14847210350691806</v>
      </c>
      <c r="BU74">
        <v>0.15297969808714801</v>
      </c>
      <c r="BV74">
        <v>-0.15342602695505025</v>
      </c>
      <c r="BW74">
        <v>-0.25679615399092132</v>
      </c>
      <c r="BX74">
        <v>-3.5004334655504545E-2</v>
      </c>
      <c r="BY74">
        <v>-0.11908226278756678</v>
      </c>
      <c r="BZ74">
        <v>1.505820442812103E-2</v>
      </c>
      <c r="CA74">
        <v>9.9418215005497024E-2</v>
      </c>
      <c r="CB74">
        <v>-6.8599906848576211E-2</v>
      </c>
      <c r="CC74">
        <v>-2.0175614442986656E-2</v>
      </c>
      <c r="CD74">
        <v>0.22126225334780533</v>
      </c>
    </row>
    <row r="75" spans="2:82" x14ac:dyDescent="0.25">
      <c r="B75">
        <v>0.96996844000000004</v>
      </c>
      <c r="C75">
        <v>2.9341287</v>
      </c>
      <c r="D75">
        <v>5.0439293000000003</v>
      </c>
      <c r="E75">
        <v>4.8165839999999998</v>
      </c>
      <c r="F75">
        <v>3.5961254999999999</v>
      </c>
      <c r="G75">
        <v>2.3995909000000002</v>
      </c>
      <c r="H75">
        <v>3.0401634</v>
      </c>
      <c r="I75">
        <v>2.6402633999999998</v>
      </c>
      <c r="J75">
        <v>3.2981557000000001</v>
      </c>
      <c r="K75">
        <v>2.8077527999999998</v>
      </c>
      <c r="L75">
        <v>1.5430203</v>
      </c>
      <c r="M75">
        <v>2.5292815000000002</v>
      </c>
      <c r="N75">
        <v>-3.0133355000000001E-2</v>
      </c>
      <c r="O75">
        <v>2.2939560999999999</v>
      </c>
      <c r="P75">
        <v>2.8486706000000002</v>
      </c>
      <c r="Q75">
        <v>2.6121791999999999</v>
      </c>
      <c r="R75">
        <v>2.9302988000000001</v>
      </c>
      <c r="S75">
        <v>2.9002213000000001</v>
      </c>
      <c r="T75">
        <v>5.8539867000000001</v>
      </c>
      <c r="U75">
        <v>0.52972571000000002</v>
      </c>
      <c r="V75">
        <v>0.75863570999999996</v>
      </c>
      <c r="W75">
        <v>4.0616127999999998</v>
      </c>
      <c r="X75">
        <v>2.4582638000000001</v>
      </c>
      <c r="Y75">
        <v>1.7811596999999999</v>
      </c>
      <c r="Z75">
        <v>2.4784522999999998</v>
      </c>
      <c r="AA75">
        <v>5.0670083999999997</v>
      </c>
      <c r="AB75">
        <v>2.6368607000000002</v>
      </c>
      <c r="AC75">
        <v>1.2236157000000001</v>
      </c>
      <c r="AD75">
        <v>1.4716695</v>
      </c>
      <c r="AE75">
        <v>0.84280297999999998</v>
      </c>
      <c r="AF75">
        <v>2.4449646999999999</v>
      </c>
      <c r="AG75">
        <v>2.4572457000000001</v>
      </c>
      <c r="AH75">
        <v>6.8300039000000003</v>
      </c>
      <c r="AI75">
        <v>2.0115351000000001</v>
      </c>
      <c r="AJ75">
        <v>1.4519583</v>
      </c>
      <c r="AK75">
        <v>2.2531574000000001</v>
      </c>
      <c r="AL75">
        <v>2.3018125999999999</v>
      </c>
      <c r="AM75">
        <v>2.1446228999999999</v>
      </c>
      <c r="AN75">
        <v>0.50707961000000001</v>
      </c>
      <c r="AQ75">
        <v>0.99546048593205472</v>
      </c>
      <c r="AR75">
        <v>0.19417565416483418</v>
      </c>
      <c r="AS75">
        <v>-0.25613196806370941</v>
      </c>
      <c r="AT75">
        <v>0.31530452634366862</v>
      </c>
      <c r="AU75">
        <v>0.16145161459749172</v>
      </c>
      <c r="AV75">
        <v>0.10112218771902486</v>
      </c>
      <c r="AW75">
        <v>-0.44771976338198094</v>
      </c>
      <c r="AX75">
        <v>-0.15033183082046636</v>
      </c>
      <c r="AY75">
        <v>1.9502393297100091E-2</v>
      </c>
      <c r="AZ75">
        <v>-0.16030620485969735</v>
      </c>
      <c r="BA75">
        <v>-2.0793786552326443E-2</v>
      </c>
      <c r="BB75">
        <v>0.13633819802747241</v>
      </c>
      <c r="BC75">
        <v>4.4047446150251919E-2</v>
      </c>
      <c r="BD75">
        <v>-0.2393021800015297</v>
      </c>
      <c r="BE75">
        <v>0.25778387117592272</v>
      </c>
      <c r="BF75">
        <v>-0.13111446605463337</v>
      </c>
      <c r="BG75">
        <v>1.3515957837063303E-2</v>
      </c>
      <c r="BH75">
        <v>-0.10190705519409142</v>
      </c>
      <c r="BI75">
        <v>-0.22683560345352929</v>
      </c>
      <c r="BJ75">
        <v>-1.8507350646109023E-2</v>
      </c>
      <c r="BK75">
        <v>4.8183808823159965E-2</v>
      </c>
      <c r="BL75">
        <v>0.12688603153850037</v>
      </c>
      <c r="BM75">
        <v>-3.345273878331869E-2</v>
      </c>
      <c r="BN75">
        <v>5.707187537511154E-2</v>
      </c>
      <c r="BO75">
        <v>5.742272730085031E-2</v>
      </c>
      <c r="BP75">
        <v>-6.4167920375430898E-2</v>
      </c>
      <c r="BQ75">
        <v>-1.4237698559073985E-2</v>
      </c>
      <c r="BR75">
        <v>-0.29952197256670815</v>
      </c>
      <c r="BS75">
        <v>0.25061941687137745</v>
      </c>
      <c r="BT75">
        <v>6.2816354972002192E-2</v>
      </c>
      <c r="BU75">
        <v>0.18769531644935708</v>
      </c>
      <c r="BV75">
        <v>-8.9541457095625498E-2</v>
      </c>
      <c r="BW75">
        <v>-1.6773591588841216E-2</v>
      </c>
      <c r="BX75">
        <v>0.11889681146051675</v>
      </c>
      <c r="BY75">
        <v>5.9379551475414911E-2</v>
      </c>
      <c r="BZ75">
        <v>-5.5387368998865885E-2</v>
      </c>
      <c r="CA75">
        <v>-6.3593123573523591E-2</v>
      </c>
      <c r="CB75">
        <v>0.17174789505935936</v>
      </c>
      <c r="CC75">
        <v>-4.2561250552720774E-2</v>
      </c>
      <c r="CD75">
        <v>-3.3480117687000391E-2</v>
      </c>
    </row>
    <row r="76" spans="2:82" x14ac:dyDescent="0.25">
      <c r="B76">
        <v>1.0122549999999999</v>
      </c>
      <c r="C76">
        <v>2.2899669</v>
      </c>
      <c r="D76">
        <v>4.4417537999999999</v>
      </c>
      <c r="E76">
        <v>3.1646649999999998</v>
      </c>
      <c r="F76">
        <v>2.5763538000000001</v>
      </c>
      <c r="G76">
        <v>2.1260238</v>
      </c>
      <c r="H76">
        <v>1.4726208999999999</v>
      </c>
      <c r="I76">
        <v>1.9448797</v>
      </c>
      <c r="J76">
        <v>2.4802933</v>
      </c>
      <c r="K76">
        <v>3.0382131000000001</v>
      </c>
      <c r="L76">
        <v>1.3919626</v>
      </c>
      <c r="M76">
        <v>2.1429171999999999</v>
      </c>
      <c r="N76">
        <v>2.6629673</v>
      </c>
      <c r="O76">
        <v>4.0627626000000001</v>
      </c>
      <c r="P76">
        <v>1.9968258999999999</v>
      </c>
      <c r="Q76">
        <v>1.406045</v>
      </c>
      <c r="R76">
        <v>1.6517139000000001</v>
      </c>
      <c r="S76">
        <v>1.1420279</v>
      </c>
      <c r="T76">
        <v>2.2154847000000002</v>
      </c>
      <c r="U76">
        <v>0.79620793000000001</v>
      </c>
      <c r="V76">
        <v>0.43741468</v>
      </c>
      <c r="W76">
        <v>2.9563430999999998</v>
      </c>
      <c r="X76">
        <v>1.6754743000000001</v>
      </c>
      <c r="Y76">
        <v>1.6512647</v>
      </c>
      <c r="Z76">
        <v>1.7936386</v>
      </c>
      <c r="AA76">
        <v>1.9195930000000001</v>
      </c>
      <c r="AB76">
        <v>1.9378171</v>
      </c>
      <c r="AC76">
        <v>0.63025142000000001</v>
      </c>
      <c r="AD76">
        <v>1.1272135000000001</v>
      </c>
      <c r="AE76">
        <v>0.60388613000000002</v>
      </c>
      <c r="AF76">
        <v>2.1741850999999999</v>
      </c>
      <c r="AG76">
        <v>1.2335465000000001</v>
      </c>
      <c r="AH76">
        <v>2.0115351000000001</v>
      </c>
      <c r="AI76">
        <v>8.7285281000000001</v>
      </c>
      <c r="AJ76">
        <v>2.1412914999999999</v>
      </c>
      <c r="AK76">
        <v>7.5114067000000002</v>
      </c>
      <c r="AL76">
        <v>1.3032273000000001</v>
      </c>
      <c r="AM76">
        <v>1.3691962</v>
      </c>
      <c r="AN76">
        <v>0.77276184000000003</v>
      </c>
      <c r="AQ76">
        <v>0.7736072740820783</v>
      </c>
      <c r="AR76">
        <v>6.943908580394194E-3</v>
      </c>
      <c r="AS76">
        <v>-8.3738537486135384E-2</v>
      </c>
      <c r="AT76">
        <v>9.9065710841544571E-2</v>
      </c>
      <c r="AU76">
        <v>0.10135434914526999</v>
      </c>
      <c r="AV76">
        <v>9.4346908951261868E-2</v>
      </c>
      <c r="AW76">
        <v>-0.20905011189661452</v>
      </c>
      <c r="AX76">
        <v>-3.7628893129582404E-2</v>
      </c>
      <c r="AY76">
        <v>4.1908305630150258E-2</v>
      </c>
      <c r="AZ76">
        <v>-0.10764869523897146</v>
      </c>
      <c r="BA76">
        <v>-0.21107689748205674</v>
      </c>
      <c r="BB76">
        <v>0.28613246817264065</v>
      </c>
      <c r="BC76">
        <v>-0.20913512467843343</v>
      </c>
      <c r="BD76">
        <v>0.32068563846847653</v>
      </c>
      <c r="BE76">
        <v>-0.11909214393143611</v>
      </c>
      <c r="BF76">
        <v>0.3874222335830465</v>
      </c>
      <c r="BG76">
        <v>-7.5667001828575095E-2</v>
      </c>
      <c r="BH76">
        <v>6.0227486472648112E-2</v>
      </c>
      <c r="BI76">
        <v>0.48648497581011763</v>
      </c>
      <c r="BJ76">
        <v>-0.21334274179773249</v>
      </c>
      <c r="BK76">
        <v>3.7026645938940658E-2</v>
      </c>
      <c r="BL76">
        <v>5.9139899428494368E-2</v>
      </c>
      <c r="BM76">
        <v>9.2166553460325082E-2</v>
      </c>
      <c r="BN76">
        <v>3.705185274575E-2</v>
      </c>
      <c r="BO76">
        <v>-3.3549068169508436E-2</v>
      </c>
      <c r="BP76">
        <v>-8.8810463124009392E-2</v>
      </c>
      <c r="BQ76">
        <v>4.7241834939458917E-2</v>
      </c>
      <c r="BR76">
        <v>-0.29522045888407394</v>
      </c>
      <c r="BS76">
        <v>-0.12226013736346966</v>
      </c>
      <c r="BT76">
        <v>-0.12993384171354699</v>
      </c>
      <c r="BU76">
        <v>-4.6457981583365719E-2</v>
      </c>
      <c r="BV76">
        <v>8.5584183020816371E-2</v>
      </c>
      <c r="BW76">
        <v>-7.7859854636881887E-2</v>
      </c>
      <c r="BX76">
        <v>6.8965647723510312E-2</v>
      </c>
      <c r="BY76">
        <v>-2.3622109626799956E-3</v>
      </c>
      <c r="BZ76">
        <v>-2.59577758195591E-2</v>
      </c>
      <c r="CA76">
        <v>-1.8571156646787493E-2</v>
      </c>
      <c r="CB76">
        <v>-9.5552133065127109E-2</v>
      </c>
      <c r="CC76">
        <v>2.0103044795494358E-2</v>
      </c>
      <c r="CD76">
        <v>-2.9093871792852596E-2</v>
      </c>
    </row>
    <row r="77" spans="2:82" x14ac:dyDescent="0.25">
      <c r="B77">
        <v>0.80661337</v>
      </c>
      <c r="C77">
        <v>1.3603422000000001</v>
      </c>
      <c r="D77">
        <v>2.5952554999999999</v>
      </c>
      <c r="E77">
        <v>1.8999504</v>
      </c>
      <c r="F77">
        <v>1.5827659999999999</v>
      </c>
      <c r="G77">
        <v>1.4536583000000001</v>
      </c>
      <c r="H77">
        <v>0.45815854</v>
      </c>
      <c r="I77">
        <v>1.3155329</v>
      </c>
      <c r="J77">
        <v>1.768866</v>
      </c>
      <c r="K77">
        <v>-0.71284006</v>
      </c>
      <c r="L77">
        <v>1.3651793999999999</v>
      </c>
      <c r="M77">
        <v>2.2035043999999999</v>
      </c>
      <c r="N77">
        <v>1.3704783</v>
      </c>
      <c r="O77">
        <v>4.0836017</v>
      </c>
      <c r="P77">
        <v>1.7314862</v>
      </c>
      <c r="Q77">
        <v>1.1186105</v>
      </c>
      <c r="R77">
        <v>1.5132128</v>
      </c>
      <c r="S77">
        <v>1.2498176000000001</v>
      </c>
      <c r="T77">
        <v>1.5990911999999999</v>
      </c>
      <c r="U77">
        <v>0.65649831999999997</v>
      </c>
      <c r="V77">
        <v>0.37633725000000001</v>
      </c>
      <c r="W77">
        <v>2.0742753999999999</v>
      </c>
      <c r="X77">
        <v>1.1326379</v>
      </c>
      <c r="Y77">
        <v>0.69870421999999999</v>
      </c>
      <c r="Z77">
        <v>1.3215489</v>
      </c>
      <c r="AA77">
        <v>1.5462435000000001</v>
      </c>
      <c r="AB77">
        <v>0.94038964999999997</v>
      </c>
      <c r="AC77">
        <v>0.87375208999999998</v>
      </c>
      <c r="AD77">
        <v>0.65853024000000004</v>
      </c>
      <c r="AE77">
        <v>0.76576705</v>
      </c>
      <c r="AF77">
        <v>1.6991331999999999</v>
      </c>
      <c r="AG77">
        <v>1.2592095000000001</v>
      </c>
      <c r="AH77">
        <v>1.4519583</v>
      </c>
      <c r="AI77">
        <v>2.1412914999999999</v>
      </c>
      <c r="AJ77">
        <v>20.718243999999999</v>
      </c>
      <c r="AK77">
        <v>1.8184412999999999</v>
      </c>
      <c r="AL77">
        <v>3.5180582999999999</v>
      </c>
      <c r="AM77">
        <v>2.1811452999999998</v>
      </c>
      <c r="AN77">
        <v>0.58044757999999996</v>
      </c>
      <c r="AQ77">
        <v>0.73058440681662307</v>
      </c>
      <c r="AR77">
        <v>0.24167122646560196</v>
      </c>
      <c r="AS77">
        <v>6.9308296306088382E-2</v>
      </c>
      <c r="AT77">
        <v>-0.15783612865759289</v>
      </c>
      <c r="AU77">
        <v>-3.6630909406528474E-2</v>
      </c>
      <c r="AV77">
        <v>-3.7395507904885661E-2</v>
      </c>
      <c r="AW77">
        <v>8.8702461301326918E-2</v>
      </c>
      <c r="AX77">
        <v>7.5291406809783634E-2</v>
      </c>
      <c r="AY77">
        <v>-1.9241409054407174E-2</v>
      </c>
      <c r="AZ77">
        <v>2.8831887644151271E-2</v>
      </c>
      <c r="BA77">
        <v>0.15763966488525308</v>
      </c>
      <c r="BB77">
        <v>8.173354870726561E-2</v>
      </c>
      <c r="BC77">
        <v>-1.9864715672389909E-2</v>
      </c>
      <c r="BD77">
        <v>-0.39808771698208262</v>
      </c>
      <c r="BE77">
        <v>0.17849998343896833</v>
      </c>
      <c r="BF77">
        <v>-5.1668526156560132E-2</v>
      </c>
      <c r="BG77">
        <v>8.4677296633461199E-2</v>
      </c>
      <c r="BH77">
        <v>-0.13054139552111377</v>
      </c>
      <c r="BI77">
        <v>0.24069021159993526</v>
      </c>
      <c r="BJ77">
        <v>-0.63307590919075341</v>
      </c>
      <c r="BK77">
        <v>0.1109679664035574</v>
      </c>
      <c r="BL77">
        <v>-4.0843030954731949E-2</v>
      </c>
      <c r="BM77">
        <v>-5.1582666885190365E-2</v>
      </c>
      <c r="BN77">
        <v>3.1170773825504216E-2</v>
      </c>
      <c r="BO77">
        <v>3.7459390769849485E-2</v>
      </c>
      <c r="BP77">
        <v>4.0858962209489438E-2</v>
      </c>
      <c r="BQ77">
        <v>-9.8561309995440997E-3</v>
      </c>
      <c r="BR77">
        <v>0.15377784099070027</v>
      </c>
      <c r="BS77">
        <v>-6.5263570142993027E-2</v>
      </c>
      <c r="BT77">
        <v>-3.1656681309150628E-2</v>
      </c>
      <c r="BU77">
        <v>-8.991180821256145E-2</v>
      </c>
      <c r="BV77">
        <v>6.0025006340066488E-2</v>
      </c>
      <c r="BW77">
        <v>8.3543681030900929E-2</v>
      </c>
      <c r="BX77">
        <v>0.32573467441861897</v>
      </c>
      <c r="BY77">
        <v>6.3551030382489979E-2</v>
      </c>
      <c r="BZ77">
        <v>4.6728659941045842E-3</v>
      </c>
      <c r="CA77">
        <v>-4.2317943361724897E-2</v>
      </c>
      <c r="CB77">
        <v>-1.3676990370461708E-2</v>
      </c>
      <c r="CC77">
        <v>1.65066707520986E-2</v>
      </c>
      <c r="CD77">
        <v>-7.594284194426143E-2</v>
      </c>
    </row>
    <row r="78" spans="2:82" x14ac:dyDescent="0.25">
      <c r="B78">
        <v>1.1929212</v>
      </c>
      <c r="C78">
        <v>2.7578551999999998</v>
      </c>
      <c r="D78">
        <v>5.5298648999999997</v>
      </c>
      <c r="E78">
        <v>4.1892788000000003</v>
      </c>
      <c r="F78">
        <v>3.2814263000000001</v>
      </c>
      <c r="G78">
        <v>2.5283506999999998</v>
      </c>
      <c r="H78">
        <v>1.9736866</v>
      </c>
      <c r="I78">
        <v>2.2747491000000002</v>
      </c>
      <c r="J78">
        <v>2.6634023999999998</v>
      </c>
      <c r="K78">
        <v>3.4934191000000001</v>
      </c>
      <c r="L78">
        <v>1.5687743999999999</v>
      </c>
      <c r="M78">
        <v>2.7754265</v>
      </c>
      <c r="N78">
        <v>3.0628761</v>
      </c>
      <c r="O78">
        <v>5.7255773999999997</v>
      </c>
      <c r="P78">
        <v>2.5211451</v>
      </c>
      <c r="Q78">
        <v>1.629116</v>
      </c>
      <c r="R78">
        <v>2.3325691000000002</v>
      </c>
      <c r="S78">
        <v>1.2760548</v>
      </c>
      <c r="T78">
        <v>2.4036884000000001</v>
      </c>
      <c r="U78">
        <v>0.68333524000000001</v>
      </c>
      <c r="V78">
        <v>0.55271044000000003</v>
      </c>
      <c r="W78">
        <v>3.8877410000000001</v>
      </c>
      <c r="X78">
        <v>1.8946845999999999</v>
      </c>
      <c r="Y78">
        <v>2.2778018000000002</v>
      </c>
      <c r="Z78">
        <v>2.3401380999999999</v>
      </c>
      <c r="AA78">
        <v>2.5756676000000001</v>
      </c>
      <c r="AB78">
        <v>2.4024453000000001</v>
      </c>
      <c r="AC78">
        <v>0.56242592999999996</v>
      </c>
      <c r="AD78">
        <v>1.4314172000000001</v>
      </c>
      <c r="AE78">
        <v>0.58724337000000004</v>
      </c>
      <c r="AF78">
        <v>2.6227453999999999</v>
      </c>
      <c r="AG78">
        <v>1.4932700000000001</v>
      </c>
      <c r="AH78">
        <v>2.2531574000000001</v>
      </c>
      <c r="AI78">
        <v>7.5114067000000002</v>
      </c>
      <c r="AJ78">
        <v>1.8184412999999999</v>
      </c>
      <c r="AK78">
        <v>13.312989</v>
      </c>
      <c r="AL78">
        <v>2.0153211</v>
      </c>
      <c r="AM78">
        <v>4.0315086999999998</v>
      </c>
      <c r="AN78">
        <v>-0.50156148</v>
      </c>
      <c r="AQ78">
        <v>0.41986180217630986</v>
      </c>
      <c r="AR78">
        <v>-0.61556271029165643</v>
      </c>
      <c r="AS78">
        <v>7.5809942922639983E-2</v>
      </c>
      <c r="AT78">
        <v>0.20500312901354589</v>
      </c>
      <c r="AU78">
        <v>2.5726619772777114E-3</v>
      </c>
      <c r="AV78">
        <v>-0.35402157042660315</v>
      </c>
      <c r="AW78">
        <v>6.1301492360913826E-2</v>
      </c>
      <c r="AX78">
        <v>-1.1487101753920901E-2</v>
      </c>
      <c r="AY78">
        <v>0.16428661529933325</v>
      </c>
      <c r="AZ78">
        <v>-3.6257683255752171E-3</v>
      </c>
      <c r="BA78">
        <v>1.0580400606363782E-2</v>
      </c>
      <c r="BB78">
        <v>-4.0184717807375701E-3</v>
      </c>
      <c r="BC78">
        <v>3.2203851702459929E-2</v>
      </c>
      <c r="BD78">
        <v>-0.16823002180319102</v>
      </c>
      <c r="BE78">
        <v>0.17928457139001552</v>
      </c>
      <c r="BF78">
        <v>8.1404405943853161E-2</v>
      </c>
      <c r="BG78">
        <v>-0.25284644204060247</v>
      </c>
      <c r="BH78">
        <v>0.14258964922557554</v>
      </c>
      <c r="BI78">
        <v>0.11970392447202183</v>
      </c>
      <c r="BJ78">
        <v>-0.10434221633161776</v>
      </c>
      <c r="BK78">
        <v>3.1549155527880496E-3</v>
      </c>
      <c r="BL78">
        <v>0.14031665599283119</v>
      </c>
      <c r="BM78">
        <v>-0.11255577431424414</v>
      </c>
      <c r="BN78">
        <v>9.9383233966657561E-2</v>
      </c>
      <c r="BO78">
        <v>0.12166663197882233</v>
      </c>
      <c r="BP78">
        <v>-0.21110525446579312</v>
      </c>
      <c r="BQ78">
        <v>-6.6556836776362482E-2</v>
      </c>
      <c r="BR78">
        <v>0.12986225924503841</v>
      </c>
      <c r="BS78">
        <v>0.236708902047366</v>
      </c>
      <c r="BT78">
        <v>-9.8783691140580193E-2</v>
      </c>
      <c r="BU78">
        <v>0.11829438086636182</v>
      </c>
      <c r="BV78">
        <v>-7.8160419982847978E-3</v>
      </c>
      <c r="BW78">
        <v>-0.16939485409483535</v>
      </c>
      <c r="BX78">
        <v>8.0403263125903554E-2</v>
      </c>
      <c r="BY78">
        <v>8.0841150735774334E-3</v>
      </c>
      <c r="BZ78">
        <v>-1.4264385710423516E-2</v>
      </c>
      <c r="CA78">
        <v>-2.8263807412244584E-2</v>
      </c>
      <c r="CB78">
        <v>-1.7646081872360712E-2</v>
      </c>
      <c r="CC78">
        <v>6.5548429292005455E-3</v>
      </c>
      <c r="CD78">
        <v>-5.5212390308690858E-3</v>
      </c>
    </row>
    <row r="79" spans="2:82" x14ac:dyDescent="0.25">
      <c r="B79">
        <v>1.0282249000000001</v>
      </c>
      <c r="C79">
        <v>2.4400126000000002</v>
      </c>
      <c r="D79">
        <v>4.4683554000000001</v>
      </c>
      <c r="E79">
        <v>3.3624337</v>
      </c>
      <c r="F79">
        <v>2.8204427000000001</v>
      </c>
      <c r="G79">
        <v>2.5850097999999999</v>
      </c>
      <c r="H79">
        <v>1.5647902</v>
      </c>
      <c r="I79">
        <v>1.6963680999999999</v>
      </c>
      <c r="J79">
        <v>2.8417276999999999</v>
      </c>
      <c r="K79">
        <v>3.5684575000000001</v>
      </c>
      <c r="L79">
        <v>1.7417535</v>
      </c>
      <c r="M79">
        <v>2.8508453</v>
      </c>
      <c r="N79">
        <v>2.7529797</v>
      </c>
      <c r="O79">
        <v>2.7974169999999998</v>
      </c>
      <c r="P79">
        <v>-1.2980376</v>
      </c>
      <c r="Q79">
        <v>1.6854241000000001</v>
      </c>
      <c r="R79">
        <v>4.1068682000000001</v>
      </c>
      <c r="S79">
        <v>5.8430952999999999</v>
      </c>
      <c r="T79">
        <v>3.1897120000000001</v>
      </c>
      <c r="U79">
        <v>0.12103678</v>
      </c>
      <c r="V79">
        <v>0.59498421000000001</v>
      </c>
      <c r="W79">
        <v>3.3220019999999999</v>
      </c>
      <c r="X79">
        <v>2.2371384000000001</v>
      </c>
      <c r="Y79">
        <v>1.2187460999999999</v>
      </c>
      <c r="Z79">
        <v>2.4371972</v>
      </c>
      <c r="AA79">
        <v>2.5942167</v>
      </c>
      <c r="AB79">
        <v>1.9450574</v>
      </c>
      <c r="AC79">
        <v>1.4419862000000001</v>
      </c>
      <c r="AD79">
        <v>1.4994776999999999</v>
      </c>
      <c r="AE79">
        <v>0.99488779999999999</v>
      </c>
      <c r="AF79">
        <v>2.5125196999999999</v>
      </c>
      <c r="AG79">
        <v>1.9683330000000001</v>
      </c>
      <c r="AH79">
        <v>2.3018125999999999</v>
      </c>
      <c r="AI79">
        <v>1.3032273000000001</v>
      </c>
      <c r="AJ79">
        <v>3.5180582999999999</v>
      </c>
      <c r="AK79">
        <v>2.0153211</v>
      </c>
      <c r="AL79">
        <v>10.481247</v>
      </c>
      <c r="AM79">
        <v>3.3178036999999998</v>
      </c>
      <c r="AN79">
        <v>0.89742356999999995</v>
      </c>
      <c r="AQ79">
        <v>0.34086432059992083</v>
      </c>
      <c r="AR79">
        <v>-0.3432569516129258</v>
      </c>
      <c r="AS79">
        <v>0.14933862193380579</v>
      </c>
      <c r="AT79">
        <v>0.15185701255178663</v>
      </c>
      <c r="AU79">
        <v>-0.39694826069687378</v>
      </c>
      <c r="AV79">
        <v>0.19746998181919634</v>
      </c>
      <c r="AW79">
        <v>-3.0768160461643768E-2</v>
      </c>
      <c r="AX79">
        <v>0.22547364284864604</v>
      </c>
      <c r="AY79">
        <v>-6.5158096443213687E-2</v>
      </c>
      <c r="AZ79">
        <v>-0.12951300266037213</v>
      </c>
      <c r="BA79">
        <v>0.11171452333964893</v>
      </c>
      <c r="BB79">
        <v>0.2617848057326278</v>
      </c>
      <c r="BC79">
        <v>-0.22199235490756769</v>
      </c>
      <c r="BD79">
        <v>-0.12011727425728837</v>
      </c>
      <c r="BE79">
        <v>5.8826060879844516E-3</v>
      </c>
      <c r="BF79">
        <v>-0.15992179792065667</v>
      </c>
      <c r="BG79">
        <v>3.7931065745116892E-2</v>
      </c>
      <c r="BH79">
        <v>1.9212354015290213E-3</v>
      </c>
      <c r="BI79">
        <v>-0.10936639279589598</v>
      </c>
      <c r="BJ79">
        <v>-3.4581800363368907E-2</v>
      </c>
      <c r="BK79">
        <v>1.4943017390185821E-2</v>
      </c>
      <c r="BL79">
        <v>-0.44176289888224685</v>
      </c>
      <c r="BM79">
        <v>0.30945200206554968</v>
      </c>
      <c r="BN79">
        <v>0.10947364885534792</v>
      </c>
      <c r="BO79">
        <v>-0.11407529759395617</v>
      </c>
      <c r="BP79">
        <v>6.9704754911578015E-2</v>
      </c>
      <c r="BQ79">
        <v>2.5594635204059571E-3</v>
      </c>
      <c r="BR79">
        <v>-0.23091064605007716</v>
      </c>
      <c r="BS79">
        <v>2.8009115214042722E-2</v>
      </c>
      <c r="BT79">
        <v>2.70896581399604E-2</v>
      </c>
      <c r="BU79">
        <v>5.3759531321711232E-3</v>
      </c>
      <c r="BV79">
        <v>2.2901480319643158E-2</v>
      </c>
      <c r="BW79">
        <v>6.5370186176224893E-2</v>
      </c>
      <c r="BX79">
        <v>1.7393232272272782E-2</v>
      </c>
      <c r="BY79">
        <v>-6.6797696900015705E-4</v>
      </c>
      <c r="BZ79">
        <v>2.8895215661245609E-2</v>
      </c>
      <c r="CA79">
        <v>1.7326543069680411E-2</v>
      </c>
      <c r="CB79">
        <v>-1.8922375948002713E-2</v>
      </c>
      <c r="CC79">
        <v>-2.2553974856413419E-3</v>
      </c>
      <c r="CD79">
        <v>7.0116759998348384E-3</v>
      </c>
    </row>
    <row r="80" spans="2:82" x14ac:dyDescent="0.25">
      <c r="B80">
        <v>0.84432010999999996</v>
      </c>
      <c r="C80">
        <v>2.1862351000000002</v>
      </c>
      <c r="D80">
        <v>4.0006642000000001</v>
      </c>
      <c r="E80">
        <v>3.4536677999999998</v>
      </c>
      <c r="F80">
        <v>2.7500111</v>
      </c>
      <c r="G80">
        <v>1.9919749</v>
      </c>
      <c r="H80">
        <v>1.6033932</v>
      </c>
      <c r="I80">
        <v>1.8414173</v>
      </c>
      <c r="J80">
        <v>2.4485975999999998</v>
      </c>
      <c r="K80">
        <v>2.5856827</v>
      </c>
      <c r="L80">
        <v>1.2944481000000001</v>
      </c>
      <c r="M80">
        <v>2.1566299999999998</v>
      </c>
      <c r="N80">
        <v>1.4720975999999999</v>
      </c>
      <c r="O80">
        <v>3.1920312000000002</v>
      </c>
      <c r="P80">
        <v>2.1072926999999999</v>
      </c>
      <c r="Q80">
        <v>1.4660686000000001</v>
      </c>
      <c r="R80">
        <v>1.8252607999999999</v>
      </c>
      <c r="S80">
        <v>1.256068</v>
      </c>
      <c r="T80">
        <v>2.2737522000000001</v>
      </c>
      <c r="U80">
        <v>0.61450353000000002</v>
      </c>
      <c r="V80">
        <v>0.49514108000000001</v>
      </c>
      <c r="W80">
        <v>3.2896382000000002</v>
      </c>
      <c r="X80">
        <v>1.8078425</v>
      </c>
      <c r="Y80">
        <v>1.5981715000000001</v>
      </c>
      <c r="Z80">
        <v>1.8961836999999999</v>
      </c>
      <c r="AA80">
        <v>2.4307603000000002</v>
      </c>
      <c r="AB80">
        <v>1.8137501</v>
      </c>
      <c r="AC80">
        <v>0.81908650999999999</v>
      </c>
      <c r="AD80">
        <v>1.1387932000000001</v>
      </c>
      <c r="AE80">
        <v>0.63328737999999996</v>
      </c>
      <c r="AF80">
        <v>2.2534285000000001</v>
      </c>
      <c r="AG80">
        <v>1.1993933999999999</v>
      </c>
      <c r="AH80">
        <v>2.1446228999999999</v>
      </c>
      <c r="AI80">
        <v>1.3691962</v>
      </c>
      <c r="AJ80">
        <v>2.1811452999999998</v>
      </c>
      <c r="AK80">
        <v>4.0315086999999998</v>
      </c>
      <c r="AL80">
        <v>3.3178036999999998</v>
      </c>
      <c r="AM80">
        <v>7.9268640000000001</v>
      </c>
      <c r="AN80">
        <v>0.47487958000000002</v>
      </c>
      <c r="AQ80">
        <v>0.23823604648759902</v>
      </c>
      <c r="AR80">
        <v>0.13116272336809184</v>
      </c>
      <c r="AS80">
        <v>-5.4940137272935161E-2</v>
      </c>
      <c r="AT80">
        <v>-6.2355033753645532E-2</v>
      </c>
      <c r="AU80">
        <v>0.14577357559501872</v>
      </c>
      <c r="AV80">
        <v>-2.5480028762943165E-2</v>
      </c>
      <c r="AW80">
        <v>-5.7892244217646834E-4</v>
      </c>
      <c r="AX80">
        <v>6.246805103559698E-2</v>
      </c>
      <c r="AY80">
        <v>-0.25899806203128539</v>
      </c>
      <c r="AZ80">
        <v>0.2460026434479442</v>
      </c>
      <c r="BA80">
        <v>1.6237738840306527E-2</v>
      </c>
      <c r="BB80">
        <v>7.6836495352525055E-2</v>
      </c>
      <c r="BC80">
        <v>-6.4062233999347504E-2</v>
      </c>
      <c r="BD80">
        <v>-0.15212283758939327</v>
      </c>
      <c r="BE80">
        <v>0.13453930721249555</v>
      </c>
      <c r="BF80">
        <v>3.6811854123298127E-2</v>
      </c>
      <c r="BG80">
        <v>-0.45277899611370753</v>
      </c>
      <c r="BH80">
        <v>0.49383310619233006</v>
      </c>
      <c r="BI80">
        <v>-0.15965144546275717</v>
      </c>
      <c r="BJ80">
        <v>2.2656670666603648E-2</v>
      </c>
      <c r="BK80">
        <v>2.7247357803197987E-2</v>
      </c>
      <c r="BL80">
        <v>-9.9338764958004241E-2</v>
      </c>
      <c r="BM80">
        <v>0.11254466134423574</v>
      </c>
      <c r="BN80">
        <v>-0.20535869052395997</v>
      </c>
      <c r="BO80">
        <v>-8.6539888343428642E-2</v>
      </c>
      <c r="BP80">
        <v>8.7722721094948941E-2</v>
      </c>
      <c r="BQ80">
        <v>-3.3010714082108128E-3</v>
      </c>
      <c r="BR80">
        <v>-7.2957910235959794E-2</v>
      </c>
      <c r="BS80">
        <v>-0.1246325509650633</v>
      </c>
      <c r="BT80">
        <v>-0.39634724593882764</v>
      </c>
      <c r="BU80">
        <v>5.567112223614288E-2</v>
      </c>
      <c r="BV80">
        <v>-8.9521885619024175E-2</v>
      </c>
      <c r="BW80">
        <v>9.2037559587484691E-2</v>
      </c>
      <c r="BX80">
        <v>-6.3644609160493013E-3</v>
      </c>
      <c r="BY80">
        <v>8.1761848334171355E-2</v>
      </c>
      <c r="BZ80">
        <v>-1.9029907449826383E-2</v>
      </c>
      <c r="CA80">
        <v>-6.8407255786864782E-2</v>
      </c>
      <c r="CB80">
        <v>2.2217473321595106E-2</v>
      </c>
      <c r="CC80">
        <v>2.032711775430053E-2</v>
      </c>
      <c r="CD80">
        <v>-6.2370156257394622E-2</v>
      </c>
    </row>
    <row r="81" spans="2:82" x14ac:dyDescent="0.25">
      <c r="B81">
        <v>0.19026117000000001</v>
      </c>
      <c r="C81">
        <v>0.63930416000000001</v>
      </c>
      <c r="D81">
        <v>0.96162192999999996</v>
      </c>
      <c r="E81">
        <v>0.92139232999999998</v>
      </c>
      <c r="F81">
        <v>0.80225429000000004</v>
      </c>
      <c r="G81">
        <v>0.57810934000000003</v>
      </c>
      <c r="H81">
        <v>0.70762380000000003</v>
      </c>
      <c r="I81">
        <v>0.63898975000000002</v>
      </c>
      <c r="J81">
        <v>0.69484548000000002</v>
      </c>
      <c r="K81">
        <v>0.80830584999999999</v>
      </c>
      <c r="L81">
        <v>0.43675008999999998</v>
      </c>
      <c r="M81">
        <v>0.59163085000000004</v>
      </c>
      <c r="N81">
        <v>0.45462278</v>
      </c>
      <c r="O81">
        <v>0.59373463000000004</v>
      </c>
      <c r="P81">
        <v>0.46021648999999998</v>
      </c>
      <c r="Q81">
        <v>0.45982918</v>
      </c>
      <c r="R81">
        <v>0.34408548999999999</v>
      </c>
      <c r="S81">
        <v>0.47041955000000002</v>
      </c>
      <c r="T81">
        <v>0.57679325000000004</v>
      </c>
      <c r="U81">
        <v>0.32599664</v>
      </c>
      <c r="V81">
        <v>0.21893282</v>
      </c>
      <c r="W81">
        <v>0.68866324000000001</v>
      </c>
      <c r="X81">
        <v>0.28689671</v>
      </c>
      <c r="Y81">
        <v>0.28126856</v>
      </c>
      <c r="Z81">
        <v>0.44526503000000001</v>
      </c>
      <c r="AA81">
        <v>0.48718122000000003</v>
      </c>
      <c r="AB81">
        <v>0.42199513</v>
      </c>
      <c r="AC81">
        <v>0.36061823999999998</v>
      </c>
      <c r="AD81">
        <v>-0.10862276999999999</v>
      </c>
      <c r="AE81">
        <v>0.24217752000000001</v>
      </c>
      <c r="AF81">
        <v>0.51833843000000002</v>
      </c>
      <c r="AG81">
        <v>0.54979073000000001</v>
      </c>
      <c r="AH81">
        <v>0.50707961000000001</v>
      </c>
      <c r="AI81">
        <v>0.77276184000000003</v>
      </c>
      <c r="AJ81">
        <v>0.58044757999999996</v>
      </c>
      <c r="AK81">
        <v>-0.50156148</v>
      </c>
      <c r="AL81">
        <v>0.89742356999999995</v>
      </c>
      <c r="AM81">
        <v>0.47487958000000002</v>
      </c>
      <c r="AN81">
        <v>2.5762892000000002</v>
      </c>
      <c r="AQ81">
        <v>0.18570151368406498</v>
      </c>
      <c r="AR81">
        <v>0.14803133413487227</v>
      </c>
      <c r="AS81">
        <v>0.11731137763567143</v>
      </c>
      <c r="AT81">
        <v>-0.14918234894959922</v>
      </c>
      <c r="AU81">
        <v>-0.29309965938322757</v>
      </c>
      <c r="AV81">
        <v>0.3319328396865075</v>
      </c>
      <c r="AW81">
        <v>1.9771725914299987E-2</v>
      </c>
      <c r="AX81">
        <v>-4.9029850737478453E-2</v>
      </c>
      <c r="AY81">
        <v>0.42950383294015865</v>
      </c>
      <c r="AZ81">
        <v>-0.44723356256421465</v>
      </c>
      <c r="BA81">
        <v>-7.4620804195693205E-3</v>
      </c>
      <c r="BB81">
        <v>-8.2590184958330551E-2</v>
      </c>
      <c r="BC81">
        <v>7.0901778149822722E-2</v>
      </c>
      <c r="BD81">
        <v>-3.9739690860203382E-2</v>
      </c>
      <c r="BE81">
        <v>4.8150341342806262E-2</v>
      </c>
      <c r="BF81">
        <v>5.6233309159412583E-2</v>
      </c>
      <c r="BG81">
        <v>-0.2347330046918116</v>
      </c>
      <c r="BH81">
        <v>0.24231030799597195</v>
      </c>
      <c r="BI81">
        <v>-7.5856535405742873E-2</v>
      </c>
      <c r="BJ81">
        <v>4.4489347067929882E-2</v>
      </c>
      <c r="BK81">
        <v>5.1860276770057667E-3</v>
      </c>
      <c r="BL81">
        <v>0.14965171119085066</v>
      </c>
      <c r="BM81">
        <v>-0.12626570171540499</v>
      </c>
      <c r="BN81">
        <v>0.31569626009946433</v>
      </c>
      <c r="BO81">
        <v>7.6034787324955569E-2</v>
      </c>
      <c r="BP81">
        <v>7.920987842357291E-2</v>
      </c>
      <c r="BQ81">
        <v>1.0741660271678421E-2</v>
      </c>
      <c r="BR81">
        <v>8.1570260841838216E-2</v>
      </c>
      <c r="BS81">
        <v>-0.11073292298686646</v>
      </c>
      <c r="BT81">
        <v>-0.19766943883060892</v>
      </c>
      <c r="BU81">
        <v>1.3014265677837337E-2</v>
      </c>
      <c r="BV81">
        <v>-3.2565393201942204E-2</v>
      </c>
      <c r="BW81">
        <v>5.4124030856249554E-2</v>
      </c>
      <c r="BX81">
        <v>-2.3580760354673349E-2</v>
      </c>
      <c r="BY81">
        <v>3.5791911963277592E-2</v>
      </c>
      <c r="BZ81">
        <v>-1.3250010923775538E-2</v>
      </c>
      <c r="CA81">
        <v>-4.1342881560150889E-2</v>
      </c>
      <c r="CB81">
        <v>2.6160271722957911E-2</v>
      </c>
      <c r="CC81">
        <v>1.0215203673479561E-2</v>
      </c>
      <c r="CD81">
        <v>-3.6414569300773691E-2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65"/>
  <sheetViews>
    <sheetView topLeftCell="CB14" zoomScale="85" zoomScaleNormal="85" workbookViewId="0">
      <selection activeCell="CS1" sqref="CS1:DA65"/>
    </sheetView>
  </sheetViews>
  <sheetFormatPr defaultColWidth="11.5546875" defaultRowHeight="13.2" x14ac:dyDescent="0.25"/>
  <cols>
    <col min="1" max="1" width="22.109375" style="1" customWidth="1"/>
  </cols>
  <sheetData>
    <row r="1" spans="1:105" x14ac:dyDescent="0.25">
      <c r="A1" s="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CS1" t="s">
        <v>124</v>
      </c>
      <c r="CT1" t="s">
        <v>106</v>
      </c>
      <c r="CU1" t="s">
        <v>117</v>
      </c>
      <c r="CV1" t="s">
        <v>118</v>
      </c>
      <c r="CW1" t="s">
        <v>119</v>
      </c>
      <c r="CX1" t="s">
        <v>120</v>
      </c>
      <c r="CY1" t="s">
        <v>121</v>
      </c>
      <c r="CZ1" t="s">
        <v>122</v>
      </c>
      <c r="DA1" t="s">
        <v>123</v>
      </c>
    </row>
    <row r="2" spans="1:105" x14ac:dyDescent="0.25">
      <c r="A2" s="1" t="s">
        <v>3</v>
      </c>
      <c r="B2">
        <v>9.1254681275884597E-2</v>
      </c>
      <c r="C2">
        <v>0.19120957501935601</v>
      </c>
      <c r="D2">
        <v>0.36768001254515398</v>
      </c>
      <c r="E2">
        <v>0.25643245690112398</v>
      </c>
      <c r="F2">
        <v>0.220646989609389</v>
      </c>
      <c r="G2">
        <v>0.18541571969439799</v>
      </c>
      <c r="H2">
        <v>0.16117971047386201</v>
      </c>
      <c r="I2">
        <v>0.151659102823337</v>
      </c>
      <c r="J2">
        <v>0.14226516340697701</v>
      </c>
      <c r="K2">
        <v>7.6989059927195305E-2</v>
      </c>
      <c r="L2">
        <v>9.0862193800601093E-2</v>
      </c>
      <c r="M2">
        <v>0.15807069525365899</v>
      </c>
      <c r="N2">
        <v>3.7114507900897202E-2</v>
      </c>
      <c r="O2">
        <v>0.117920922230875</v>
      </c>
      <c r="P2">
        <v>0.113409197654741</v>
      </c>
      <c r="Q2">
        <v>9.9473305266193898E-2</v>
      </c>
      <c r="R2">
        <v>0.161807959639166</v>
      </c>
      <c r="S2">
        <v>0.12355317771105601</v>
      </c>
      <c r="T2">
        <v>0.13609184619575099</v>
      </c>
      <c r="U2">
        <v>4.7824885622232603E-2</v>
      </c>
      <c r="V2">
        <v>-6.1776552831416601E-3</v>
      </c>
      <c r="W2">
        <v>0.19377312334673999</v>
      </c>
      <c r="X2">
        <v>6.6528178756719694E-2</v>
      </c>
      <c r="Y2">
        <v>8.4926152371225999E-2</v>
      </c>
      <c r="Z2">
        <v>0.14396547315688701</v>
      </c>
      <c r="AA2">
        <v>0.126746652713387</v>
      </c>
      <c r="AB2">
        <v>9.32251736740283E-2</v>
      </c>
      <c r="AC2">
        <v>6.1837018867977898E-2</v>
      </c>
      <c r="AD2">
        <v>9.2014892222196096E-2</v>
      </c>
      <c r="AE2">
        <v>3.1672612024706101E-2</v>
      </c>
      <c r="AF2">
        <v>0.125267977921034</v>
      </c>
      <c r="AG2">
        <v>0.113915657512768</v>
      </c>
      <c r="AH2">
        <v>0.11137905296721499</v>
      </c>
      <c r="AI2">
        <v>2.4947203585503602E-3</v>
      </c>
      <c r="AJ2">
        <v>0.110261683156052</v>
      </c>
      <c r="AK2">
        <v>6.20492371361187E-2</v>
      </c>
      <c r="AL2">
        <v>0.130385848145851</v>
      </c>
      <c r="AM2">
        <v>9.9458712407530403E-2</v>
      </c>
      <c r="AN2">
        <v>8.7706377721179906E-3</v>
      </c>
      <c r="AP2">
        <f>SUMSQ(A2:AN2)</f>
        <v>0.72963957340765828</v>
      </c>
      <c r="AQ2">
        <f>SQRT(AP2)</f>
        <v>0.85418942478097815</v>
      </c>
      <c r="AS2">
        <f>B2/$AQ2</f>
        <v>0.10683190241939967</v>
      </c>
      <c r="AT2">
        <f t="shared" ref="AT2:AT65" si="0">C2/$AQ2</f>
        <v>0.22384914806031914</v>
      </c>
      <c r="AU2">
        <f t="shared" ref="AU2:AU65" si="1">D2/$AQ2</f>
        <v>0.43044318025762313</v>
      </c>
      <c r="AV2">
        <f t="shared" ref="AV2:AV65" si="2">E2/$AQ2</f>
        <v>0.3002056095073708</v>
      </c>
      <c r="AW2">
        <f t="shared" ref="AW2:AW65" si="3">F2/$AQ2</f>
        <v>0.25831154449841714</v>
      </c>
      <c r="AX2">
        <f t="shared" ref="AX2:AX65" si="4">G2/$AQ2</f>
        <v>0.21706627864415465</v>
      </c>
      <c r="AY2">
        <f t="shared" ref="AY2:AY65" si="5">H2/$AQ2</f>
        <v>0.18869317015390344</v>
      </c>
      <c r="AZ2">
        <f t="shared" ref="AZ2:AZ65" si="6">I2/$AQ2</f>
        <v>0.17754738986873286</v>
      </c>
      <c r="BA2">
        <f t="shared" ref="BA2:BA65" si="7">J2/$AQ2</f>
        <v>0.16654990015060778</v>
      </c>
      <c r="BB2">
        <f t="shared" ref="BB2:BB65" si="8">K2/$AQ2</f>
        <v>9.0131132151321111E-2</v>
      </c>
      <c r="BC2">
        <f t="shared" ref="BC2:BC65" si="9">L2/$AQ2</f>
        <v>0.10637241712972387</v>
      </c>
      <c r="BD2">
        <f t="shared" ref="BD2:BD65" si="10">M2/$AQ2</f>
        <v>0.18505344443264413</v>
      </c>
      <c r="BE2">
        <f t="shared" ref="BE2:BE65" si="11">N2/$AQ2</f>
        <v>4.3449973535335792E-2</v>
      </c>
      <c r="BF2">
        <f t="shared" ref="BF2:BF65" si="12">O2/$AQ2</f>
        <v>0.13805008445417241</v>
      </c>
      <c r="BG2">
        <f t="shared" ref="BG2:BG65" si="13">P2/$AQ2</f>
        <v>0.13276820616670609</v>
      </c>
      <c r="BH2">
        <f t="shared" ref="BH2:BH65" si="14">Q2/$AQ2</f>
        <v>0.11645344976226994</v>
      </c>
      <c r="BI2">
        <f t="shared" ref="BI2:BI65" si="15">R2/$AQ2</f>
        <v>0.18942866177564188</v>
      </c>
      <c r="BJ2">
        <f t="shared" ref="BJ2:BJ65" si="16">S2/$AQ2</f>
        <v>0.14464376884873767</v>
      </c>
      <c r="BK2">
        <f t="shared" ref="BK2:BK65" si="17">T2/$AQ2</f>
        <v>0.15932279450854378</v>
      </c>
      <c r="BL2">
        <f t="shared" ref="BL2:BL65" si="18">U2/$AQ2</f>
        <v>5.5988618255833983E-2</v>
      </c>
      <c r="BM2">
        <f t="shared" ref="BM2:BM65" si="19">V2/$AQ2</f>
        <v>-7.232184225092305E-3</v>
      </c>
      <c r="BN2">
        <f t="shared" ref="BN2:BN65" si="20">W2/$AQ2</f>
        <v>0.2268502954089196</v>
      </c>
      <c r="BO2">
        <f t="shared" ref="BO2:BO65" si="21">X2/$AQ2</f>
        <v>7.7884573171551633E-2</v>
      </c>
      <c r="BP2">
        <f t="shared" ref="BP2:BP65" si="22">Y2/$AQ2</f>
        <v>9.9423090367809025E-2</v>
      </c>
      <c r="BQ2">
        <f t="shared" ref="BQ2:BQ65" si="23">Z2/$AQ2</f>
        <v>0.16854045365148493</v>
      </c>
      <c r="BR2">
        <f t="shared" ref="BR2:BR65" si="24">AA2/$AQ2</f>
        <v>0.14838237168048057</v>
      </c>
      <c r="BS2">
        <f t="shared" ref="BS2:BS65" si="25">AB2/$AQ2</f>
        <v>0.10913875888586665</v>
      </c>
      <c r="BT2">
        <f t="shared" ref="BT2:BT65" si="26">AC2/$AQ2</f>
        <v>7.2392629871100858E-2</v>
      </c>
      <c r="BU2">
        <f t="shared" ref="BU2:BU65" si="27">AD2/$AQ2</f>
        <v>0.10772188176620139</v>
      </c>
      <c r="BV2">
        <f t="shared" ref="BV2:BV65" si="28">AE2/$AQ2</f>
        <v>3.7079143227308445E-2</v>
      </c>
      <c r="BW2">
        <f t="shared" ref="BW2:BW65" si="29">AF2/$AQ2</f>
        <v>0.14665128633868751</v>
      </c>
      <c r="BX2">
        <f t="shared" ref="BX2:BX65" si="30">AG2/$AQ2</f>
        <v>0.13336111898362241</v>
      </c>
      <c r="BY2">
        <f t="shared" ref="BY2:BY65" si="31">AH2/$AQ2</f>
        <v>0.13039151473430333</v>
      </c>
      <c r="BZ2">
        <f t="shared" ref="BZ2:BZ65" si="32">AI2/$AQ2</f>
        <v>2.920570410000134E-3</v>
      </c>
      <c r="CA2">
        <f t="shared" ref="CA2:CA65" si="33">AJ2/$AQ2</f>
        <v>0.12908340932027354</v>
      </c>
      <c r="CB2">
        <f t="shared" ref="CB2:CB65" si="34">AK2/$AQ2</f>
        <v>7.2641073907030257E-2</v>
      </c>
      <c r="CC2">
        <f t="shared" ref="CC2:CC65" si="35">AL2/$AQ2</f>
        <v>0.15264277964958781</v>
      </c>
      <c r="CD2">
        <f t="shared" ref="CD2:CD65" si="36">AM2/$AQ2</f>
        <v>0.1164363658951087</v>
      </c>
      <c r="CE2">
        <f t="shared" ref="CE2:CE65" si="37">AN2/$AQ2</f>
        <v>1.0267790161844793E-2</v>
      </c>
      <c r="CG2">
        <f>SUMSQ(AR2:CE2)</f>
        <v>1</v>
      </c>
      <c r="CH2">
        <f>SQRT(CG2)</f>
        <v>1</v>
      </c>
      <c r="CJ2">
        <f>SUMPRODUCT(AS2:CE2,'PC1'!AS2:CE2)</f>
        <v>0.9720886702312882</v>
      </c>
      <c r="CK2" s="1" t="s">
        <v>3</v>
      </c>
      <c r="CM2">
        <f>SUMPRODUCT(AS2:CE2,'PC2'!AS2:CE2)</f>
        <v>5.7279086023060928E-2</v>
      </c>
      <c r="CN2">
        <f>ABS(CM2)</f>
        <v>5.7279086023060928E-2</v>
      </c>
      <c r="CO2">
        <f>FISHER(CN2)</f>
        <v>5.7341851823627513E-2</v>
      </c>
      <c r="CS2" t="s">
        <v>116</v>
      </c>
      <c r="CT2">
        <f>ABS(CJ2)</f>
        <v>0.9720886702312882</v>
      </c>
      <c r="CU2">
        <f>FISHER(CT2)</f>
        <v>2.1289079037374021</v>
      </c>
      <c r="CV2">
        <f>CN2</f>
        <v>5.7279086023060928E-2</v>
      </c>
      <c r="CW2">
        <f>FISHER(CV2)</f>
        <v>5.7341851823627513E-2</v>
      </c>
      <c r="CX2">
        <v>9.0732750564868958E-2</v>
      </c>
      <c r="CY2">
        <v>9.0982971422179454E-2</v>
      </c>
      <c r="CZ2">
        <v>4.0932081996403268E-2</v>
      </c>
      <c r="DA2">
        <v>4.0954964689420337E-2</v>
      </c>
    </row>
    <row r="3" spans="1:105" x14ac:dyDescent="0.25">
      <c r="A3" s="1" t="s">
        <v>4</v>
      </c>
      <c r="B3">
        <v>8.1005096876001506E-2</v>
      </c>
      <c r="C3">
        <v>0.17670116465581701</v>
      </c>
      <c r="D3">
        <v>0.39548257284615101</v>
      </c>
      <c r="E3">
        <v>0.33989562019142699</v>
      </c>
      <c r="F3">
        <v>0.29370618294283202</v>
      </c>
      <c r="G3">
        <v>0.246974700485139</v>
      </c>
      <c r="H3">
        <v>0.25757433457140799</v>
      </c>
      <c r="I3">
        <v>0.240260126893801</v>
      </c>
      <c r="J3">
        <v>0.22897523336098599</v>
      </c>
      <c r="K3">
        <v>0.108055422272426</v>
      </c>
      <c r="L3">
        <v>9.3775877951097306E-2</v>
      </c>
      <c r="M3">
        <v>0.132871117397907</v>
      </c>
      <c r="N3">
        <v>1.9149024865889298E-2</v>
      </c>
      <c r="O3">
        <v>8.1755252939625198E-2</v>
      </c>
      <c r="P3">
        <v>0.11121980574066</v>
      </c>
      <c r="Q3">
        <v>8.8690474335582997E-2</v>
      </c>
      <c r="R3">
        <v>0.15314246524787101</v>
      </c>
      <c r="S3">
        <v>0.1586482340699</v>
      </c>
      <c r="T3">
        <v>0.157250886774814</v>
      </c>
      <c r="U3">
        <v>3.1760850651185397E-2</v>
      </c>
      <c r="V3">
        <v>-1.66878024055189E-3</v>
      </c>
      <c r="W3">
        <v>0.190767933957497</v>
      </c>
      <c r="X3">
        <v>9.7275670379420906E-2</v>
      </c>
      <c r="Y3">
        <v>0.110858997537034</v>
      </c>
      <c r="Z3">
        <v>0.14324630149954901</v>
      </c>
      <c r="AA3">
        <v>0.150417876076088</v>
      </c>
      <c r="AB3">
        <v>8.3639589588604998E-2</v>
      </c>
      <c r="AC3">
        <v>6.5904274779887001E-2</v>
      </c>
      <c r="AD3">
        <v>0.10173625384045901</v>
      </c>
      <c r="AE3">
        <v>3.57873809875573E-2</v>
      </c>
      <c r="AF3">
        <v>0.165763404050145</v>
      </c>
      <c r="AG3">
        <v>0.14502745270928</v>
      </c>
      <c r="AH3">
        <v>0.16027935532901699</v>
      </c>
      <c r="AI3">
        <v>1.29209848109268E-2</v>
      </c>
      <c r="AJ3">
        <v>3.7135918810689401E-2</v>
      </c>
      <c r="AK3">
        <v>3.7431641770246701E-2</v>
      </c>
      <c r="AL3">
        <v>0.12922996104816001</v>
      </c>
      <c r="AM3">
        <v>0.11312791084877601</v>
      </c>
      <c r="AN3">
        <v>3.06104691780817E-2</v>
      </c>
      <c r="AP3">
        <f t="shared" ref="AP3:AP65" si="38">SUMSQ(A3:AN3)</f>
        <v>1.005093982500872</v>
      </c>
      <c r="AQ3">
        <f t="shared" ref="AQ3:AQ65" si="39">SQRT(AP3)</f>
        <v>1.0025437559033881</v>
      </c>
      <c r="AS3">
        <f t="shared" ref="AS3:AS65" si="40">B3/$AQ3</f>
        <v>8.0799562511870759E-2</v>
      </c>
      <c r="AT3">
        <f t="shared" si="0"/>
        <v>0.17625282050317326</v>
      </c>
      <c r="AU3">
        <f t="shared" si="1"/>
        <v>0.39447911427046223</v>
      </c>
      <c r="AV3">
        <f t="shared" si="2"/>
        <v>0.33903320248117097</v>
      </c>
      <c r="AW3">
        <f t="shared" si="3"/>
        <v>0.29296096176687531</v>
      </c>
      <c r="AX3">
        <f t="shared" si="4"/>
        <v>0.24634805117567274</v>
      </c>
      <c r="AY3">
        <f t="shared" si="5"/>
        <v>0.25692079079312485</v>
      </c>
      <c r="AZ3">
        <f t="shared" si="6"/>
        <v>0.23965051448283531</v>
      </c>
      <c r="BA3">
        <f t="shared" si="7"/>
        <v>0.22839425412874609</v>
      </c>
      <c r="BB3">
        <f t="shared" si="8"/>
        <v>0.10778125307364535</v>
      </c>
      <c r="BC3">
        <f t="shared" si="9"/>
        <v>9.3537940263361624E-2</v>
      </c>
      <c r="BD3">
        <f t="shared" si="10"/>
        <v>0.13253398329549954</v>
      </c>
      <c r="BE3">
        <f t="shared" si="11"/>
        <v>1.9100438013934056E-2</v>
      </c>
      <c r="BF3">
        <f t="shared" si="12"/>
        <v>8.1547815203293419E-2</v>
      </c>
      <c r="BG3">
        <f t="shared" si="13"/>
        <v>0.1109376075465557</v>
      </c>
      <c r="BH3">
        <f t="shared" si="14"/>
        <v>8.846543985071692E-2</v>
      </c>
      <c r="BI3">
        <f t="shared" si="15"/>
        <v>0.15275389662157435</v>
      </c>
      <c r="BJ3">
        <f t="shared" si="16"/>
        <v>0.15824569564741114</v>
      </c>
      <c r="BK3">
        <f t="shared" si="17"/>
        <v>0.156851893843891</v>
      </c>
      <c r="BL3">
        <f t="shared" si="18"/>
        <v>3.1680263793140706E-2</v>
      </c>
      <c r="BM3">
        <f t="shared" si="19"/>
        <v>-1.6645460417317735E-3</v>
      </c>
      <c r="BN3">
        <f t="shared" si="20"/>
        <v>0.19028389816821192</v>
      </c>
      <c r="BO3">
        <f t="shared" si="21"/>
        <v>9.7028852662661286E-2</v>
      </c>
      <c r="BP3">
        <f t="shared" si="22"/>
        <v>0.11057771482217194</v>
      </c>
      <c r="BQ3">
        <f t="shared" si="23"/>
        <v>0.14288284242563593</v>
      </c>
      <c r="BR3">
        <f t="shared" si="24"/>
        <v>0.15003622055433088</v>
      </c>
      <c r="BS3">
        <f t="shared" si="25"/>
        <v>8.342737072182721E-2</v>
      </c>
      <c r="BT3">
        <f t="shared" si="26"/>
        <v>6.5737055756235729E-2</v>
      </c>
      <c r="BU3">
        <f t="shared" si="27"/>
        <v>0.10147811827802457</v>
      </c>
      <c r="BV3">
        <f t="shared" si="28"/>
        <v>3.5696577607537375E-2</v>
      </c>
      <c r="BW3">
        <f t="shared" si="29"/>
        <v>0.16534281229528608</v>
      </c>
      <c r="BX3">
        <f t="shared" si="30"/>
        <v>0.14465947431750384</v>
      </c>
      <c r="BY3">
        <f t="shared" si="31"/>
        <v>0.1598726782599029</v>
      </c>
      <c r="BZ3">
        <f t="shared" si="32"/>
        <v>1.2888200375138492E-2</v>
      </c>
      <c r="CA3">
        <f t="shared" si="33"/>
        <v>3.7041693783456245E-2</v>
      </c>
      <c r="CB3">
        <f t="shared" si="34"/>
        <v>3.7336666404666999E-2</v>
      </c>
      <c r="CC3">
        <f t="shared" si="35"/>
        <v>0.12890206565768436</v>
      </c>
      <c r="CD3">
        <f t="shared" si="36"/>
        <v>0.11284087121647564</v>
      </c>
      <c r="CE3">
        <f t="shared" si="37"/>
        <v>3.0532801184820837E-2</v>
      </c>
      <c r="CG3">
        <f t="shared" ref="CG3:CG65" si="41">SUMSQ(AR3:CE3)</f>
        <v>1.0000000000000004</v>
      </c>
      <c r="CH3">
        <f t="shared" ref="CH3:CH65" si="42">SQRT(CG3)</f>
        <v>1.0000000000000002</v>
      </c>
      <c r="CJ3">
        <f>SUMPRODUCT(AS3:CE3,'PC1'!AS3:CE3)</f>
        <v>0.96103620293372038</v>
      </c>
      <c r="CK3" s="1" t="s">
        <v>4</v>
      </c>
      <c r="CM3">
        <f>SUMPRODUCT(AS3:CE3,'PC2'!AS3:CE3)</f>
        <v>0.17668228058664753</v>
      </c>
      <c r="CN3">
        <f t="shared" ref="CN3:CN65" si="43">ABS(CM3)</f>
        <v>0.17668228058664753</v>
      </c>
      <c r="CO3">
        <f t="shared" ref="CO3:CO65" si="44">FISHER(CN3)</f>
        <v>0.17855597714638188</v>
      </c>
      <c r="CS3" t="s">
        <v>116</v>
      </c>
      <c r="CT3">
        <f t="shared" ref="CT3:CT65" si="45">ABS(CJ3)</f>
        <v>0.96103620293372038</v>
      </c>
      <c r="CU3">
        <f t="shared" ref="CU3:CU65" si="46">FISHER(CT3)</f>
        <v>1.9592976764162779</v>
      </c>
      <c r="CV3">
        <f t="shared" ref="CV3:CV65" si="47">CN3</f>
        <v>0.17668228058664753</v>
      </c>
      <c r="CW3">
        <f t="shared" ref="CW3:CW65" si="48">FISHER(CV3)</f>
        <v>0.17855597714638188</v>
      </c>
      <c r="CX3">
        <v>3.3192828591894694E-2</v>
      </c>
      <c r="CY3">
        <v>3.320502687644928E-2</v>
      </c>
      <c r="CZ3">
        <v>6.0420846347369828E-2</v>
      </c>
      <c r="DA3">
        <v>6.0494533518141921E-2</v>
      </c>
    </row>
    <row r="4" spans="1:105" x14ac:dyDescent="0.25">
      <c r="A4" s="1" t="s">
        <v>5</v>
      </c>
      <c r="B4">
        <v>3.3316310209523498E-2</v>
      </c>
      <c r="C4">
        <v>0.11926106419319001</v>
      </c>
      <c r="D4">
        <v>0.21599491730163001</v>
      </c>
      <c r="E4">
        <v>0.14006074206497901</v>
      </c>
      <c r="F4">
        <v>0.12948471702515299</v>
      </c>
      <c r="G4">
        <v>0.12383314409665</v>
      </c>
      <c r="H4">
        <v>6.7230457036697999E-2</v>
      </c>
      <c r="I4">
        <v>5.6542312130514999E-2</v>
      </c>
      <c r="J4">
        <v>8.39126076027229E-2</v>
      </c>
      <c r="K4">
        <v>0.160867804906105</v>
      </c>
      <c r="L4">
        <v>6.8685494823843896E-2</v>
      </c>
      <c r="M4">
        <v>0.10236750938061299</v>
      </c>
      <c r="N4">
        <v>7.3421990175730395E-2</v>
      </c>
      <c r="O4">
        <v>0.113940145892931</v>
      </c>
      <c r="P4">
        <v>0.110498530356913</v>
      </c>
      <c r="Q4">
        <v>6.72515244509065E-2</v>
      </c>
      <c r="R4">
        <v>0.13150248499018999</v>
      </c>
      <c r="S4">
        <v>7.37879966315695E-2</v>
      </c>
      <c r="T4">
        <v>5.6711018034409102E-2</v>
      </c>
      <c r="U4">
        <v>-1.04720380468951E-2</v>
      </c>
      <c r="V4">
        <v>4.7270002990052497E-2</v>
      </c>
      <c r="W4">
        <v>0.13922497819805801</v>
      </c>
      <c r="X4">
        <v>4.3682297297550701E-2</v>
      </c>
      <c r="Y4">
        <v>4.3374461045272497E-2</v>
      </c>
      <c r="Z4">
        <v>0.121853689153856</v>
      </c>
      <c r="AA4">
        <v>0.136503809530436</v>
      </c>
      <c r="AB4">
        <v>7.1546680995016806E-2</v>
      </c>
      <c r="AC4">
        <v>7.0134473160556501E-2</v>
      </c>
      <c r="AD4">
        <v>9.1377820913115096E-2</v>
      </c>
      <c r="AE4">
        <v>2.7325022748695599E-2</v>
      </c>
      <c r="AF4">
        <v>0.110438909264247</v>
      </c>
      <c r="AG4">
        <v>0.10194552319519599</v>
      </c>
      <c r="AH4">
        <v>6.4552292023375493E-2</v>
      </c>
      <c r="AI4">
        <v>2.2887406047495399E-2</v>
      </c>
      <c r="AJ4">
        <v>6.4911776256148697E-3</v>
      </c>
      <c r="AK4">
        <v>2.4442682580080199E-2</v>
      </c>
      <c r="AL4">
        <v>8.5384265419752706E-2</v>
      </c>
      <c r="AM4">
        <v>-2.79113306298003E-2</v>
      </c>
      <c r="AN4">
        <v>4.4869076733220499E-2</v>
      </c>
      <c r="AP4">
        <f t="shared" si="38"/>
        <v>0.34673397925529481</v>
      </c>
      <c r="AQ4">
        <f t="shared" si="39"/>
        <v>0.58884121735430073</v>
      </c>
      <c r="AS4">
        <f t="shared" si="40"/>
        <v>5.6579446593796032E-2</v>
      </c>
      <c r="AT4">
        <f t="shared" si="0"/>
        <v>0.20253518381243282</v>
      </c>
      <c r="AU4">
        <f t="shared" si="1"/>
        <v>0.36681351599690704</v>
      </c>
      <c r="AV4">
        <f t="shared" si="2"/>
        <v>0.23785825098025645</v>
      </c>
      <c r="AW4">
        <f t="shared" si="3"/>
        <v>0.21989750922487333</v>
      </c>
      <c r="AX4">
        <f t="shared" si="4"/>
        <v>0.21029972163470453</v>
      </c>
      <c r="AY4">
        <f t="shared" si="5"/>
        <v>0.11417416963229667</v>
      </c>
      <c r="AZ4">
        <f t="shared" si="6"/>
        <v>9.6023020237209336E-2</v>
      </c>
      <c r="BA4">
        <f t="shared" si="7"/>
        <v>0.14250464323769205</v>
      </c>
      <c r="BB4">
        <f t="shared" si="8"/>
        <v>0.27319385967730619</v>
      </c>
      <c r="BC4">
        <f t="shared" si="9"/>
        <v>0.11664518854921872</v>
      </c>
      <c r="BD4">
        <f t="shared" si="10"/>
        <v>0.17384569280077983</v>
      </c>
      <c r="BE4">
        <f t="shared" si="11"/>
        <v>0.12468894501920202</v>
      </c>
      <c r="BF4">
        <f t="shared" si="12"/>
        <v>0.1934989306707689</v>
      </c>
      <c r="BG4">
        <f t="shared" si="13"/>
        <v>0.18765420473347566</v>
      </c>
      <c r="BH4">
        <f t="shared" si="14"/>
        <v>0.11420994738288137</v>
      </c>
      <c r="BI4">
        <f t="shared" si="15"/>
        <v>0.22332418505117327</v>
      </c>
      <c r="BJ4">
        <f t="shared" si="16"/>
        <v>0.1253105157330926</v>
      </c>
      <c r="BK4">
        <f t="shared" si="17"/>
        <v>9.630952515385241E-2</v>
      </c>
      <c r="BL4">
        <f t="shared" si="18"/>
        <v>-1.7784145773535695E-2</v>
      </c>
      <c r="BM4">
        <f t="shared" si="19"/>
        <v>8.0276314899353482E-2</v>
      </c>
      <c r="BN4">
        <f t="shared" si="20"/>
        <v>0.23643891442179316</v>
      </c>
      <c r="BO4">
        <f t="shared" si="21"/>
        <v>7.4183491253920555E-2</v>
      </c>
      <c r="BP4">
        <f t="shared" si="22"/>
        <v>7.3660708128001948E-2</v>
      </c>
      <c r="BQ4">
        <f t="shared" si="23"/>
        <v>0.20693811092462583</v>
      </c>
      <c r="BR4">
        <f t="shared" si="24"/>
        <v>0.23181768787136861</v>
      </c>
      <c r="BS4">
        <f t="shared" si="25"/>
        <v>0.12150419992078744</v>
      </c>
      <c r="BT4">
        <f t="shared" si="26"/>
        <v>0.11910591700029922</v>
      </c>
      <c r="BU4">
        <f t="shared" si="27"/>
        <v>0.15518244684650503</v>
      </c>
      <c r="BV4">
        <f t="shared" si="28"/>
        <v>4.6404738566822111E-2</v>
      </c>
      <c r="BW4">
        <f t="shared" si="29"/>
        <v>0.18755295317208892</v>
      </c>
      <c r="BX4">
        <f t="shared" si="30"/>
        <v>0.17312905447285673</v>
      </c>
      <c r="BY4">
        <f t="shared" si="31"/>
        <v>0.10962597406719056</v>
      </c>
      <c r="BZ4">
        <f t="shared" si="32"/>
        <v>3.8868552969729089E-2</v>
      </c>
      <c r="CA4">
        <f t="shared" si="33"/>
        <v>1.1023646841129981E-2</v>
      </c>
      <c r="CB4">
        <f t="shared" si="34"/>
        <v>4.1509802404632361E-2</v>
      </c>
      <c r="CC4">
        <f t="shared" si="35"/>
        <v>0.14500388713172863</v>
      </c>
      <c r="CD4">
        <f t="shared" si="36"/>
        <v>-4.7400436326804025E-2</v>
      </c>
      <c r="CE4">
        <f t="shared" si="37"/>
        <v>7.6198940242023103E-2</v>
      </c>
      <c r="CG4">
        <f t="shared" si="41"/>
        <v>0.99999999999999989</v>
      </c>
      <c r="CH4">
        <f t="shared" si="42"/>
        <v>1</v>
      </c>
      <c r="CJ4">
        <f>SUMPRODUCT(AS4:CE4,'PC1'!AS4:CE4)</f>
        <v>0.91879623567536961</v>
      </c>
      <c r="CK4" s="1" t="s">
        <v>5</v>
      </c>
      <c r="CM4">
        <f>SUMPRODUCT(AS4:CE4,'PC2'!AS4:CE4)</f>
        <v>-6.5879392582202323E-2</v>
      </c>
      <c r="CN4">
        <f t="shared" si="43"/>
        <v>6.5879392582202323E-2</v>
      </c>
      <c r="CO4">
        <f t="shared" si="44"/>
        <v>6.5974949134122274E-2</v>
      </c>
      <c r="CS4" t="s">
        <v>116</v>
      </c>
      <c r="CT4">
        <f t="shared" si="45"/>
        <v>0.91879623567536961</v>
      </c>
      <c r="CU4">
        <f t="shared" si="46"/>
        <v>1.5812458515216454</v>
      </c>
      <c r="CV4">
        <f t="shared" si="47"/>
        <v>6.5879392582202323E-2</v>
      </c>
      <c r="CW4">
        <f t="shared" si="48"/>
        <v>6.5974949134122274E-2</v>
      </c>
      <c r="CX4">
        <v>0.11341954923486509</v>
      </c>
      <c r="CY4">
        <v>0.11390968066806614</v>
      </c>
      <c r="CZ4">
        <v>0.10073989968345287</v>
      </c>
      <c r="DA4">
        <v>0.10108277714876623</v>
      </c>
    </row>
    <row r="5" spans="1:105" x14ac:dyDescent="0.25">
      <c r="A5" s="1" t="s">
        <v>6</v>
      </c>
      <c r="B5">
        <v>5.1086230539428498E-2</v>
      </c>
      <c r="C5">
        <v>0.123131642768581</v>
      </c>
      <c r="D5">
        <v>0.250092474874066</v>
      </c>
      <c r="E5">
        <v>0.196641225013055</v>
      </c>
      <c r="F5">
        <v>0.15402575060844301</v>
      </c>
      <c r="G5">
        <v>0.130172958870099</v>
      </c>
      <c r="H5">
        <v>0.16498228388893599</v>
      </c>
      <c r="I5">
        <v>9.3778531144555505E-2</v>
      </c>
      <c r="J5">
        <v>0.14312202176782299</v>
      </c>
      <c r="K5">
        <v>0.11602443433523101</v>
      </c>
      <c r="L5">
        <v>9.5022481504630205E-2</v>
      </c>
      <c r="M5">
        <v>0.11360244358230701</v>
      </c>
      <c r="N5">
        <v>6.3847147906645904E-2</v>
      </c>
      <c r="O5">
        <v>8.2514911343595898E-2</v>
      </c>
      <c r="P5">
        <v>0.100787083396462</v>
      </c>
      <c r="Q5">
        <v>4.1255953193415698E-2</v>
      </c>
      <c r="R5">
        <v>0.15044077664234101</v>
      </c>
      <c r="S5">
        <v>0.14703463867210401</v>
      </c>
      <c r="T5">
        <v>0.116397837907896</v>
      </c>
      <c r="U5">
        <v>6.6755548107121698E-2</v>
      </c>
      <c r="V5">
        <v>2.5334869060348299E-2</v>
      </c>
      <c r="W5">
        <v>0.15724960493315901</v>
      </c>
      <c r="X5">
        <v>8.8890778972257306E-2</v>
      </c>
      <c r="Y5">
        <v>4.6494867780968799E-2</v>
      </c>
      <c r="Z5">
        <v>0.21068913543284901</v>
      </c>
      <c r="AA5">
        <v>0.15790301740160001</v>
      </c>
      <c r="AB5">
        <v>0.13028399068962801</v>
      </c>
      <c r="AC5">
        <v>0.121155718489318</v>
      </c>
      <c r="AD5">
        <v>0.13008055141484101</v>
      </c>
      <c r="AE5">
        <v>3.4175491556117397E-2</v>
      </c>
      <c r="AF5">
        <v>0.13153420375621599</v>
      </c>
      <c r="AG5">
        <v>7.6946158100328593E-2</v>
      </c>
      <c r="AH5">
        <v>4.6395372162202297E-2</v>
      </c>
      <c r="AI5">
        <v>2.4940622933482998E-2</v>
      </c>
      <c r="AJ5">
        <v>7.4666925143593202E-2</v>
      </c>
      <c r="AK5">
        <v>3.0165577717470901E-2</v>
      </c>
      <c r="AL5">
        <v>0.140234512075739</v>
      </c>
      <c r="AM5">
        <v>-2.8174197076381999E-2</v>
      </c>
      <c r="AN5">
        <v>1.9702474345709101E-2</v>
      </c>
      <c r="AP5">
        <f t="shared" si="38"/>
        <v>0.54437649881802297</v>
      </c>
      <c r="AQ5">
        <f t="shared" si="39"/>
        <v>0.73781874387821222</v>
      </c>
      <c r="AS5">
        <f t="shared" si="40"/>
        <v>6.9239540148984105E-2</v>
      </c>
      <c r="AT5">
        <f t="shared" si="0"/>
        <v>0.16688603236258481</v>
      </c>
      <c r="AU5">
        <f t="shared" si="1"/>
        <v>0.33896194282012904</v>
      </c>
      <c r="AV5">
        <f t="shared" si="2"/>
        <v>0.26651698217836756</v>
      </c>
      <c r="AW5">
        <f t="shared" si="3"/>
        <v>0.20875825111033938</v>
      </c>
      <c r="AX5">
        <f t="shared" si="4"/>
        <v>0.17642945499848395</v>
      </c>
      <c r="AY5">
        <f t="shared" si="5"/>
        <v>0.22360814936977086</v>
      </c>
      <c r="AZ5">
        <f t="shared" si="6"/>
        <v>0.12710239733355841</v>
      </c>
      <c r="BA5">
        <f t="shared" si="7"/>
        <v>0.19397992115994192</v>
      </c>
      <c r="BB5">
        <f t="shared" si="8"/>
        <v>0.15725330279001767</v>
      </c>
      <c r="BC5">
        <f t="shared" si="9"/>
        <v>0.12878838101233581</v>
      </c>
      <c r="BD5">
        <f t="shared" si="10"/>
        <v>0.15397066627119838</v>
      </c>
      <c r="BE5">
        <f t="shared" si="11"/>
        <v>8.653500393747765E-2</v>
      </c>
      <c r="BF5">
        <f t="shared" si="12"/>
        <v>0.11183629045512049</v>
      </c>
      <c r="BG5">
        <f t="shared" si="13"/>
        <v>0.13660141360287587</v>
      </c>
      <c r="BH5">
        <f t="shared" si="14"/>
        <v>5.5916108848849733E-2</v>
      </c>
      <c r="BI5">
        <f t="shared" si="15"/>
        <v>0.20389936944618131</v>
      </c>
      <c r="BJ5">
        <f t="shared" si="16"/>
        <v>0.19928287251045254</v>
      </c>
      <c r="BK5">
        <f t="shared" si="17"/>
        <v>0.15775939398892413</v>
      </c>
      <c r="BL5">
        <f t="shared" si="18"/>
        <v>9.0476893764223312E-2</v>
      </c>
      <c r="BM5">
        <f t="shared" si="19"/>
        <v>3.433752431820869E-2</v>
      </c>
      <c r="BN5">
        <f t="shared" si="20"/>
        <v>0.213127690557988</v>
      </c>
      <c r="BO5">
        <f t="shared" si="21"/>
        <v>0.12047779987943764</v>
      </c>
      <c r="BP5">
        <f t="shared" si="22"/>
        <v>6.3016653028597297E-2</v>
      </c>
      <c r="BQ5">
        <f t="shared" si="23"/>
        <v>0.28555676740522917</v>
      </c>
      <c r="BR5">
        <f t="shared" si="24"/>
        <v>0.21401329081396203</v>
      </c>
      <c r="BS5">
        <f t="shared" si="25"/>
        <v>0.17657994157862339</v>
      </c>
      <c r="BT5">
        <f t="shared" si="26"/>
        <v>0.1642079704460809</v>
      </c>
      <c r="BU5">
        <f t="shared" si="27"/>
        <v>0.17630421088395759</v>
      </c>
      <c r="BV5">
        <f t="shared" si="28"/>
        <v>4.6319630450806983E-2</v>
      </c>
      <c r="BW5">
        <f t="shared" si="29"/>
        <v>0.17827441339431144</v>
      </c>
      <c r="BX5">
        <f t="shared" si="30"/>
        <v>0.10428870063109928</v>
      </c>
      <c r="BY5">
        <f t="shared" si="31"/>
        <v>6.288180199696923E-2</v>
      </c>
      <c r="BZ5">
        <f t="shared" si="32"/>
        <v>3.3803184237888938E-2</v>
      </c>
      <c r="CA5">
        <f t="shared" si="33"/>
        <v>0.10119955038160168</v>
      </c>
      <c r="CB5">
        <f t="shared" si="34"/>
        <v>4.088480804772042E-2</v>
      </c>
      <c r="CC5">
        <f t="shared" si="35"/>
        <v>0.19006634520915175</v>
      </c>
      <c r="CD5">
        <f t="shared" si="36"/>
        <v>-3.81857974064055E-2</v>
      </c>
      <c r="CE5">
        <f t="shared" si="37"/>
        <v>2.6703678253206974E-2</v>
      </c>
      <c r="CG5">
        <f t="shared" si="41"/>
        <v>1.0000000000000002</v>
      </c>
      <c r="CH5">
        <f t="shared" si="42"/>
        <v>1</v>
      </c>
      <c r="CJ5">
        <f>SUMPRODUCT(AS5:CE5,'PC1'!AS5:CE5)</f>
        <v>0.93167283349244989</v>
      </c>
      <c r="CK5" s="1" t="s">
        <v>6</v>
      </c>
      <c r="CM5">
        <f>SUMPRODUCT(AS5:CE5,'PC2'!AS5:CE5)</f>
        <v>2.1836409943414653E-2</v>
      </c>
      <c r="CN5">
        <f t="shared" si="43"/>
        <v>2.1836409943414653E-2</v>
      </c>
      <c r="CO5">
        <f t="shared" si="44"/>
        <v>2.183988167976731E-2</v>
      </c>
      <c r="CS5" t="s">
        <v>116</v>
      </c>
      <c r="CT5">
        <f t="shared" si="45"/>
        <v>0.93167283349244989</v>
      </c>
      <c r="CU5">
        <f t="shared" si="46"/>
        <v>1.6709171097116893</v>
      </c>
      <c r="CV5">
        <f t="shared" si="47"/>
        <v>2.1836409943414653E-2</v>
      </c>
      <c r="CW5">
        <f t="shared" si="48"/>
        <v>2.183988167976731E-2</v>
      </c>
      <c r="CX5">
        <v>5.2330096817793999E-2</v>
      </c>
      <c r="CY5">
        <v>5.2377943050067516E-2</v>
      </c>
      <c r="CZ5">
        <v>0.11745230737154765</v>
      </c>
      <c r="DA5">
        <v>0.11799690881201222</v>
      </c>
    </row>
    <row r="6" spans="1:105" x14ac:dyDescent="0.25">
      <c r="A6" s="1" t="s">
        <v>7</v>
      </c>
      <c r="B6">
        <v>3.8851607974909101E-2</v>
      </c>
      <c r="C6">
        <v>9.4843728411497893E-2</v>
      </c>
      <c r="D6">
        <v>0.24017635916125701</v>
      </c>
      <c r="E6">
        <v>0.164010819014692</v>
      </c>
      <c r="F6">
        <v>0.159359617202736</v>
      </c>
      <c r="G6">
        <v>0.13181861744534601</v>
      </c>
      <c r="H6">
        <v>0.122094885362751</v>
      </c>
      <c r="I6">
        <v>8.91927540296482E-2</v>
      </c>
      <c r="J6">
        <v>0.11944884242689301</v>
      </c>
      <c r="K6">
        <v>8.9806614409442098E-2</v>
      </c>
      <c r="L6">
        <v>8.0056324883312394E-2</v>
      </c>
      <c r="M6">
        <v>0.118111133884491</v>
      </c>
      <c r="N6">
        <v>5.4133660150357303E-2</v>
      </c>
      <c r="O6">
        <v>8.7315195114432795E-2</v>
      </c>
      <c r="P6">
        <v>0.13926561357627601</v>
      </c>
      <c r="Q6">
        <v>2.2885269399119099E-2</v>
      </c>
      <c r="R6">
        <v>0.103508718599228</v>
      </c>
      <c r="S6">
        <v>5.54005603066164E-2</v>
      </c>
      <c r="T6">
        <v>6.02268104449869E-2</v>
      </c>
      <c r="U6">
        <v>-3.0441603679114901E-2</v>
      </c>
      <c r="V6">
        <v>1.9117482720039301E-2</v>
      </c>
      <c r="W6">
        <v>0.11530669079785601</v>
      </c>
      <c r="X6">
        <v>6.6869496718550595E-2</v>
      </c>
      <c r="Y6">
        <v>2.9441669220033599E-2</v>
      </c>
      <c r="Z6">
        <v>0.14866705587383899</v>
      </c>
      <c r="AA6">
        <v>0.155554286321261</v>
      </c>
      <c r="AB6">
        <v>7.1849712361607698E-2</v>
      </c>
      <c r="AC6">
        <v>6.03476539604186E-2</v>
      </c>
      <c r="AD6">
        <v>0.11799606443020801</v>
      </c>
      <c r="AE6">
        <v>3.3861562585998602E-2</v>
      </c>
      <c r="AF6">
        <v>0.117062638730074</v>
      </c>
      <c r="AG6">
        <v>7.2064029468897797E-2</v>
      </c>
      <c r="AH6">
        <v>0.11089049102584</v>
      </c>
      <c r="AI6">
        <v>5.0196294422907101E-2</v>
      </c>
      <c r="AJ6">
        <v>4.8433122831583297E-2</v>
      </c>
      <c r="AK6">
        <v>7.1577218949328905E-2</v>
      </c>
      <c r="AL6">
        <v>6.0068821248664597E-2</v>
      </c>
      <c r="AM6">
        <v>1.0654050763000701E-2</v>
      </c>
      <c r="AN6">
        <v>4.60689976409472E-3</v>
      </c>
      <c r="AP6">
        <f t="shared" si="38"/>
        <v>0.38632364062772945</v>
      </c>
      <c r="AQ6">
        <f t="shared" si="39"/>
        <v>0.62154938711877872</v>
      </c>
      <c r="AS6">
        <f t="shared" si="40"/>
        <v>6.2507676429394532E-2</v>
      </c>
      <c r="AT6">
        <f t="shared" si="0"/>
        <v>0.1525924252795911</v>
      </c>
      <c r="AU6">
        <f t="shared" si="1"/>
        <v>0.38641556751363842</v>
      </c>
      <c r="AV6">
        <f t="shared" si="2"/>
        <v>0.26387415451404728</v>
      </c>
      <c r="AW6">
        <f t="shared" si="3"/>
        <v>0.25639091680462428</v>
      </c>
      <c r="AX6">
        <f t="shared" si="4"/>
        <v>0.21208068124143342</v>
      </c>
      <c r="AY6">
        <f t="shared" si="5"/>
        <v>0.19643633779244407</v>
      </c>
      <c r="AZ6">
        <f t="shared" si="6"/>
        <v>0.14350067086881926</v>
      </c>
      <c r="BA6">
        <f t="shared" si="7"/>
        <v>0.19217916532844431</v>
      </c>
      <c r="BB6">
        <f t="shared" si="8"/>
        <v>0.14448830015864847</v>
      </c>
      <c r="BC6">
        <f t="shared" si="9"/>
        <v>0.12880122890059828</v>
      </c>
      <c r="BD6">
        <f t="shared" si="10"/>
        <v>0.19002694931773756</v>
      </c>
      <c r="BE6">
        <f t="shared" si="11"/>
        <v>8.7094704414875893E-2</v>
      </c>
      <c r="BF6">
        <f t="shared" si="12"/>
        <v>0.14047989898145741</v>
      </c>
      <c r="BG6">
        <f t="shared" si="13"/>
        <v>0.22406202381092882</v>
      </c>
      <c r="BH6">
        <f t="shared" si="14"/>
        <v>3.6819711954354642E-2</v>
      </c>
      <c r="BI6">
        <f t="shared" si="15"/>
        <v>0.16653337730578016</v>
      </c>
      <c r="BJ6">
        <f t="shared" si="16"/>
        <v>8.913299804449698E-2</v>
      </c>
      <c r="BK6">
        <f t="shared" si="17"/>
        <v>9.6897867962143919E-2</v>
      </c>
      <c r="BL6">
        <f t="shared" si="18"/>
        <v>-4.8976966770457903E-2</v>
      </c>
      <c r="BM6">
        <f t="shared" si="19"/>
        <v>3.0757785489354733E-2</v>
      </c>
      <c r="BN6">
        <f t="shared" si="20"/>
        <v>0.18551492960578012</v>
      </c>
      <c r="BO6">
        <f t="shared" si="21"/>
        <v>0.10758517038931899</v>
      </c>
      <c r="BP6">
        <f t="shared" si="22"/>
        <v>4.7368189608410417E-2</v>
      </c>
      <c r="BQ6">
        <f t="shared" si="23"/>
        <v>0.23918784082949882</v>
      </c>
      <c r="BR6">
        <f t="shared" si="24"/>
        <v>0.25026858612529596</v>
      </c>
      <c r="BS6">
        <f t="shared" si="25"/>
        <v>0.11559775272994863</v>
      </c>
      <c r="BT6">
        <f t="shared" si="26"/>
        <v>9.7092290992616015E-2</v>
      </c>
      <c r="BU6">
        <f t="shared" si="27"/>
        <v>0.18984181607383491</v>
      </c>
      <c r="BV6">
        <f t="shared" si="28"/>
        <v>5.4479279181603668E-2</v>
      </c>
      <c r="BW6">
        <f t="shared" si="29"/>
        <v>0.18834004369744992</v>
      </c>
      <c r="BX6">
        <f t="shared" si="30"/>
        <v>0.11594256379682712</v>
      </c>
      <c r="BY6">
        <f t="shared" si="31"/>
        <v>0.17840978259165868</v>
      </c>
      <c r="BZ6">
        <f t="shared" si="32"/>
        <v>8.0759945167984751E-2</v>
      </c>
      <c r="CA6">
        <f t="shared" si="33"/>
        <v>7.7923209056801265E-2</v>
      </c>
      <c r="CB6">
        <f t="shared" si="34"/>
        <v>0.1151593428176777</v>
      </c>
      <c r="CC6">
        <f t="shared" si="35"/>
        <v>9.6643681891661781E-2</v>
      </c>
      <c r="CD6">
        <f t="shared" si="36"/>
        <v>1.7141116995365489E-2</v>
      </c>
      <c r="CE6">
        <f t="shared" si="37"/>
        <v>7.4119609150452544E-3</v>
      </c>
      <c r="CG6">
        <f t="shared" si="41"/>
        <v>1.0000000000000004</v>
      </c>
      <c r="CH6">
        <f t="shared" si="42"/>
        <v>1.0000000000000002</v>
      </c>
      <c r="CJ6">
        <f>SUMPRODUCT(AS6:CE6,'PC1'!AS6:CE6)</f>
        <v>0.94598836982586554</v>
      </c>
      <c r="CK6" s="1" t="s">
        <v>7</v>
      </c>
      <c r="CM6">
        <f>SUMPRODUCT(AS6:CE6,'PC2'!AS6:CE6)</f>
        <v>1.816729644057415E-2</v>
      </c>
      <c r="CN6">
        <f t="shared" si="43"/>
        <v>1.816729644057415E-2</v>
      </c>
      <c r="CO6">
        <f t="shared" si="44"/>
        <v>1.8169295545865983E-2</v>
      </c>
      <c r="CS6" t="s">
        <v>116</v>
      </c>
      <c r="CT6">
        <f t="shared" si="45"/>
        <v>0.94598836982586554</v>
      </c>
      <c r="CU6">
        <f t="shared" si="46"/>
        <v>1.7921629446535232</v>
      </c>
      <c r="CV6">
        <f t="shared" si="47"/>
        <v>1.816729644057415E-2</v>
      </c>
      <c r="CW6">
        <f t="shared" si="48"/>
        <v>1.8169295545865983E-2</v>
      </c>
      <c r="CX6">
        <v>1.5172435547174904E-2</v>
      </c>
      <c r="CY6">
        <v>1.5173599953726425E-2</v>
      </c>
      <c r="CZ6">
        <v>2.2579832281099711E-2</v>
      </c>
      <c r="DA6">
        <v>2.2583670889092737E-2</v>
      </c>
    </row>
    <row r="7" spans="1:105" x14ac:dyDescent="0.25">
      <c r="A7" s="1" t="s">
        <v>8</v>
      </c>
      <c r="B7">
        <v>5.2423319022975499E-2</v>
      </c>
      <c r="C7">
        <v>0.20662987526749699</v>
      </c>
      <c r="D7">
        <v>0.25365915673670397</v>
      </c>
      <c r="E7">
        <v>0.197719900362818</v>
      </c>
      <c r="F7">
        <v>0.18462912650282601</v>
      </c>
      <c r="G7">
        <v>0.13236188721112799</v>
      </c>
      <c r="H7">
        <v>0.10298870408723</v>
      </c>
      <c r="I7">
        <v>8.8249272171257997E-2</v>
      </c>
      <c r="J7">
        <v>0.125077306733478</v>
      </c>
      <c r="K7">
        <v>9.9411735129097498E-2</v>
      </c>
      <c r="L7">
        <v>8.4458751160357004E-2</v>
      </c>
      <c r="M7">
        <v>9.1986504145061099E-2</v>
      </c>
      <c r="N7">
        <v>3.4969182632415198E-2</v>
      </c>
      <c r="O7">
        <v>6.3627477002441105E-2</v>
      </c>
      <c r="P7">
        <v>0.112765740543501</v>
      </c>
      <c r="Q7">
        <v>3.8334346289710802E-2</v>
      </c>
      <c r="R7">
        <v>0.10834057097466999</v>
      </c>
      <c r="S7">
        <v>8.52594908518121E-2</v>
      </c>
      <c r="T7">
        <v>9.8843553051415303E-2</v>
      </c>
      <c r="U7">
        <v>-4.7168836127335504E-3</v>
      </c>
      <c r="V7">
        <v>4.0389840682338203E-2</v>
      </c>
      <c r="W7">
        <v>0.14818884756158199</v>
      </c>
      <c r="X7">
        <v>5.5780549993980903E-2</v>
      </c>
      <c r="Y7">
        <v>3.4726277908949499E-2</v>
      </c>
      <c r="Z7">
        <v>0.134934729534984</v>
      </c>
      <c r="AA7">
        <v>0.131853615730506</v>
      </c>
      <c r="AB7">
        <v>0.106476563269116</v>
      </c>
      <c r="AC7">
        <v>0.101730987899623</v>
      </c>
      <c r="AD7">
        <v>0.106514183472768</v>
      </c>
      <c r="AE7">
        <v>4.08220136949922E-2</v>
      </c>
      <c r="AF7">
        <v>8.9915494439747307E-2</v>
      </c>
      <c r="AG7">
        <v>8.7141270398845894E-2</v>
      </c>
      <c r="AH7">
        <v>9.5289666108170495E-2</v>
      </c>
      <c r="AI7">
        <v>-4.2697148196530104E-3</v>
      </c>
      <c r="AJ7">
        <v>2.4891427536968099E-2</v>
      </c>
      <c r="AK7">
        <v>6.8540000593283901E-3</v>
      </c>
      <c r="AL7">
        <v>9.6647480543556305E-2</v>
      </c>
      <c r="AM7">
        <v>-1.58320666332008E-2</v>
      </c>
      <c r="AN7">
        <v>3.8450860873977401E-2</v>
      </c>
      <c r="AP7">
        <f t="shared" si="38"/>
        <v>0.44297308430924731</v>
      </c>
      <c r="AQ7">
        <f t="shared" si="39"/>
        <v>0.66556223173287654</v>
      </c>
      <c r="AS7">
        <f t="shared" si="40"/>
        <v>7.876546553202797E-2</v>
      </c>
      <c r="AT7">
        <f t="shared" si="0"/>
        <v>0.31045913577383988</v>
      </c>
      <c r="AU7">
        <f t="shared" si="1"/>
        <v>0.38112011866459106</v>
      </c>
      <c r="AV7">
        <f t="shared" si="2"/>
        <v>0.29707199557887909</v>
      </c>
      <c r="AW7">
        <f t="shared" si="3"/>
        <v>0.27740325051516285</v>
      </c>
      <c r="AX7">
        <f t="shared" si="4"/>
        <v>0.19887229307845017</v>
      </c>
      <c r="AY7">
        <f t="shared" si="5"/>
        <v>0.15473940553851098</v>
      </c>
      <c r="AZ7">
        <f t="shared" si="6"/>
        <v>0.13259356971246658</v>
      </c>
      <c r="BA7">
        <f t="shared" si="7"/>
        <v>0.18792729029684152</v>
      </c>
      <c r="BB7">
        <f t="shared" si="8"/>
        <v>0.14936504866008743</v>
      </c>
      <c r="BC7">
        <f t="shared" si="9"/>
        <v>0.12689835320201062</v>
      </c>
      <c r="BD7">
        <f t="shared" si="10"/>
        <v>0.13820872002541737</v>
      </c>
      <c r="BE7">
        <f t="shared" si="11"/>
        <v>5.2540815817280456E-2</v>
      </c>
      <c r="BF7">
        <f t="shared" si="12"/>
        <v>9.5599590795257136E-2</v>
      </c>
      <c r="BG7">
        <f t="shared" si="13"/>
        <v>0.16942929626565639</v>
      </c>
      <c r="BH7">
        <f t="shared" si="14"/>
        <v>5.7596937539412987E-2</v>
      </c>
      <c r="BI7">
        <f t="shared" si="15"/>
        <v>0.16278052721319752</v>
      </c>
      <c r="BJ7">
        <f t="shared" si="16"/>
        <v>0.12810145586210336</v>
      </c>
      <c r="BK7">
        <f t="shared" si="17"/>
        <v>0.14851136128031703</v>
      </c>
      <c r="BL7">
        <f t="shared" si="18"/>
        <v>-7.0870662243747509E-3</v>
      </c>
      <c r="BM7">
        <f t="shared" si="19"/>
        <v>6.0685295463923906E-2</v>
      </c>
      <c r="BN7">
        <f t="shared" si="20"/>
        <v>0.22265212852561261</v>
      </c>
      <c r="BO7">
        <f t="shared" si="21"/>
        <v>8.3809668479458477E-2</v>
      </c>
      <c r="BP7">
        <f t="shared" si="22"/>
        <v>5.2175854117405648E-2</v>
      </c>
      <c r="BQ7">
        <f t="shared" si="23"/>
        <v>0.20273796063166646</v>
      </c>
      <c r="BR7">
        <f t="shared" si="24"/>
        <v>0.1981086207178677</v>
      </c>
      <c r="BS7">
        <f t="shared" si="25"/>
        <v>0.15997987594922661</v>
      </c>
      <c r="BT7">
        <f t="shared" si="26"/>
        <v>0.15284970067299844</v>
      </c>
      <c r="BU7">
        <f t="shared" si="27"/>
        <v>0.16003639989523546</v>
      </c>
      <c r="BV7">
        <f t="shared" si="28"/>
        <v>6.1334630705692027E-2</v>
      </c>
      <c r="BW7">
        <f t="shared" si="29"/>
        <v>0.13509705051267829</v>
      </c>
      <c r="BX7">
        <f t="shared" si="30"/>
        <v>0.13092880912422333</v>
      </c>
      <c r="BY7">
        <f t="shared" si="31"/>
        <v>0.14317168487771856</v>
      </c>
      <c r="BZ7">
        <f t="shared" si="32"/>
        <v>-6.415199985937094E-3</v>
      </c>
      <c r="CA7">
        <f t="shared" si="33"/>
        <v>3.73990986119511E-2</v>
      </c>
      <c r="CB7">
        <f t="shared" si="34"/>
        <v>1.029806039546914E-2</v>
      </c>
      <c r="CC7">
        <f t="shared" si="35"/>
        <v>0.14521178626966588</v>
      </c>
      <c r="CD7">
        <f t="shared" si="36"/>
        <v>-2.3787507581342147E-2</v>
      </c>
      <c r="CE7">
        <f t="shared" si="37"/>
        <v>5.7771999432518366E-2</v>
      </c>
      <c r="CG7">
        <f t="shared" si="41"/>
        <v>1.0000000000000002</v>
      </c>
      <c r="CH7">
        <f t="shared" si="42"/>
        <v>1</v>
      </c>
      <c r="CJ7">
        <f>SUMPRODUCT(AS7:CE7,'PC1'!AS7:CE7)</f>
        <v>0.93798439431311653</v>
      </c>
      <c r="CK7" s="1" t="s">
        <v>8</v>
      </c>
      <c r="CM7">
        <f>SUMPRODUCT(AS7:CE7,'PC2'!AS7:CE7)</f>
        <v>0.11417662604065561</v>
      </c>
      <c r="CN7">
        <f t="shared" si="43"/>
        <v>0.11417662604065561</v>
      </c>
      <c r="CO7">
        <f t="shared" si="44"/>
        <v>0.11467669029067057</v>
      </c>
      <c r="CS7" t="s">
        <v>116</v>
      </c>
      <c r="CT7">
        <f t="shared" si="45"/>
        <v>0.93798439431311653</v>
      </c>
      <c r="CU7">
        <f t="shared" si="46"/>
        <v>1.7210088409741644</v>
      </c>
      <c r="CV7">
        <f t="shared" si="47"/>
        <v>0.11417662604065561</v>
      </c>
      <c r="CW7">
        <f t="shared" si="48"/>
        <v>0.11467669029067057</v>
      </c>
      <c r="CX7">
        <v>5.8551857603839873E-3</v>
      </c>
      <c r="CY7">
        <v>5.8552526732623773E-3</v>
      </c>
      <c r="CZ7">
        <v>8.1076245948822651E-2</v>
      </c>
      <c r="DA7">
        <v>8.1254597621350885E-2</v>
      </c>
    </row>
    <row r="8" spans="1:105" x14ac:dyDescent="0.25">
      <c r="A8" s="1" t="s">
        <v>9</v>
      </c>
      <c r="B8">
        <v>5.5166080726950298E-2</v>
      </c>
      <c r="C8">
        <v>0.145289690715877</v>
      </c>
      <c r="D8">
        <v>0.29524316756364899</v>
      </c>
      <c r="E8">
        <v>0.19781595180252501</v>
      </c>
      <c r="F8">
        <v>0.18076487047218201</v>
      </c>
      <c r="G8">
        <v>0.15142583368113899</v>
      </c>
      <c r="H8">
        <v>9.6422168269821196E-2</v>
      </c>
      <c r="I8">
        <v>0.132206649601422</v>
      </c>
      <c r="J8">
        <v>0.135843675991317</v>
      </c>
      <c r="K8">
        <v>0.177039977341378</v>
      </c>
      <c r="L8">
        <v>8.0341731581755102E-2</v>
      </c>
      <c r="M8">
        <v>0.105920801261665</v>
      </c>
      <c r="N8">
        <v>6.6957942833149806E-2</v>
      </c>
      <c r="O8">
        <v>6.1213762473255801E-2</v>
      </c>
      <c r="P8">
        <v>0.100918158888241</v>
      </c>
      <c r="Q8">
        <v>4.1956779740943098E-2</v>
      </c>
      <c r="R8">
        <v>0.12829020715536599</v>
      </c>
      <c r="S8">
        <v>0.12479735582378899</v>
      </c>
      <c r="T8">
        <v>0.12489320992950199</v>
      </c>
      <c r="U8">
        <v>1.7481311276793102E-2</v>
      </c>
      <c r="V8">
        <v>1.7964149740457201E-2</v>
      </c>
      <c r="W8">
        <v>0.16994287864926799</v>
      </c>
      <c r="X8">
        <v>5.51853194991795E-2</v>
      </c>
      <c r="Y8">
        <v>4.6197336260089997E-2</v>
      </c>
      <c r="Z8">
        <v>0.16471986277411299</v>
      </c>
      <c r="AA8">
        <v>0.18161632249615101</v>
      </c>
      <c r="AB8">
        <v>0.109183891120716</v>
      </c>
      <c r="AC8">
        <v>7.0438330931800894E-2</v>
      </c>
      <c r="AD8">
        <v>9.3072822523093901E-2</v>
      </c>
      <c r="AE8">
        <v>3.2774884093674801E-2</v>
      </c>
      <c r="AF8">
        <v>0.10102188440083</v>
      </c>
      <c r="AG8">
        <v>0.107451706185741</v>
      </c>
      <c r="AH8">
        <v>8.53266929159118E-2</v>
      </c>
      <c r="AI8">
        <v>2.3435176407649101E-2</v>
      </c>
      <c r="AJ8">
        <v>3.5335571977947601E-2</v>
      </c>
      <c r="AK8">
        <v>2.66722366268487E-2</v>
      </c>
      <c r="AL8">
        <v>0.109243927957185</v>
      </c>
      <c r="AM8">
        <v>1.0239882297223099E-3</v>
      </c>
      <c r="AN8">
        <v>1.3691988642444799E-2</v>
      </c>
      <c r="AP8">
        <f t="shared" si="38"/>
        <v>0.53319965571226369</v>
      </c>
      <c r="AQ8">
        <f t="shared" si="39"/>
        <v>0.73020521479393974</v>
      </c>
      <c r="AS8">
        <f t="shared" si="40"/>
        <v>7.5548735628405347E-2</v>
      </c>
      <c r="AT8">
        <f t="shared" si="0"/>
        <v>0.1989710396095665</v>
      </c>
      <c r="AU8">
        <f t="shared" si="1"/>
        <v>0.40432903186943842</v>
      </c>
      <c r="AV8">
        <f t="shared" si="2"/>
        <v>0.27090460023398721</v>
      </c>
      <c r="AW8">
        <f t="shared" si="3"/>
        <v>0.24755351894219621</v>
      </c>
      <c r="AX8">
        <f t="shared" si="4"/>
        <v>0.20737435259740045</v>
      </c>
      <c r="AY8">
        <f t="shared" si="5"/>
        <v>0.13204804117570024</v>
      </c>
      <c r="AZ8">
        <f t="shared" si="6"/>
        <v>0.18105410222074361</v>
      </c>
      <c r="BA8">
        <f t="shared" si="7"/>
        <v>0.18603492996095816</v>
      </c>
      <c r="BB8">
        <f t="shared" si="8"/>
        <v>0.24245235963062492</v>
      </c>
      <c r="BC8">
        <f t="shared" si="9"/>
        <v>0.11002623639770517</v>
      </c>
      <c r="BD8">
        <f t="shared" si="10"/>
        <v>0.14505621038539876</v>
      </c>
      <c r="BE8">
        <f t="shared" si="11"/>
        <v>9.1697431730948409E-2</v>
      </c>
      <c r="BF8">
        <f t="shared" si="12"/>
        <v>8.3830902920256495E-2</v>
      </c>
      <c r="BG8">
        <f t="shared" si="13"/>
        <v>0.13820520155655092</v>
      </c>
      <c r="BH8">
        <f t="shared" si="14"/>
        <v>5.7458888119257118E-2</v>
      </c>
      <c r="BI8">
        <f t="shared" si="15"/>
        <v>0.17569062033002442</v>
      </c>
      <c r="BJ8">
        <f t="shared" si="16"/>
        <v>0.17090723716483755</v>
      </c>
      <c r="BK8">
        <f t="shared" si="17"/>
        <v>0.17103850725682126</v>
      </c>
      <c r="BL8">
        <f t="shared" si="18"/>
        <v>2.3940271751861208E-2</v>
      </c>
      <c r="BM8">
        <f t="shared" si="19"/>
        <v>2.4601508420515176E-2</v>
      </c>
      <c r="BN8">
        <f t="shared" si="20"/>
        <v>0.232733038885822</v>
      </c>
      <c r="BO8">
        <f t="shared" si="21"/>
        <v>7.5575082704322408E-2</v>
      </c>
      <c r="BP8">
        <f t="shared" si="22"/>
        <v>6.3266237112708998E-2</v>
      </c>
      <c r="BQ8">
        <f t="shared" si="23"/>
        <v>0.22558023338767325</v>
      </c>
      <c r="BR8">
        <f t="shared" si="24"/>
        <v>0.2487195637837265</v>
      </c>
      <c r="BS8">
        <f t="shared" si="25"/>
        <v>0.14952494026152244</v>
      </c>
      <c r="BT8">
        <f t="shared" si="26"/>
        <v>9.6463746772444292E-2</v>
      </c>
      <c r="BU8">
        <f t="shared" si="27"/>
        <v>0.12746118575633369</v>
      </c>
      <c r="BV8">
        <f t="shared" si="28"/>
        <v>4.4884483744646646E-2</v>
      </c>
      <c r="BW8">
        <f t="shared" si="29"/>
        <v>0.13834725136732676</v>
      </c>
      <c r="BX8">
        <f t="shared" si="30"/>
        <v>0.14715275104692774</v>
      </c>
      <c r="BY8">
        <f t="shared" si="31"/>
        <v>0.1168530314317059</v>
      </c>
      <c r="BZ8">
        <f t="shared" si="32"/>
        <v>3.2093959249883459E-2</v>
      </c>
      <c r="CA8">
        <f t="shared" si="33"/>
        <v>4.839128954717082E-2</v>
      </c>
      <c r="CB8">
        <f t="shared" si="34"/>
        <v>3.6527042106068046E-2</v>
      </c>
      <c r="CC8">
        <f t="shared" si="35"/>
        <v>0.14960715939013541</v>
      </c>
      <c r="CD8">
        <f t="shared" si="36"/>
        <v>1.4023293849130813E-3</v>
      </c>
      <c r="CE8">
        <f t="shared" si="37"/>
        <v>1.8750877650618544E-2</v>
      </c>
      <c r="CG8">
        <f t="shared" si="41"/>
        <v>1.0000000000000002</v>
      </c>
      <c r="CH8">
        <f t="shared" si="42"/>
        <v>1</v>
      </c>
      <c r="CJ8">
        <f>SUMPRODUCT(AS8:CE8,'PC1'!AS8:CE8)</f>
        <v>0.95139134163462524</v>
      </c>
      <c r="CK8" s="1" t="s">
        <v>9</v>
      </c>
      <c r="CM8">
        <f>SUMPRODUCT(AS8:CE8,'PC2'!AS8:CE8)</f>
        <v>3.2966291223094905E-2</v>
      </c>
      <c r="CN8">
        <f t="shared" si="43"/>
        <v>3.2966291223094905E-2</v>
      </c>
      <c r="CO8">
        <f t="shared" si="44"/>
        <v>3.297824134495559E-2</v>
      </c>
      <c r="CS8" t="s">
        <v>116</v>
      </c>
      <c r="CT8">
        <f t="shared" si="45"/>
        <v>0.95139134163462524</v>
      </c>
      <c r="CU8">
        <f t="shared" si="46"/>
        <v>1.8462481174787075</v>
      </c>
      <c r="CV8">
        <f t="shared" si="47"/>
        <v>3.2966291223094905E-2</v>
      </c>
      <c r="CW8">
        <f t="shared" si="48"/>
        <v>3.297824134495559E-2</v>
      </c>
      <c r="CX8">
        <v>3.8104559089947539E-2</v>
      </c>
      <c r="CY8">
        <v>3.8123017238698098E-2</v>
      </c>
      <c r="CZ8">
        <v>0.10656589866221215</v>
      </c>
      <c r="DA8">
        <v>0.10697206759528938</v>
      </c>
    </row>
    <row r="9" spans="1:105" x14ac:dyDescent="0.25">
      <c r="A9" s="1" t="s">
        <v>10</v>
      </c>
      <c r="B9">
        <v>4.7898285672358099E-2</v>
      </c>
      <c r="C9">
        <v>0.174597316254197</v>
      </c>
      <c r="D9">
        <v>0.30444906625937601</v>
      </c>
      <c r="E9">
        <v>0.229801329678434</v>
      </c>
      <c r="F9">
        <v>0.21590799510174499</v>
      </c>
      <c r="G9">
        <v>0.15629494645922401</v>
      </c>
      <c r="H9">
        <v>9.9103663269954206E-2</v>
      </c>
      <c r="I9">
        <v>0.10999699365520101</v>
      </c>
      <c r="J9">
        <v>0.14942964135881101</v>
      </c>
      <c r="K9">
        <v>0.11969389221582701</v>
      </c>
      <c r="L9">
        <v>5.4327743716706199E-2</v>
      </c>
      <c r="M9">
        <v>0.13777044484322701</v>
      </c>
      <c r="N9">
        <v>6.3539267128794694E-2</v>
      </c>
      <c r="O9">
        <v>9.4133047920247098E-2</v>
      </c>
      <c r="P9">
        <v>6.7381587860389697E-2</v>
      </c>
      <c r="Q9">
        <v>2.3537505350337998E-2</v>
      </c>
      <c r="R9">
        <v>0.12056508058083</v>
      </c>
      <c r="S9">
        <v>0.12348924786943601</v>
      </c>
      <c r="T9">
        <v>0.119408741576686</v>
      </c>
      <c r="U9">
        <v>2.21320259501206E-2</v>
      </c>
      <c r="V9">
        <v>-1.4146195999212301E-3</v>
      </c>
      <c r="W9">
        <v>0.18051384783489999</v>
      </c>
      <c r="X9">
        <v>8.9658603069022694E-2</v>
      </c>
      <c r="Y9">
        <v>4.9908312775536201E-2</v>
      </c>
      <c r="Z9">
        <v>0.142525109646503</v>
      </c>
      <c r="AA9">
        <v>0.18026671021042601</v>
      </c>
      <c r="AB9">
        <v>0.101724515964152</v>
      </c>
      <c r="AC9">
        <v>4.8104340808481798E-2</v>
      </c>
      <c r="AD9">
        <v>0.116805542818691</v>
      </c>
      <c r="AE9">
        <v>4.61352189268181E-2</v>
      </c>
      <c r="AF9">
        <v>0.11713885017721599</v>
      </c>
      <c r="AG9">
        <v>9.4105119573573204E-2</v>
      </c>
      <c r="AH9">
        <v>5.7329425031726201E-2</v>
      </c>
      <c r="AI9">
        <v>3.4365459546480501E-2</v>
      </c>
      <c r="AJ9">
        <v>4.8465807334869403E-2</v>
      </c>
      <c r="AK9">
        <v>7.1630674090883695E-2</v>
      </c>
      <c r="AL9">
        <v>0.14505046877541999</v>
      </c>
      <c r="AM9">
        <v>2.4214340885103599E-2</v>
      </c>
      <c r="AN9">
        <v>1.07254272814093E-2</v>
      </c>
      <c r="AP9">
        <f t="shared" si="38"/>
        <v>0.57298198858876392</v>
      </c>
      <c r="AQ9">
        <f t="shared" si="39"/>
        <v>0.75695573753606227</v>
      </c>
      <c r="AS9">
        <f t="shared" si="40"/>
        <v>6.3277525087886879E-2</v>
      </c>
      <c r="AT9">
        <f t="shared" si="0"/>
        <v>0.23065723343682162</v>
      </c>
      <c r="AU9">
        <f t="shared" si="1"/>
        <v>0.40220194016941668</v>
      </c>
      <c r="AV9">
        <f t="shared" si="2"/>
        <v>0.30358621816706421</v>
      </c>
      <c r="AW9">
        <f t="shared" si="3"/>
        <v>0.28523199494403578</v>
      </c>
      <c r="AX9">
        <f t="shared" si="4"/>
        <v>0.20647831664236238</v>
      </c>
      <c r="AY9">
        <f t="shared" si="5"/>
        <v>0.13092398717069345</v>
      </c>
      <c r="AZ9">
        <f t="shared" si="6"/>
        <v>0.14531496123306764</v>
      </c>
      <c r="BA9">
        <f t="shared" si="7"/>
        <v>0.19740869108835046</v>
      </c>
      <c r="BB9">
        <f t="shared" si="8"/>
        <v>0.15812535169551395</v>
      </c>
      <c r="BC9">
        <f t="shared" si="9"/>
        <v>7.1771361286653776E-2</v>
      </c>
      <c r="BD9">
        <f t="shared" si="10"/>
        <v>0.18200594567349251</v>
      </c>
      <c r="BE9">
        <f t="shared" si="11"/>
        <v>8.3940531761631049E-2</v>
      </c>
      <c r="BF9">
        <f t="shared" si="12"/>
        <v>0.12435740064096217</v>
      </c>
      <c r="BG9">
        <f t="shared" si="13"/>
        <v>8.9016549474505519E-2</v>
      </c>
      <c r="BH9">
        <f t="shared" si="14"/>
        <v>3.1094955996970226E-2</v>
      </c>
      <c r="BI9">
        <f t="shared" si="15"/>
        <v>0.15927626227297886</v>
      </c>
      <c r="BJ9">
        <f t="shared" si="16"/>
        <v>0.16313932472643797</v>
      </c>
      <c r="BK9">
        <f t="shared" si="17"/>
        <v>0.15774864454475085</v>
      </c>
      <c r="BL9">
        <f t="shared" si="18"/>
        <v>2.923820357338424E-2</v>
      </c>
      <c r="BM9">
        <f t="shared" si="19"/>
        <v>-1.8688273696503106E-3</v>
      </c>
      <c r="BN9">
        <f t="shared" si="20"/>
        <v>0.23847345212348045</v>
      </c>
      <c r="BO9">
        <f t="shared" si="21"/>
        <v>0.11844629563264424</v>
      </c>
      <c r="BP9">
        <f t="shared" si="22"/>
        <v>6.5932934121076675E-2</v>
      </c>
      <c r="BQ9">
        <f t="shared" si="23"/>
        <v>0.18828724399451816</v>
      </c>
      <c r="BR9">
        <f t="shared" si="24"/>
        <v>0.23814696325204601</v>
      </c>
      <c r="BS9">
        <f t="shared" si="25"/>
        <v>0.13438634641342648</v>
      </c>
      <c r="BT9">
        <f t="shared" si="26"/>
        <v>6.3549740655991852E-2</v>
      </c>
      <c r="BU9">
        <f t="shared" si="27"/>
        <v>0.15430960758537912</v>
      </c>
      <c r="BV9">
        <f t="shared" si="28"/>
        <v>6.0948370742245891E-2</v>
      </c>
      <c r="BW9">
        <f t="shared" si="29"/>
        <v>0.15474993367315001</v>
      </c>
      <c r="BX9">
        <f t="shared" si="30"/>
        <v>0.12432050502700619</v>
      </c>
      <c r="BY9">
        <f t="shared" si="31"/>
        <v>7.5736826063749804E-2</v>
      </c>
      <c r="BZ9">
        <f t="shared" si="32"/>
        <v>4.5399562804480743E-2</v>
      </c>
      <c r="CA9">
        <f t="shared" si="33"/>
        <v>6.402726729125352E-2</v>
      </c>
      <c r="CB9">
        <f t="shared" si="34"/>
        <v>9.4629937443959367E-2</v>
      </c>
      <c r="CC9">
        <f t="shared" si="35"/>
        <v>0.1916234484826923</v>
      </c>
      <c r="CD9">
        <f t="shared" si="36"/>
        <v>3.1989110702724539E-2</v>
      </c>
      <c r="CE9">
        <f t="shared" si="37"/>
        <v>1.4169160427162134E-2</v>
      </c>
      <c r="CG9">
        <f t="shared" si="41"/>
        <v>0.99999999999999989</v>
      </c>
      <c r="CH9">
        <f t="shared" si="42"/>
        <v>1</v>
      </c>
      <c r="CJ9">
        <f>SUMPRODUCT(AS9:CE9,'PC1'!AS9:CE9)</f>
        <v>0.96459666215548334</v>
      </c>
      <c r="CK9" s="1" t="s">
        <v>10</v>
      </c>
      <c r="CM9">
        <f>SUMPRODUCT(AS9:CE9,'PC2'!AS9:CE9)</f>
        <v>2.4300346857838603E-2</v>
      </c>
      <c r="CN9">
        <f t="shared" si="43"/>
        <v>2.4300346857838603E-2</v>
      </c>
      <c r="CO9">
        <f t="shared" si="44"/>
        <v>2.4305131727070887E-2</v>
      </c>
      <c r="CS9" t="s">
        <v>116</v>
      </c>
      <c r="CT9">
        <f t="shared" si="45"/>
        <v>0.96459666215548334</v>
      </c>
      <c r="CU9">
        <f t="shared" si="46"/>
        <v>2.0081180685784883</v>
      </c>
      <c r="CV9">
        <f t="shared" si="47"/>
        <v>2.4300346857838603E-2</v>
      </c>
      <c r="CW9">
        <f t="shared" si="48"/>
        <v>2.4305131727070887E-2</v>
      </c>
      <c r="CX9">
        <v>8.1674036278964347E-3</v>
      </c>
      <c r="CY9">
        <v>8.1675852414197763E-3</v>
      </c>
      <c r="CZ9">
        <v>4.881810937409585E-2</v>
      </c>
      <c r="DA9">
        <v>4.8856946155973177E-2</v>
      </c>
    </row>
    <row r="10" spans="1:105" x14ac:dyDescent="0.25">
      <c r="A10" s="1" t="s">
        <v>11</v>
      </c>
      <c r="B10">
        <v>4.4591304836451899E-2</v>
      </c>
      <c r="C10">
        <v>0.130616576958789</v>
      </c>
      <c r="D10">
        <v>0.28273500490762798</v>
      </c>
      <c r="E10">
        <v>0.18814273125190201</v>
      </c>
      <c r="F10">
        <v>0.18818288359837801</v>
      </c>
      <c r="G10">
        <v>0.14321163509905199</v>
      </c>
      <c r="H10">
        <v>0.11423772901250299</v>
      </c>
      <c r="I10">
        <v>0.12758629722026399</v>
      </c>
      <c r="J10">
        <v>0.12896105087781201</v>
      </c>
      <c r="K10">
        <v>0.12704123235776801</v>
      </c>
      <c r="L10">
        <v>6.6993740269010102E-2</v>
      </c>
      <c r="M10">
        <v>6.9811231814808E-2</v>
      </c>
      <c r="N10">
        <v>4.3776729743340001E-2</v>
      </c>
      <c r="O10">
        <v>7.6416938693948097E-2</v>
      </c>
      <c r="P10">
        <v>0.10993739665090101</v>
      </c>
      <c r="Q10">
        <v>5.3573301265091598E-2</v>
      </c>
      <c r="R10">
        <v>0.14653050959993899</v>
      </c>
      <c r="S10">
        <v>9.8139840527836197E-2</v>
      </c>
      <c r="T10">
        <v>9.2637239789199494E-2</v>
      </c>
      <c r="U10">
        <v>4.8990310584587998E-2</v>
      </c>
      <c r="V10">
        <v>1.5008854020400701E-2</v>
      </c>
      <c r="W10">
        <v>0.10790863327538</v>
      </c>
      <c r="X10">
        <v>3.1680400131782603E-2</v>
      </c>
      <c r="Y10">
        <v>4.1325146812300803E-2</v>
      </c>
      <c r="Z10">
        <v>0.105315272409908</v>
      </c>
      <c r="AA10">
        <v>0.110313248307813</v>
      </c>
      <c r="AB10">
        <v>8.0368583138499899E-2</v>
      </c>
      <c r="AC10">
        <v>4.11829921508697E-2</v>
      </c>
      <c r="AD10">
        <v>0.13813804803919999</v>
      </c>
      <c r="AE10">
        <v>2.23171426307163E-2</v>
      </c>
      <c r="AF10">
        <v>8.9663501039872695E-2</v>
      </c>
      <c r="AG10">
        <v>0.117431841987833</v>
      </c>
      <c r="AH10">
        <v>9.8739993625262396E-2</v>
      </c>
      <c r="AI10">
        <v>6.2754740486292801E-2</v>
      </c>
      <c r="AJ10">
        <v>5.4235258191221103E-2</v>
      </c>
      <c r="AK10">
        <v>5.9296787896694701E-2</v>
      </c>
      <c r="AL10">
        <v>9.0304958783208794E-2</v>
      </c>
      <c r="AM10">
        <v>-8.0173383148155804E-3</v>
      </c>
      <c r="AN10">
        <v>3.1372480068901601E-2</v>
      </c>
      <c r="AP10">
        <f t="shared" si="38"/>
        <v>0.44332073105624364</v>
      </c>
      <c r="AQ10">
        <f t="shared" si="39"/>
        <v>0.66582334823603451</v>
      </c>
      <c r="AS10">
        <f t="shared" si="40"/>
        <v>6.6971674926371419E-2</v>
      </c>
      <c r="AT10">
        <f t="shared" si="0"/>
        <v>0.19617301992312441</v>
      </c>
      <c r="AU10">
        <f t="shared" si="1"/>
        <v>0.4246396670478404</v>
      </c>
      <c r="AV10">
        <f t="shared" si="2"/>
        <v>0.28257154356384234</v>
      </c>
      <c r="AW10">
        <f t="shared" si="3"/>
        <v>0.28263184836778532</v>
      </c>
      <c r="AX10">
        <f t="shared" si="4"/>
        <v>0.21508953610362647</v>
      </c>
      <c r="AY10">
        <f t="shared" si="5"/>
        <v>0.17157363032575076</v>
      </c>
      <c r="AZ10">
        <f t="shared" si="6"/>
        <v>0.19162184317849218</v>
      </c>
      <c r="BA10">
        <f t="shared" si="7"/>
        <v>0.19368658551771797</v>
      </c>
      <c r="BB10">
        <f t="shared" si="8"/>
        <v>0.19080321033249778</v>
      </c>
      <c r="BC10">
        <f t="shared" si="9"/>
        <v>0.1006178897848755</v>
      </c>
      <c r="BD10">
        <f t="shared" si="10"/>
        <v>0.10484947997056406</v>
      </c>
      <c r="BE10">
        <f t="shared" si="11"/>
        <v>6.5748264700115536E-2</v>
      </c>
      <c r="BF10">
        <f t="shared" si="12"/>
        <v>0.11477059027202854</v>
      </c>
      <c r="BG10">
        <f t="shared" si="13"/>
        <v>0.16511496171192869</v>
      </c>
      <c r="BH10">
        <f t="shared" si="14"/>
        <v>8.0461734192745452E-2</v>
      </c>
      <c r="BI10">
        <f t="shared" si="15"/>
        <v>0.22007415328426408</v>
      </c>
      <c r="BJ10">
        <f t="shared" si="16"/>
        <v>0.1473962137071913</v>
      </c>
      <c r="BK10">
        <f t="shared" si="17"/>
        <v>0.13913185837448219</v>
      </c>
      <c r="BL10">
        <f t="shared" si="18"/>
        <v>7.3578541086578006E-2</v>
      </c>
      <c r="BM10">
        <f t="shared" si="19"/>
        <v>2.2541795898512195E-2</v>
      </c>
      <c r="BN10">
        <f t="shared" si="20"/>
        <v>0.1620679622624564</v>
      </c>
      <c r="BO10">
        <f t="shared" si="21"/>
        <v>4.758078883192287E-2</v>
      </c>
      <c r="BP10">
        <f t="shared" si="22"/>
        <v>6.2066232615277751E-2</v>
      </c>
      <c r="BQ10">
        <f t="shared" si="23"/>
        <v>0.15817299391635889</v>
      </c>
      <c r="BR10">
        <f t="shared" si="24"/>
        <v>0.16567945326649455</v>
      </c>
      <c r="BS10">
        <f t="shared" si="25"/>
        <v>0.12070556454864545</v>
      </c>
      <c r="BT10">
        <f t="shared" si="26"/>
        <v>6.1852730547788365E-2</v>
      </c>
      <c r="BU10">
        <f t="shared" si="27"/>
        <v>0.20746951635921007</v>
      </c>
      <c r="BV10">
        <f t="shared" si="28"/>
        <v>3.3518113610526118E-2</v>
      </c>
      <c r="BW10">
        <f t="shared" si="29"/>
        <v>0.13466560053416296</v>
      </c>
      <c r="BX10">
        <f t="shared" si="30"/>
        <v>0.17637086818740305</v>
      </c>
      <c r="BY10">
        <f t="shared" si="31"/>
        <v>0.1482975835660528</v>
      </c>
      <c r="BZ10">
        <f t="shared" si="32"/>
        <v>9.4251336563292515E-2</v>
      </c>
      <c r="CA10">
        <f t="shared" si="33"/>
        <v>8.1455927213887211E-2</v>
      </c>
      <c r="CB10">
        <f t="shared" si="34"/>
        <v>8.9057838019332994E-2</v>
      </c>
      <c r="CC10">
        <f t="shared" si="35"/>
        <v>0.13562900583533707</v>
      </c>
      <c r="CD10">
        <f t="shared" si="36"/>
        <v>-1.2041239370857017E-2</v>
      </c>
      <c r="CE10">
        <f t="shared" si="37"/>
        <v>4.7118323729584875E-2</v>
      </c>
      <c r="CG10">
        <f t="shared" si="41"/>
        <v>0.99999999999999989</v>
      </c>
      <c r="CH10">
        <f t="shared" si="42"/>
        <v>1</v>
      </c>
      <c r="CJ10">
        <f>SUMPRODUCT(AS10:CE10,'PC1'!AS10:CE10)</f>
        <v>0.95591069794444827</v>
      </c>
      <c r="CK10" s="1" t="s">
        <v>11</v>
      </c>
      <c r="CM10">
        <f>SUMPRODUCT(AS10:CE10,'PC2'!AS10:CE10)</f>
        <v>3.648475442534798E-2</v>
      </c>
      <c r="CN10">
        <f t="shared" si="43"/>
        <v>3.648475442534798E-2</v>
      </c>
      <c r="CO10">
        <f t="shared" si="44"/>
        <v>3.6500956106547404E-2</v>
      </c>
      <c r="CS10" t="s">
        <v>116</v>
      </c>
      <c r="CT10">
        <f t="shared" si="45"/>
        <v>0.95591069794444827</v>
      </c>
      <c r="CU10">
        <f t="shared" si="46"/>
        <v>1.8961970124273186</v>
      </c>
      <c r="CV10">
        <f t="shared" si="47"/>
        <v>3.648475442534798E-2</v>
      </c>
      <c r="CW10">
        <f t="shared" si="48"/>
        <v>3.6500956106547404E-2</v>
      </c>
      <c r="CX10">
        <v>3.5380677260113849E-3</v>
      </c>
      <c r="CY10">
        <v>3.538082489208976E-3</v>
      </c>
      <c r="CZ10">
        <v>4.6803025361601455E-2</v>
      </c>
      <c r="DA10">
        <v>4.6837244718546493E-2</v>
      </c>
    </row>
    <row r="11" spans="1:105" x14ac:dyDescent="0.25">
      <c r="A11" s="1" t="s">
        <v>12</v>
      </c>
      <c r="B11">
        <v>4.9538505651198099E-2</v>
      </c>
      <c r="C11">
        <v>0.16566538541228201</v>
      </c>
      <c r="D11">
        <v>0.28632038788498099</v>
      </c>
      <c r="E11">
        <v>0.20411586449963001</v>
      </c>
      <c r="F11">
        <v>0.19286308851720699</v>
      </c>
      <c r="G11">
        <v>0.16192116049580799</v>
      </c>
      <c r="H11">
        <v>0.131121372099156</v>
      </c>
      <c r="I11">
        <v>0.11934218477064</v>
      </c>
      <c r="J11">
        <v>0.15126665993195201</v>
      </c>
      <c r="K11">
        <v>0.166324717888781</v>
      </c>
      <c r="L11">
        <v>0.12519561632433601</v>
      </c>
      <c r="M11">
        <v>0.13836203668869501</v>
      </c>
      <c r="N11">
        <v>7.7576752226351006E-2</v>
      </c>
      <c r="O11">
        <v>0.10991738553566301</v>
      </c>
      <c r="P11">
        <v>7.3768594130687704E-2</v>
      </c>
      <c r="Q11">
        <v>4.6451556628525098E-2</v>
      </c>
      <c r="R11">
        <v>0.13072899501968599</v>
      </c>
      <c r="S11">
        <v>0.13457643424884999</v>
      </c>
      <c r="T11">
        <v>0.12123479271323701</v>
      </c>
      <c r="U11">
        <v>1.8913210665907901E-2</v>
      </c>
      <c r="V11">
        <v>7.6611217144394603E-2</v>
      </c>
      <c r="W11">
        <v>0.183962577634808</v>
      </c>
      <c r="X11">
        <v>5.93400859251349E-2</v>
      </c>
      <c r="Y11">
        <v>4.82508950390639E-2</v>
      </c>
      <c r="Z11">
        <v>0.19570719678606599</v>
      </c>
      <c r="AA11">
        <v>0.14763946060469099</v>
      </c>
      <c r="AB11">
        <v>0.111246398131925</v>
      </c>
      <c r="AC11">
        <v>9.0256536610962695E-2</v>
      </c>
      <c r="AD11">
        <v>0.105011799498002</v>
      </c>
      <c r="AE11">
        <v>4.1293516560752599E-2</v>
      </c>
      <c r="AF11">
        <v>0.130013946907265</v>
      </c>
      <c r="AG11">
        <v>8.3824200618361794E-2</v>
      </c>
      <c r="AH11">
        <v>0.12179571442642501</v>
      </c>
      <c r="AI11">
        <v>6.2124463448638097E-2</v>
      </c>
      <c r="AJ11">
        <v>7.3573736867108303E-2</v>
      </c>
      <c r="AK11">
        <v>0.100104337978527</v>
      </c>
      <c r="AL11">
        <v>0.134641742582566</v>
      </c>
      <c r="AM11">
        <v>4.5818528003223002E-2</v>
      </c>
      <c r="AN11">
        <v>2.1274609326770999E-2</v>
      </c>
      <c r="AP11">
        <f t="shared" si="38"/>
        <v>0.62736359937160424</v>
      </c>
      <c r="AQ11">
        <f t="shared" si="39"/>
        <v>0.79206287589534474</v>
      </c>
      <c r="AS11">
        <f t="shared" si="40"/>
        <v>6.254365298360938E-2</v>
      </c>
      <c r="AT11">
        <f t="shared" si="0"/>
        <v>0.20915686172643114</v>
      </c>
      <c r="AU11">
        <f t="shared" si="1"/>
        <v>0.36148694326990838</v>
      </c>
      <c r="AV11">
        <f t="shared" si="2"/>
        <v>0.25770159252685371</v>
      </c>
      <c r="AW11">
        <f t="shared" si="3"/>
        <v>0.2434946699139198</v>
      </c>
      <c r="AX11">
        <f t="shared" si="4"/>
        <v>0.20442968029876787</v>
      </c>
      <c r="AY11">
        <f t="shared" si="5"/>
        <v>0.16554414566007392</v>
      </c>
      <c r="AZ11">
        <f t="shared" si="6"/>
        <v>0.15067261501902368</v>
      </c>
      <c r="BA11">
        <f t="shared" si="7"/>
        <v>0.19097809597623266</v>
      </c>
      <c r="BB11">
        <f t="shared" si="8"/>
        <v>0.20998928614192175</v>
      </c>
      <c r="BC11">
        <f t="shared" si="9"/>
        <v>0.15806272473358302</v>
      </c>
      <c r="BD11">
        <f t="shared" si="10"/>
        <v>0.17468567319518807</v>
      </c>
      <c r="BE11">
        <f t="shared" si="11"/>
        <v>9.7942669183502071E-2</v>
      </c>
      <c r="BF11">
        <f t="shared" si="12"/>
        <v>0.13877356063609575</v>
      </c>
      <c r="BG11">
        <f t="shared" si="13"/>
        <v>9.3134770452787577E-2</v>
      </c>
      <c r="BH11">
        <f t="shared" si="14"/>
        <v>5.864629948224305E-2</v>
      </c>
      <c r="BI11">
        <f t="shared" si="15"/>
        <v>0.16504875938278316</v>
      </c>
      <c r="BJ11">
        <f t="shared" si="16"/>
        <v>0.16990625156711875</v>
      </c>
      <c r="BK11">
        <f t="shared" si="17"/>
        <v>0.15306208181540346</v>
      </c>
      <c r="BL11">
        <f t="shared" si="18"/>
        <v>2.3878420819216508E-2</v>
      </c>
      <c r="BM11">
        <f t="shared" si="19"/>
        <v>9.6723656007477413E-2</v>
      </c>
      <c r="BN11">
        <f t="shared" si="20"/>
        <v>0.23225754322452927</v>
      </c>
      <c r="BO11">
        <f t="shared" si="21"/>
        <v>7.4918403236683834E-2</v>
      </c>
      <c r="BP11">
        <f t="shared" si="22"/>
        <v>6.0918011066383185E-2</v>
      </c>
      <c r="BQ11">
        <f t="shared" si="23"/>
        <v>0.24708543064190372</v>
      </c>
      <c r="BR11">
        <f t="shared" si="24"/>
        <v>0.18639866240139072</v>
      </c>
      <c r="BS11">
        <f t="shared" si="25"/>
        <v>0.14045147363607025</v>
      </c>
      <c r="BT11">
        <f t="shared" si="26"/>
        <v>0.11395122705244462</v>
      </c>
      <c r="BU11">
        <f t="shared" si="27"/>
        <v>0.132580130560086</v>
      </c>
      <c r="BV11">
        <f t="shared" si="28"/>
        <v>5.2134139621270059E-2</v>
      </c>
      <c r="BW11">
        <f t="shared" si="29"/>
        <v>0.16414599252653744</v>
      </c>
      <c r="BX11">
        <f t="shared" si="30"/>
        <v>0.10583023541358033</v>
      </c>
      <c r="BY11">
        <f t="shared" si="31"/>
        <v>0.15377026008035993</v>
      </c>
      <c r="BZ11">
        <f t="shared" si="32"/>
        <v>7.8433752343730095E-2</v>
      </c>
      <c r="CA11">
        <f t="shared" si="33"/>
        <v>9.2888758084944761E-2</v>
      </c>
      <c r="CB11">
        <f t="shared" si="34"/>
        <v>0.12638433263946305</v>
      </c>
      <c r="CC11">
        <f t="shared" si="35"/>
        <v>0.16998870503855834</v>
      </c>
      <c r="CD11">
        <f t="shared" si="36"/>
        <v>5.7847084363637065E-2</v>
      </c>
      <c r="CE11">
        <f t="shared" si="37"/>
        <v>2.6859748101086375E-2</v>
      </c>
      <c r="CG11">
        <f t="shared" si="41"/>
        <v>1</v>
      </c>
      <c r="CH11">
        <f t="shared" si="42"/>
        <v>1</v>
      </c>
      <c r="CJ11">
        <f>SUMPRODUCT(AS11:CE11,'PC1'!AS11:CE11)</f>
        <v>0.96924618563248788</v>
      </c>
      <c r="CK11" s="1" t="s">
        <v>12</v>
      </c>
      <c r="CM11">
        <f>SUMPRODUCT(AS11:CE11,'PC2'!AS11:CE11)</f>
        <v>-5.1754114047849291E-2</v>
      </c>
      <c r="CN11">
        <f t="shared" si="43"/>
        <v>5.1754114047849291E-2</v>
      </c>
      <c r="CO11">
        <f t="shared" si="44"/>
        <v>5.1800396046803331E-2</v>
      </c>
      <c r="CS11" t="s">
        <v>116</v>
      </c>
      <c r="CT11">
        <f t="shared" si="45"/>
        <v>0.96924618563248788</v>
      </c>
      <c r="CU11">
        <f t="shared" si="46"/>
        <v>2.0796960352926925</v>
      </c>
      <c r="CV11">
        <f t="shared" si="47"/>
        <v>5.1754114047849291E-2</v>
      </c>
      <c r="CW11">
        <f t="shared" si="48"/>
        <v>5.1800396046803331E-2</v>
      </c>
      <c r="CX11">
        <v>1.2712147283788416E-2</v>
      </c>
      <c r="CY11">
        <v>1.2712832105632734E-2</v>
      </c>
      <c r="CZ11">
        <v>5.2201480591323686E-2</v>
      </c>
      <c r="DA11">
        <v>5.2248974518445734E-2</v>
      </c>
    </row>
    <row r="12" spans="1:105" x14ac:dyDescent="0.25">
      <c r="A12" s="1" t="s">
        <v>13</v>
      </c>
      <c r="B12">
        <v>4.6921511320537103E-2</v>
      </c>
      <c r="C12">
        <v>7.9910351408973707E-2</v>
      </c>
      <c r="D12">
        <v>0.10311326060317499</v>
      </c>
      <c r="E12">
        <v>0.124697019560731</v>
      </c>
      <c r="F12">
        <v>0.118536771990454</v>
      </c>
      <c r="G12">
        <v>8.6083563403657595E-2</v>
      </c>
      <c r="H12">
        <v>5.05923509517993E-2</v>
      </c>
      <c r="I12">
        <v>4.7360570046450598E-2</v>
      </c>
      <c r="J12">
        <v>5.8623013190068497E-2</v>
      </c>
      <c r="K12">
        <v>0.110658687996688</v>
      </c>
      <c r="L12">
        <v>5.27119269266682E-2</v>
      </c>
      <c r="M12">
        <v>1.0094197229372199E-2</v>
      </c>
      <c r="N12">
        <v>9.2227104854141706E-2</v>
      </c>
      <c r="O12">
        <v>6.6611563303652005E-2</v>
      </c>
      <c r="P12">
        <v>1.0354210976915501E-2</v>
      </c>
      <c r="Q12">
        <v>1.79702696005813E-2</v>
      </c>
      <c r="R12">
        <v>0.101171177715712</v>
      </c>
      <c r="S12">
        <v>0.101018347520514</v>
      </c>
      <c r="T12">
        <v>6.9887138855344699E-2</v>
      </c>
      <c r="U12">
        <v>7.9981342229457394E-2</v>
      </c>
      <c r="V12">
        <v>5.6534568987592296E-3</v>
      </c>
      <c r="W12">
        <v>8.2269521049653793E-2</v>
      </c>
      <c r="X12">
        <v>2.9787841770698199E-2</v>
      </c>
      <c r="Y12">
        <v>1.6828624573324302E-2</v>
      </c>
      <c r="Z12">
        <v>0.105490736220254</v>
      </c>
      <c r="AA12">
        <v>3.8729047929238501E-2</v>
      </c>
      <c r="AB12">
        <v>5.0394182581696E-2</v>
      </c>
      <c r="AC12">
        <v>8.5477418954197401E-2</v>
      </c>
      <c r="AD12">
        <v>8.3540722018002903E-2</v>
      </c>
      <c r="AE12">
        <v>4.9566230822981901E-2</v>
      </c>
      <c r="AF12">
        <v>9.2683437556385501E-2</v>
      </c>
      <c r="AG12">
        <v>4.2822139733627203E-2</v>
      </c>
      <c r="AH12">
        <v>4.97811297655169E-2</v>
      </c>
      <c r="AI12">
        <v>9.2219531851283107E-2</v>
      </c>
      <c r="AJ12">
        <v>5.3716415972596097E-3</v>
      </c>
      <c r="AK12">
        <v>0.108490428202346</v>
      </c>
      <c r="AL12">
        <v>0.16903316426772999</v>
      </c>
      <c r="AM12">
        <v>9.1038359301251495E-2</v>
      </c>
      <c r="AN12">
        <v>-2.74115466478586E-3</v>
      </c>
      <c r="AP12">
        <f t="shared" si="38"/>
        <v>0.23464411072963376</v>
      </c>
      <c r="AQ12">
        <f t="shared" si="39"/>
        <v>0.48440077490610373</v>
      </c>
      <c r="AS12">
        <f t="shared" si="40"/>
        <v>9.6865062467400828E-2</v>
      </c>
      <c r="AT12">
        <f t="shared" si="0"/>
        <v>0.16496743099649983</v>
      </c>
      <c r="AU12">
        <f t="shared" si="1"/>
        <v>0.21286766236730831</v>
      </c>
      <c r="AV12">
        <f t="shared" si="2"/>
        <v>0.25742530982718242</v>
      </c>
      <c r="AW12">
        <f t="shared" si="3"/>
        <v>0.2447080560790415</v>
      </c>
      <c r="AX12">
        <f t="shared" si="4"/>
        <v>0.17771144858375595</v>
      </c>
      <c r="AY12">
        <f t="shared" si="5"/>
        <v>0.10444316684176677</v>
      </c>
      <c r="AZ12">
        <f t="shared" si="6"/>
        <v>9.7771458056876509E-2</v>
      </c>
      <c r="BA12">
        <f t="shared" si="7"/>
        <v>0.12102171636994591</v>
      </c>
      <c r="BB12">
        <f t="shared" si="8"/>
        <v>0.22844449003645398</v>
      </c>
      <c r="BC12">
        <f t="shared" si="9"/>
        <v>0.10881883278755258</v>
      </c>
      <c r="BD12">
        <f t="shared" si="10"/>
        <v>2.0838524115344075E-2</v>
      </c>
      <c r="BE12">
        <f t="shared" si="11"/>
        <v>0.19039421411334242</v>
      </c>
      <c r="BF12">
        <f t="shared" si="12"/>
        <v>0.13751332936361219</v>
      </c>
      <c r="BG12">
        <f t="shared" si="13"/>
        <v>2.137529812771782E-2</v>
      </c>
      <c r="BH12">
        <f t="shared" si="14"/>
        <v>3.7097937351699445E-2</v>
      </c>
      <c r="BI12">
        <f t="shared" si="15"/>
        <v>0.20885841426517748</v>
      </c>
      <c r="BJ12">
        <f t="shared" si="16"/>
        <v>0.2085429106509902</v>
      </c>
      <c r="BK12">
        <f t="shared" si="17"/>
        <v>0.14427544809128687</v>
      </c>
      <c r="BL12">
        <f t="shared" si="18"/>
        <v>0.16511398489187179</v>
      </c>
      <c r="BM12">
        <f t="shared" si="19"/>
        <v>1.1671031905048245E-2</v>
      </c>
      <c r="BN12">
        <f t="shared" si="20"/>
        <v>0.1698377156097674</v>
      </c>
      <c r="BO12">
        <f t="shared" si="21"/>
        <v>6.1494207511274677E-2</v>
      </c>
      <c r="BP12">
        <f t="shared" si="22"/>
        <v>3.4741118192030893E-2</v>
      </c>
      <c r="BQ12">
        <f t="shared" si="23"/>
        <v>0.21777573795314908</v>
      </c>
      <c r="BR12">
        <f t="shared" si="24"/>
        <v>7.9952489623382084E-2</v>
      </c>
      <c r="BS12">
        <f t="shared" si="25"/>
        <v>0.10403406681474531</v>
      </c>
      <c r="BT12">
        <f t="shared" si="26"/>
        <v>0.17646012017789681</v>
      </c>
      <c r="BU12">
        <f t="shared" si="27"/>
        <v>0.17246199086736894</v>
      </c>
      <c r="BV12">
        <f t="shared" si="28"/>
        <v>0.10232483800751521</v>
      </c>
      <c r="BW12">
        <f t="shared" si="29"/>
        <v>0.19133627020797245</v>
      </c>
      <c r="BX12">
        <f t="shared" si="30"/>
        <v>8.8402294034165926E-2</v>
      </c>
      <c r="BY12">
        <f t="shared" si="31"/>
        <v>0.10276847673327211</v>
      </c>
      <c r="BZ12">
        <f t="shared" si="32"/>
        <v>0.19037858035871008</v>
      </c>
      <c r="CA12">
        <f t="shared" si="33"/>
        <v>1.1089250627852215E-2</v>
      </c>
      <c r="CB12">
        <f t="shared" si="34"/>
        <v>0.22396832090818969</v>
      </c>
      <c r="CC12">
        <f t="shared" si="35"/>
        <v>0.34895312523084915</v>
      </c>
      <c r="CD12">
        <f t="shared" si="36"/>
        <v>0.18794016033293584</v>
      </c>
      <c r="CE12">
        <f t="shared" si="37"/>
        <v>-5.658856894515096E-3</v>
      </c>
      <c r="CG12">
        <f t="shared" si="41"/>
        <v>0.99999999999999978</v>
      </c>
      <c r="CH12">
        <f t="shared" si="42"/>
        <v>0.99999999999999989</v>
      </c>
      <c r="CJ12">
        <f>SUMPRODUCT(AS12:CE12,'PC1'!AS12:CE12)</f>
        <v>0.8666953111982223</v>
      </c>
      <c r="CK12" s="1" t="s">
        <v>13</v>
      </c>
      <c r="CM12">
        <f>SUMPRODUCT(AS12:CE12,'PC2'!AS12:CE12)</f>
        <v>-0.22831449959173594</v>
      </c>
      <c r="CN12">
        <f t="shared" si="43"/>
        <v>0.22831449959173594</v>
      </c>
      <c r="CO12">
        <f t="shared" si="44"/>
        <v>0.23241054947283415</v>
      </c>
      <c r="CS12" t="s">
        <v>116</v>
      </c>
      <c r="CT12">
        <f t="shared" si="45"/>
        <v>0.8666953111982223</v>
      </c>
      <c r="CU12">
        <f t="shared" si="46"/>
        <v>1.3196437659245384</v>
      </c>
      <c r="CV12">
        <f t="shared" si="47"/>
        <v>0.22831449959173594</v>
      </c>
      <c r="CW12">
        <f t="shared" si="48"/>
        <v>0.23241054947283415</v>
      </c>
      <c r="CX12">
        <v>0.11029652607047127</v>
      </c>
      <c r="CY12">
        <v>0.11074708369192322</v>
      </c>
      <c r="CZ12">
        <v>0.10902937213123313</v>
      </c>
      <c r="DA12">
        <v>0.10946450533359224</v>
      </c>
    </row>
    <row r="13" spans="1:105" x14ac:dyDescent="0.25">
      <c r="A13" s="1" t="s">
        <v>14</v>
      </c>
      <c r="B13">
        <v>4.0437976900218102E-2</v>
      </c>
      <c r="C13">
        <v>0.122040433054852</v>
      </c>
      <c r="D13">
        <v>0.19627705760331701</v>
      </c>
      <c r="E13">
        <v>0.13287120246341499</v>
      </c>
      <c r="F13">
        <v>0.146996300723609</v>
      </c>
      <c r="G13">
        <v>0.10620461583317101</v>
      </c>
      <c r="H13">
        <v>5.69202257005069E-2</v>
      </c>
      <c r="I13">
        <v>4.33590030810687E-2</v>
      </c>
      <c r="J13">
        <v>7.65348703124967E-2</v>
      </c>
      <c r="K13">
        <v>6.3363662294190798E-2</v>
      </c>
      <c r="L13">
        <v>5.5401985636868198E-2</v>
      </c>
      <c r="M13">
        <v>7.8527094948224796E-2</v>
      </c>
      <c r="N13">
        <v>3.3712867487954899E-2</v>
      </c>
      <c r="O13">
        <v>5.4958250286813497E-2</v>
      </c>
      <c r="P13">
        <v>7.4276941622223702E-2</v>
      </c>
      <c r="Q13">
        <v>3.3040132436023897E-2</v>
      </c>
      <c r="R13">
        <v>9.1031182282901996E-2</v>
      </c>
      <c r="S13">
        <v>8.1446776005525606E-2</v>
      </c>
      <c r="T13">
        <v>7.9483803664807701E-2</v>
      </c>
      <c r="U13">
        <v>1.5021667953163001E-2</v>
      </c>
      <c r="V13">
        <v>2.6638943419196499E-2</v>
      </c>
      <c r="W13">
        <v>0.12535676183389299</v>
      </c>
      <c r="X13">
        <v>3.8224107187121797E-2</v>
      </c>
      <c r="Y13">
        <v>3.5954118166683001E-2</v>
      </c>
      <c r="Z13">
        <v>0.115408701330162</v>
      </c>
      <c r="AA13">
        <v>8.3156564873278604E-2</v>
      </c>
      <c r="AB13">
        <v>8.9560415769811497E-2</v>
      </c>
      <c r="AC13">
        <v>5.59034748667534E-2</v>
      </c>
      <c r="AD13">
        <v>8.8836795044987205E-2</v>
      </c>
      <c r="AE13">
        <v>2.27469036960057E-2</v>
      </c>
      <c r="AF13">
        <v>9.2083082355219406E-2</v>
      </c>
      <c r="AG13">
        <v>4.5690545024136102E-2</v>
      </c>
      <c r="AH13">
        <v>7.0187849153317203E-2</v>
      </c>
      <c r="AI13">
        <v>7.8079623807506798E-2</v>
      </c>
      <c r="AJ13">
        <v>1.2916311763602801E-2</v>
      </c>
      <c r="AK13">
        <v>7.9433973828388599E-2</v>
      </c>
      <c r="AL13">
        <v>0.10387669929877601</v>
      </c>
      <c r="AM13">
        <v>8.1803381535378195E-2</v>
      </c>
      <c r="AN13">
        <v>9.6139087117749801E-3</v>
      </c>
      <c r="AP13">
        <f t="shared" si="38"/>
        <v>0.26666190724828104</v>
      </c>
      <c r="AQ13">
        <f t="shared" si="39"/>
        <v>0.51639317118672379</v>
      </c>
      <c r="AS13">
        <f t="shared" si="40"/>
        <v>7.8308504365554518E-2</v>
      </c>
      <c r="AT13">
        <f t="shared" si="0"/>
        <v>0.23633239141096837</v>
      </c>
      <c r="AU13">
        <f t="shared" si="1"/>
        <v>0.38009227959434955</v>
      </c>
      <c r="AV13">
        <f t="shared" si="2"/>
        <v>0.2573062733538159</v>
      </c>
      <c r="AW13">
        <f t="shared" si="3"/>
        <v>0.28465965261662274</v>
      </c>
      <c r="AX13">
        <f t="shared" si="4"/>
        <v>0.20566618956076055</v>
      </c>
      <c r="AY13">
        <f t="shared" si="5"/>
        <v>0.11022652675615066</v>
      </c>
      <c r="AZ13">
        <f t="shared" si="6"/>
        <v>8.3965097720841902E-2</v>
      </c>
      <c r="BA13">
        <f t="shared" si="7"/>
        <v>0.14821046168486662</v>
      </c>
      <c r="BB13">
        <f t="shared" si="8"/>
        <v>0.12270429941700176</v>
      </c>
      <c r="BC13">
        <f t="shared" si="9"/>
        <v>0.10728644127796816</v>
      </c>
      <c r="BD13">
        <f t="shared" si="10"/>
        <v>0.15206842253115313</v>
      </c>
      <c r="BE13">
        <f t="shared" si="11"/>
        <v>6.5285269769310303E-2</v>
      </c>
      <c r="BF13">
        <f t="shared" si="12"/>
        <v>0.10642714379919833</v>
      </c>
      <c r="BG13">
        <f t="shared" si="13"/>
        <v>0.14383796255773051</v>
      </c>
      <c r="BH13">
        <f t="shared" si="14"/>
        <v>6.3982512317299484E-2</v>
      </c>
      <c r="BI13">
        <f t="shared" si="15"/>
        <v>0.17628269962149795</v>
      </c>
      <c r="BJ13">
        <f t="shared" si="16"/>
        <v>0.15772241104264154</v>
      </c>
      <c r="BK13">
        <f t="shared" si="17"/>
        <v>0.15392109752757938</v>
      </c>
      <c r="BL13">
        <f t="shared" si="18"/>
        <v>2.908959450149522E-2</v>
      </c>
      <c r="BM13">
        <f t="shared" si="19"/>
        <v>5.1586552467333194E-2</v>
      </c>
      <c r="BN13">
        <f t="shared" si="20"/>
        <v>0.24275449178735353</v>
      </c>
      <c r="BO13">
        <f t="shared" si="21"/>
        <v>7.4021325842243288E-2</v>
      </c>
      <c r="BP13">
        <f t="shared" si="22"/>
        <v>6.9625471777747944E-2</v>
      </c>
      <c r="BQ13">
        <f t="shared" si="23"/>
        <v>0.22348998354285188</v>
      </c>
      <c r="BR13">
        <f t="shared" si="24"/>
        <v>0.16103343249519819</v>
      </c>
      <c r="BS13">
        <f t="shared" si="25"/>
        <v>0.17343454709904974</v>
      </c>
      <c r="BT13">
        <f t="shared" si="26"/>
        <v>0.10825757966218173</v>
      </c>
      <c r="BU13">
        <f t="shared" si="27"/>
        <v>0.17203324908582981</v>
      </c>
      <c r="BV13">
        <f t="shared" si="28"/>
        <v>4.4049582692449268E-2</v>
      </c>
      <c r="BW13">
        <f t="shared" si="29"/>
        <v>0.17831971353068662</v>
      </c>
      <c r="BX13">
        <f t="shared" si="30"/>
        <v>8.8480149571177724E-2</v>
      </c>
      <c r="BY13">
        <f t="shared" si="31"/>
        <v>0.13591939837627678</v>
      </c>
      <c r="BZ13">
        <f t="shared" si="32"/>
        <v>0.15120189066031203</v>
      </c>
      <c r="CA13">
        <f t="shared" si="33"/>
        <v>2.5012553388186386E-2</v>
      </c>
      <c r="CB13">
        <f t="shared" si="34"/>
        <v>0.15382460160315692</v>
      </c>
      <c r="CC13">
        <f t="shared" si="35"/>
        <v>0.20115815834678222</v>
      </c>
      <c r="CD13">
        <f t="shared" si="36"/>
        <v>0.1584129808443937</v>
      </c>
      <c r="CE13">
        <f t="shared" si="37"/>
        <v>1.861742030724621E-2</v>
      </c>
      <c r="CG13">
        <f t="shared" si="41"/>
        <v>1</v>
      </c>
      <c r="CH13">
        <f t="shared" si="42"/>
        <v>1</v>
      </c>
      <c r="CJ13">
        <f>SUMPRODUCT(AS13:CE13,'PC1'!AS13:CE13)</f>
        <v>0.96263316920510666</v>
      </c>
      <c r="CK13" s="1" t="s">
        <v>14</v>
      </c>
      <c r="CM13">
        <f>SUMPRODUCT(AS13:CE13,'PC2'!AS13:CE13)</f>
        <v>-3.7832835782894439E-2</v>
      </c>
      <c r="CN13">
        <f t="shared" si="43"/>
        <v>3.7832835782894439E-2</v>
      </c>
      <c r="CO13">
        <f t="shared" si="44"/>
        <v>3.785090164213456E-2</v>
      </c>
      <c r="CS13" t="s">
        <v>116</v>
      </c>
      <c r="CT13">
        <f t="shared" si="45"/>
        <v>0.96263316920510666</v>
      </c>
      <c r="CU13">
        <f t="shared" si="46"/>
        <v>1.9806294352519007</v>
      </c>
      <c r="CV13">
        <f t="shared" si="47"/>
        <v>3.7832835782894439E-2</v>
      </c>
      <c r="CW13">
        <f t="shared" si="48"/>
        <v>3.785090164213456E-2</v>
      </c>
      <c r="CX13">
        <v>5.1057242629755022E-2</v>
      </c>
      <c r="CY13">
        <v>5.1101678207663315E-2</v>
      </c>
      <c r="CZ13">
        <v>4.5662787832394365E-2</v>
      </c>
      <c r="DA13">
        <v>4.5694564606701182E-2</v>
      </c>
    </row>
    <row r="14" spans="1:105" x14ac:dyDescent="0.25">
      <c r="A14" s="1" t="s">
        <v>15</v>
      </c>
      <c r="B14">
        <v>7.3909863348552901E-2</v>
      </c>
      <c r="C14">
        <v>0.28056688547310898</v>
      </c>
      <c r="D14">
        <v>0.40700960696433303</v>
      </c>
      <c r="E14">
        <v>0.41038871234831897</v>
      </c>
      <c r="F14">
        <v>0.35129351103774498</v>
      </c>
      <c r="G14">
        <v>0.241422843492481</v>
      </c>
      <c r="H14">
        <v>0.189491568833726</v>
      </c>
      <c r="I14">
        <v>0.22452236452197999</v>
      </c>
      <c r="J14">
        <v>0.25425457845161697</v>
      </c>
      <c r="K14">
        <v>0.22012000916042501</v>
      </c>
      <c r="L14">
        <v>0.152064563134541</v>
      </c>
      <c r="M14">
        <v>0.25690996578596698</v>
      </c>
      <c r="N14">
        <v>4.8013444599236003E-2</v>
      </c>
      <c r="O14">
        <v>0.12783711180725499</v>
      </c>
      <c r="P14">
        <v>0.12482013856113799</v>
      </c>
      <c r="Q14">
        <v>9.2114654441248806E-2</v>
      </c>
      <c r="R14">
        <v>0.20511521473753</v>
      </c>
      <c r="S14">
        <v>0.187430127982118</v>
      </c>
      <c r="T14">
        <v>0.21479936228410401</v>
      </c>
      <c r="U14">
        <v>7.2131412551936294E-2</v>
      </c>
      <c r="V14">
        <v>3.5505273549125499E-2</v>
      </c>
      <c r="W14">
        <v>0.26936858440213102</v>
      </c>
      <c r="X14">
        <v>0.12274715857757799</v>
      </c>
      <c r="Y14">
        <v>0.115741236322063</v>
      </c>
      <c r="Z14">
        <v>0.230882293844939</v>
      </c>
      <c r="AA14">
        <v>0.205361466309983</v>
      </c>
      <c r="AB14">
        <v>0.13758488253884399</v>
      </c>
      <c r="AC14">
        <v>0.14936155952319199</v>
      </c>
      <c r="AD14">
        <v>0.15888623291526299</v>
      </c>
      <c r="AE14">
        <v>5.5725659947368597E-2</v>
      </c>
      <c r="AF14">
        <v>0.18700591239456699</v>
      </c>
      <c r="AG14">
        <v>7.5006616926004605E-2</v>
      </c>
      <c r="AH14">
        <v>0.164303893096717</v>
      </c>
      <c r="AI14">
        <v>3.8759827350321997E-2</v>
      </c>
      <c r="AJ14">
        <v>7.5999873263413995E-2</v>
      </c>
      <c r="AK14">
        <v>4.3405663806091198E-2</v>
      </c>
      <c r="AL14">
        <v>0.190208440660594</v>
      </c>
      <c r="AM14">
        <v>-4.12965506411829E-3</v>
      </c>
      <c r="AN14">
        <v>4.1332077249701997E-2</v>
      </c>
      <c r="AP14">
        <f t="shared" si="38"/>
        <v>1.4417585617983484</v>
      </c>
      <c r="AQ14">
        <f t="shared" si="39"/>
        <v>1.2007325105111248</v>
      </c>
      <c r="AS14">
        <f t="shared" si="40"/>
        <v>6.155397867680882E-2</v>
      </c>
      <c r="AT14">
        <f t="shared" si="0"/>
        <v>0.23366310399447582</v>
      </c>
      <c r="AU14">
        <f t="shared" si="1"/>
        <v>0.33896775793226269</v>
      </c>
      <c r="AV14">
        <f t="shared" si="2"/>
        <v>0.34178196122434107</v>
      </c>
      <c r="AW14">
        <f t="shared" si="3"/>
        <v>0.2925660028045774</v>
      </c>
      <c r="AX14">
        <f t="shared" si="4"/>
        <v>0.20106296896193201</v>
      </c>
      <c r="AY14">
        <f t="shared" si="5"/>
        <v>0.15781330743935942</v>
      </c>
      <c r="AZ14">
        <f t="shared" si="6"/>
        <v>0.18698782831024194</v>
      </c>
      <c r="BA14">
        <f t="shared" si="7"/>
        <v>0.21174955806217532</v>
      </c>
      <c r="BB14">
        <f t="shared" si="8"/>
        <v>0.1833214369008172</v>
      </c>
      <c r="BC14">
        <f t="shared" si="9"/>
        <v>0.12664316307202386</v>
      </c>
      <c r="BD14">
        <f t="shared" si="10"/>
        <v>0.21396103090155041</v>
      </c>
      <c r="BE14">
        <f t="shared" si="11"/>
        <v>3.9986794876402373E-2</v>
      </c>
      <c r="BF14">
        <f t="shared" si="12"/>
        <v>0.1064659369911102</v>
      </c>
      <c r="BG14">
        <f t="shared" si="13"/>
        <v>0.10395332638074808</v>
      </c>
      <c r="BH14">
        <f t="shared" si="14"/>
        <v>7.6715383014021726E-2</v>
      </c>
      <c r="BI14">
        <f t="shared" si="15"/>
        <v>0.17082506964870725</v>
      </c>
      <c r="BJ14">
        <f t="shared" si="16"/>
        <v>0.15609648805322446</v>
      </c>
      <c r="BK14">
        <f t="shared" si="17"/>
        <v>0.1788902694011914</v>
      </c>
      <c r="BL14">
        <f t="shared" si="18"/>
        <v>6.0072840470715309E-2</v>
      </c>
      <c r="BM14">
        <f t="shared" si="19"/>
        <v>2.9569677874393276E-2</v>
      </c>
      <c r="BN14">
        <f t="shared" si="20"/>
        <v>0.22433687939994801</v>
      </c>
      <c r="BO14">
        <f t="shared" si="21"/>
        <v>0.10222689691755517</v>
      </c>
      <c r="BP14">
        <f t="shared" si="22"/>
        <v>9.6392190024732954E-2</v>
      </c>
      <c r="BQ14">
        <f t="shared" si="23"/>
        <v>0.19228453616755792</v>
      </c>
      <c r="BR14">
        <f t="shared" si="24"/>
        <v>0.17103015410365233</v>
      </c>
      <c r="BS14">
        <f t="shared" si="25"/>
        <v>0.11458412371984264</v>
      </c>
      <c r="BT14">
        <f t="shared" si="26"/>
        <v>0.1243920342088615</v>
      </c>
      <c r="BU14">
        <f t="shared" si="27"/>
        <v>0.13232441990566965</v>
      </c>
      <c r="BV14">
        <f t="shared" si="28"/>
        <v>4.6409720282869195E-2</v>
      </c>
      <c r="BW14">
        <f t="shared" si="29"/>
        <v>0.15574319072527051</v>
      </c>
      <c r="BX14">
        <f t="shared" si="30"/>
        <v>6.2467382426478958E-2</v>
      </c>
      <c r="BY14">
        <f t="shared" si="31"/>
        <v>0.13683638250685537</v>
      </c>
      <c r="BZ14">
        <f t="shared" si="32"/>
        <v>3.22801515000396E-2</v>
      </c>
      <c r="CA14">
        <f t="shared" si="33"/>
        <v>6.3294591091784924E-2</v>
      </c>
      <c r="CB14">
        <f t="shared" si="34"/>
        <v>3.6149320040992632E-2</v>
      </c>
      <c r="CC14">
        <f t="shared" si="35"/>
        <v>0.15841033618688857</v>
      </c>
      <c r="CD14">
        <f t="shared" si="36"/>
        <v>-3.4392797962640225E-3</v>
      </c>
      <c r="CE14">
        <f t="shared" si="37"/>
        <v>3.4422385408810041E-2</v>
      </c>
      <c r="CG14">
        <f t="shared" si="41"/>
        <v>1</v>
      </c>
      <c r="CH14">
        <f t="shared" si="42"/>
        <v>1</v>
      </c>
      <c r="CJ14">
        <f>SUMPRODUCT(AS14:CE14,'PC1'!AS14:CE14)</f>
        <v>0.96298654513187476</v>
      </c>
      <c r="CK14" s="1" t="s">
        <v>15</v>
      </c>
      <c r="CM14">
        <f>SUMPRODUCT(AS14:CE14,'PC2'!AS14:CE14)</f>
        <v>7.9221259356692886E-2</v>
      </c>
      <c r="CN14">
        <f t="shared" si="43"/>
        <v>7.9221259356692886E-2</v>
      </c>
      <c r="CO14">
        <f t="shared" si="44"/>
        <v>7.938761732992354E-2</v>
      </c>
      <c r="CS14" t="s">
        <v>116</v>
      </c>
      <c r="CT14">
        <f t="shared" si="45"/>
        <v>0.96298654513187476</v>
      </c>
      <c r="CU14">
        <f t="shared" si="46"/>
        <v>1.9854704241948369</v>
      </c>
      <c r="CV14">
        <f t="shared" si="47"/>
        <v>7.9221259356692886E-2</v>
      </c>
      <c r="CW14">
        <f t="shared" si="48"/>
        <v>7.938761732992354E-2</v>
      </c>
      <c r="CX14">
        <v>1.2391400430268328E-2</v>
      </c>
      <c r="CY14">
        <v>1.239203470868454E-2</v>
      </c>
      <c r="CZ14">
        <v>9.3259319790995693E-2</v>
      </c>
      <c r="DA14">
        <v>9.3531107615949474E-2</v>
      </c>
    </row>
    <row r="15" spans="1:105" x14ac:dyDescent="0.25">
      <c r="A15" s="1" t="s">
        <v>16</v>
      </c>
      <c r="B15">
        <v>4.6921780372233601E-2</v>
      </c>
      <c r="C15">
        <v>0.19791341924675501</v>
      </c>
      <c r="D15">
        <v>0.31529105047164702</v>
      </c>
      <c r="E15">
        <v>0.28032570046218902</v>
      </c>
      <c r="F15">
        <v>0.227567319698007</v>
      </c>
      <c r="G15">
        <v>0.19755037496248901</v>
      </c>
      <c r="H15">
        <v>9.3312337432320702E-2</v>
      </c>
      <c r="I15">
        <v>0.129321189948265</v>
      </c>
      <c r="J15">
        <v>0.16272449085246901</v>
      </c>
      <c r="K15">
        <v>0.23371398137129901</v>
      </c>
      <c r="L15">
        <v>0.111820844407916</v>
      </c>
      <c r="M15">
        <v>0.21165701420205901</v>
      </c>
      <c r="N15">
        <v>0.14494601691726799</v>
      </c>
      <c r="O15">
        <v>0.258263281787251</v>
      </c>
      <c r="P15">
        <v>0.18328513786852599</v>
      </c>
      <c r="Q15">
        <v>7.5853262101597999E-2</v>
      </c>
      <c r="R15">
        <v>0.12817752526857401</v>
      </c>
      <c r="S15">
        <v>0.121384737334221</v>
      </c>
      <c r="T15">
        <v>0.18371915126320501</v>
      </c>
      <c r="U15">
        <v>3.8020680730227803E-2</v>
      </c>
      <c r="V15">
        <v>3.8720398480123597E-2</v>
      </c>
      <c r="W15">
        <v>0.26922490236138902</v>
      </c>
      <c r="X15">
        <v>0.122079251672536</v>
      </c>
      <c r="Y15">
        <v>0.13306001077927701</v>
      </c>
      <c r="Z15">
        <v>0.19613232653648499</v>
      </c>
      <c r="AA15">
        <v>0.24482716012602301</v>
      </c>
      <c r="AB15">
        <v>0.1105288994622</v>
      </c>
      <c r="AC15">
        <v>0.149588826055404</v>
      </c>
      <c r="AD15">
        <v>0.125810755794031</v>
      </c>
      <c r="AE15">
        <v>1.5321586633466101E-2</v>
      </c>
      <c r="AF15">
        <v>0.16054337052117301</v>
      </c>
      <c r="AG15">
        <v>0.122789803771403</v>
      </c>
      <c r="AH15">
        <v>0.18681741858560899</v>
      </c>
      <c r="AI15">
        <v>0.356066813408982</v>
      </c>
      <c r="AJ15">
        <v>0.27037821081525598</v>
      </c>
      <c r="AK15">
        <v>0.43617839930243602</v>
      </c>
      <c r="AL15">
        <v>0.22680913014731299</v>
      </c>
      <c r="AM15">
        <v>0.276098991687037</v>
      </c>
      <c r="AN15">
        <v>3.3615540814534703E-2</v>
      </c>
      <c r="AP15">
        <f t="shared" si="38"/>
        <v>1.5177783092487809</v>
      </c>
      <c r="AQ15">
        <f t="shared" si="39"/>
        <v>1.231981456536088</v>
      </c>
      <c r="AS15">
        <f t="shared" si="40"/>
        <v>3.808643395020056E-2</v>
      </c>
      <c r="AT15">
        <f t="shared" si="0"/>
        <v>0.16064642710063193</v>
      </c>
      <c r="AU15">
        <f t="shared" si="1"/>
        <v>0.25592191245973622</v>
      </c>
      <c r="AV15">
        <f t="shared" si="2"/>
        <v>0.22754051936006353</v>
      </c>
      <c r="AW15">
        <f t="shared" si="3"/>
        <v>0.18471651378410253</v>
      </c>
      <c r="AX15">
        <f t="shared" si="4"/>
        <v>0.16035174386303941</v>
      </c>
      <c r="AY15">
        <f t="shared" si="5"/>
        <v>7.574167365690973E-2</v>
      </c>
      <c r="AZ15">
        <f t="shared" si="6"/>
        <v>0.10497007829311986</v>
      </c>
      <c r="BA15">
        <f t="shared" si="7"/>
        <v>0.13208355530771934</v>
      </c>
      <c r="BB15">
        <f t="shared" si="8"/>
        <v>0.18970576231595487</v>
      </c>
      <c r="BC15">
        <f t="shared" si="9"/>
        <v>9.0765038560172887E-2</v>
      </c>
      <c r="BD15">
        <f t="shared" si="10"/>
        <v>0.17180211039634183</v>
      </c>
      <c r="BE15">
        <f t="shared" si="11"/>
        <v>0.11765275860953849</v>
      </c>
      <c r="BF15">
        <f t="shared" si="12"/>
        <v>0.20963244245039153</v>
      </c>
      <c r="BG15">
        <f t="shared" si="13"/>
        <v>0.14877264336742643</v>
      </c>
      <c r="BH15">
        <f t="shared" si="14"/>
        <v>6.157013297494876E-2</v>
      </c>
      <c r="BI15">
        <f t="shared" si="15"/>
        <v>0.10404176506760542</v>
      </c>
      <c r="BJ15">
        <f t="shared" si="16"/>
        <v>9.8528055507843049E-2</v>
      </c>
      <c r="BK15">
        <f t="shared" si="17"/>
        <v>0.14912493226948451</v>
      </c>
      <c r="BL15">
        <f t="shared" si="18"/>
        <v>3.0861406662019898E-2</v>
      </c>
      <c r="BM15">
        <f t="shared" si="19"/>
        <v>3.1429367929767513E-2</v>
      </c>
      <c r="BN15">
        <f t="shared" si="20"/>
        <v>0.21852999566921866</v>
      </c>
      <c r="BO15">
        <f t="shared" si="21"/>
        <v>9.9091793163657876E-2</v>
      </c>
      <c r="BP15">
        <f t="shared" si="22"/>
        <v>0.10800488113952332</v>
      </c>
      <c r="BQ15">
        <f t="shared" si="23"/>
        <v>0.15920071320549115</v>
      </c>
      <c r="BR15">
        <f t="shared" si="24"/>
        <v>0.19872633539013934</v>
      </c>
      <c r="BS15">
        <f t="shared" si="25"/>
        <v>8.9716366164284314E-2</v>
      </c>
      <c r="BT15">
        <f t="shared" si="26"/>
        <v>0.12142132924305273</v>
      </c>
      <c r="BU15">
        <f t="shared" si="27"/>
        <v>0.10212065703307578</v>
      </c>
      <c r="BV15">
        <f t="shared" si="28"/>
        <v>1.2436539975646371E-2</v>
      </c>
      <c r="BW15">
        <f t="shared" si="29"/>
        <v>0.13031313878097342</v>
      </c>
      <c r="BX15">
        <f t="shared" si="30"/>
        <v>9.9668548678196897E-2</v>
      </c>
      <c r="BY15">
        <f t="shared" si="31"/>
        <v>0.15163979749409207</v>
      </c>
      <c r="BZ15">
        <f t="shared" si="32"/>
        <v>0.28901962080672911</v>
      </c>
      <c r="CA15">
        <f t="shared" si="33"/>
        <v>0.21946613675133339</v>
      </c>
      <c r="CB15">
        <f t="shared" si="34"/>
        <v>0.35404623745622033</v>
      </c>
      <c r="CC15">
        <f t="shared" si="35"/>
        <v>0.18410109092471486</v>
      </c>
      <c r="CD15">
        <f t="shared" si="36"/>
        <v>0.22410969761130436</v>
      </c>
      <c r="CE15">
        <f t="shared" si="37"/>
        <v>2.7285752262091789E-2</v>
      </c>
      <c r="CG15">
        <f t="shared" si="41"/>
        <v>1.0000000000000002</v>
      </c>
      <c r="CH15">
        <f t="shared" si="42"/>
        <v>1</v>
      </c>
      <c r="CJ15">
        <f>SUMPRODUCT(AS15:CE15,'PC1'!AS15:CE15)</f>
        <v>0.91307310659386476</v>
      </c>
      <c r="CK15" s="1" t="s">
        <v>16</v>
      </c>
      <c r="CM15">
        <f>SUMPRODUCT(AS15:CE15,'PC2'!AS15:CE15)</f>
        <v>-0.32446807299482056</v>
      </c>
      <c r="CN15">
        <f t="shared" si="43"/>
        <v>0.32446807299482056</v>
      </c>
      <c r="CO15">
        <f t="shared" si="44"/>
        <v>0.33663289146635833</v>
      </c>
      <c r="CS15" t="s">
        <v>116</v>
      </c>
      <c r="CT15">
        <f t="shared" si="45"/>
        <v>0.91307310659386476</v>
      </c>
      <c r="CU15">
        <f t="shared" si="46"/>
        <v>1.5456993623328832</v>
      </c>
      <c r="CV15">
        <f t="shared" si="47"/>
        <v>0.32446807299482056</v>
      </c>
      <c r="CW15">
        <f t="shared" si="48"/>
        <v>0.33663289146635833</v>
      </c>
      <c r="CX15">
        <v>1.1174760528011767E-2</v>
      </c>
      <c r="CY15">
        <v>1.1175225713289735E-2</v>
      </c>
      <c r="CZ15">
        <v>0.10464232801599213</v>
      </c>
      <c r="DA15">
        <v>0.10502680227839883</v>
      </c>
    </row>
    <row r="16" spans="1:105" x14ac:dyDescent="0.25">
      <c r="A16" s="1" t="s">
        <v>17</v>
      </c>
      <c r="B16">
        <v>2.15998982949295E-2</v>
      </c>
      <c r="C16">
        <v>2.1995773300338198E-2</v>
      </c>
      <c r="D16">
        <v>5.5175922124551198E-2</v>
      </c>
      <c r="E16">
        <v>2.0958929140197601E-2</v>
      </c>
      <c r="F16">
        <v>5.6221315850377498E-2</v>
      </c>
      <c r="G16">
        <v>7.8509995576729705E-2</v>
      </c>
      <c r="H16">
        <v>9.1175913793789401E-4</v>
      </c>
      <c r="I16">
        <v>1.7548608103132701E-2</v>
      </c>
      <c r="J16">
        <v>2.6073814374262101E-2</v>
      </c>
      <c r="K16">
        <v>-5.9826658011987402E-2</v>
      </c>
      <c r="L16">
        <v>2.6052027380657601E-2</v>
      </c>
      <c r="M16">
        <v>2.5139212520308402E-2</v>
      </c>
      <c r="N16">
        <v>-1.5953644837354501E-2</v>
      </c>
      <c r="O16">
        <v>1.5940423994068299E-2</v>
      </c>
      <c r="P16">
        <v>5.9838549388901999E-2</v>
      </c>
      <c r="Q16">
        <v>4.9492953953632901E-2</v>
      </c>
      <c r="R16">
        <v>2.2723753100470801E-2</v>
      </c>
      <c r="S16">
        <v>-1.29232969383417E-4</v>
      </c>
      <c r="T16">
        <v>6.3718534130625297E-3</v>
      </c>
      <c r="U16">
        <v>-3.9891261686492499E-2</v>
      </c>
      <c r="V16">
        <v>2.0412319281342399E-2</v>
      </c>
      <c r="W16">
        <v>5.84096496406563E-2</v>
      </c>
      <c r="X16">
        <v>1.64842598207014E-2</v>
      </c>
      <c r="Y16">
        <v>2.3181543289959101E-2</v>
      </c>
      <c r="Z16">
        <v>4.5838968710755802E-2</v>
      </c>
      <c r="AA16">
        <v>5.06897677640833E-2</v>
      </c>
      <c r="AB16">
        <v>1.9445498622145001E-2</v>
      </c>
      <c r="AC16">
        <v>4.4474187837313599E-2</v>
      </c>
      <c r="AD16">
        <v>-1.53578892543151E-2</v>
      </c>
      <c r="AE16">
        <v>7.16922019483234E-3</v>
      </c>
      <c r="AF16">
        <v>5.6761795676526297E-2</v>
      </c>
      <c r="AG16">
        <v>2.1691895435023999E-2</v>
      </c>
      <c r="AH16">
        <v>3.4273592025851903E-2</v>
      </c>
      <c r="AI16">
        <v>8.8017458655160908E-3</v>
      </c>
      <c r="AJ16">
        <v>0.111130876881556</v>
      </c>
      <c r="AK16">
        <v>7.97007494235423E-2</v>
      </c>
      <c r="AL16">
        <v>3.5087279764470097E-2</v>
      </c>
      <c r="AM16">
        <v>-3.08902340833004E-2</v>
      </c>
      <c r="AN16">
        <v>9.8302128690568296E-3</v>
      </c>
      <c r="AP16">
        <f t="shared" si="38"/>
        <v>6.6204649042306427E-2</v>
      </c>
      <c r="AQ16">
        <f t="shared" si="39"/>
        <v>0.25730264095478389</v>
      </c>
      <c r="AS16">
        <f t="shared" si="40"/>
        <v>8.3947441094183242E-2</v>
      </c>
      <c r="AT16">
        <f t="shared" si="0"/>
        <v>8.5485998972717664E-2</v>
      </c>
      <c r="AU16">
        <f t="shared" si="1"/>
        <v>0.21443978157319937</v>
      </c>
      <c r="AV16">
        <f t="shared" si="2"/>
        <v>8.1456331199805831E-2</v>
      </c>
      <c r="AW16">
        <f t="shared" si="3"/>
        <v>0.2185026770100558</v>
      </c>
      <c r="AX16">
        <f t="shared" si="4"/>
        <v>0.30512704916435879</v>
      </c>
      <c r="AY16">
        <f t="shared" si="5"/>
        <v>3.5435280980972077E-3</v>
      </c>
      <c r="AZ16">
        <f t="shared" si="6"/>
        <v>6.8202207478377727E-2</v>
      </c>
      <c r="BA16">
        <f t="shared" si="7"/>
        <v>0.10133519919387102</v>
      </c>
      <c r="BB16">
        <f t="shared" si="8"/>
        <v>-0.23251474524313498</v>
      </c>
      <c r="BC16">
        <f t="shared" si="9"/>
        <v>0.10125052461173827</v>
      </c>
      <c r="BD16">
        <f t="shared" si="10"/>
        <v>9.7702893476037611E-2</v>
      </c>
      <c r="BE16">
        <f t="shared" si="11"/>
        <v>-6.2003424364999248E-2</v>
      </c>
      <c r="BF16">
        <f t="shared" si="12"/>
        <v>6.1952041902552914E-2</v>
      </c>
      <c r="BG16">
        <f t="shared" si="13"/>
        <v>0.23256096076921923</v>
      </c>
      <c r="BH16">
        <f t="shared" si="14"/>
        <v>0.1923530740686426</v>
      </c>
      <c r="BI16">
        <f t="shared" si="15"/>
        <v>8.8315273469983829E-2</v>
      </c>
      <c r="BJ16">
        <f t="shared" si="16"/>
        <v>-5.0226056329568444E-4</v>
      </c>
      <c r="BK16">
        <f t="shared" si="17"/>
        <v>2.4764042022336893E-2</v>
      </c>
      <c r="BL16">
        <f t="shared" si="18"/>
        <v>-0.15503634761954363</v>
      </c>
      <c r="BM16">
        <f t="shared" si="19"/>
        <v>7.9331946246636004E-2</v>
      </c>
      <c r="BN16">
        <f t="shared" si="20"/>
        <v>0.22700757918345929</v>
      </c>
      <c r="BO16">
        <f t="shared" si="21"/>
        <v>6.406564565187732E-2</v>
      </c>
      <c r="BP16">
        <f t="shared" si="22"/>
        <v>9.0094463095825056E-2</v>
      </c>
      <c r="BQ16">
        <f t="shared" si="23"/>
        <v>0.17815195576951401</v>
      </c>
      <c r="BR16">
        <f t="shared" si="24"/>
        <v>0.19700445971322569</v>
      </c>
      <c r="BS16">
        <f t="shared" si="25"/>
        <v>7.5574422982942424E-2</v>
      </c>
      <c r="BT16">
        <f t="shared" si="26"/>
        <v>0.17284777051755604</v>
      </c>
      <c r="BU16">
        <f t="shared" si="27"/>
        <v>-5.9688035837199047E-2</v>
      </c>
      <c r="BV16">
        <f t="shared" si="28"/>
        <v>2.7862987213147943E-2</v>
      </c>
      <c r="BW16">
        <f t="shared" si="29"/>
        <v>0.22060323775106963</v>
      </c>
      <c r="BX16">
        <f t="shared" si="30"/>
        <v>8.4304985578581543E-2</v>
      </c>
      <c r="BY16">
        <f t="shared" si="31"/>
        <v>0.13320342107127786</v>
      </c>
      <c r="BZ16">
        <f t="shared" si="32"/>
        <v>3.4207755633036165E-2</v>
      </c>
      <c r="CA16">
        <f t="shared" si="33"/>
        <v>0.43190725314430473</v>
      </c>
      <c r="CB16">
        <f t="shared" si="34"/>
        <v>0.30975488291839265</v>
      </c>
      <c r="CC16">
        <f t="shared" si="35"/>
        <v>0.13636579723500011</v>
      </c>
      <c r="CD16">
        <f t="shared" si="36"/>
        <v>-0.12005408871309944</v>
      </c>
      <c r="CE16">
        <f t="shared" si="37"/>
        <v>3.8204865805416682E-2</v>
      </c>
      <c r="CG16">
        <f t="shared" si="41"/>
        <v>1</v>
      </c>
      <c r="CH16">
        <f t="shared" si="42"/>
        <v>1</v>
      </c>
      <c r="CJ16">
        <f>SUMPRODUCT(AS16:CE16,'PC1'!AS16:CE16)</f>
        <v>0.63626728166613489</v>
      </c>
      <c r="CK16" s="1" t="s">
        <v>17</v>
      </c>
      <c r="CM16">
        <f>SUMPRODUCT(AS16:CE16,'PC2'!AS16:CE16)</f>
        <v>-0.10391809295196638</v>
      </c>
      <c r="CN16">
        <f t="shared" si="43"/>
        <v>0.10391809295196638</v>
      </c>
      <c r="CO16">
        <f t="shared" si="44"/>
        <v>0.10429460500250949</v>
      </c>
      <c r="CS16" t="s">
        <v>116</v>
      </c>
      <c r="CT16">
        <f t="shared" si="45"/>
        <v>0.63626728166613489</v>
      </c>
      <c r="CU16">
        <f t="shared" si="46"/>
        <v>0.75187678564899152</v>
      </c>
      <c r="CV16">
        <f t="shared" si="47"/>
        <v>0.10391809295196638</v>
      </c>
      <c r="CW16">
        <f t="shared" si="48"/>
        <v>0.10429460500250949</v>
      </c>
      <c r="CX16">
        <v>0.40478177917103769</v>
      </c>
      <c r="CY16">
        <v>0.42935457819333728</v>
      </c>
      <c r="CZ16">
        <v>0.14081579054665791</v>
      </c>
      <c r="DA16">
        <v>0.14175777290928165</v>
      </c>
    </row>
    <row r="17" spans="1:105" x14ac:dyDescent="0.25">
      <c r="A17" s="1" t="s">
        <v>18</v>
      </c>
      <c r="B17">
        <v>-4.3810577251744004E-3</v>
      </c>
      <c r="C17">
        <v>3.1867691528491601E-2</v>
      </c>
      <c r="D17">
        <v>1.13470980007104E-2</v>
      </c>
      <c r="E17">
        <v>3.31951583350759E-2</v>
      </c>
      <c r="F17">
        <v>9.4822625880243896E-3</v>
      </c>
      <c r="G17">
        <v>2.2291315935834201E-2</v>
      </c>
      <c r="H17">
        <v>-6.98455468657618E-3</v>
      </c>
      <c r="I17">
        <v>1.17186777091487E-2</v>
      </c>
      <c r="J17">
        <v>1.28649754369938E-2</v>
      </c>
      <c r="K17">
        <v>-6.4427570736328901E-3</v>
      </c>
      <c r="L17">
        <v>2.1916213575100998E-2</v>
      </c>
      <c r="M17">
        <v>-1.5975620320514101E-2</v>
      </c>
      <c r="N17">
        <v>-1.1628225657415101E-2</v>
      </c>
      <c r="O17">
        <v>5.9806235672720297E-3</v>
      </c>
      <c r="P17">
        <v>-1.0007472592254299E-2</v>
      </c>
      <c r="Q17">
        <v>2.70435770786513E-2</v>
      </c>
      <c r="R17">
        <v>2.06534344732331E-2</v>
      </c>
      <c r="S17">
        <v>1.59503832846365E-2</v>
      </c>
      <c r="T17">
        <v>5.26839502070411E-2</v>
      </c>
      <c r="U17">
        <v>2.7862532373968098E-2</v>
      </c>
      <c r="V17">
        <v>-4.0882690612821602E-4</v>
      </c>
      <c r="W17">
        <v>1.4269237208017E-2</v>
      </c>
      <c r="X17">
        <v>2.8933060332163598E-3</v>
      </c>
      <c r="Y17">
        <v>1.2472132920923199E-2</v>
      </c>
      <c r="Z17">
        <v>3.0772750812762199E-2</v>
      </c>
      <c r="AA17">
        <v>4.20035427389987E-2</v>
      </c>
      <c r="AB17">
        <v>1.4005475677819099E-2</v>
      </c>
      <c r="AC17">
        <v>-3.3502251317561599E-3</v>
      </c>
      <c r="AD17">
        <v>-1.1903014808964101E-3</v>
      </c>
      <c r="AE17">
        <v>6.2470571865385601E-3</v>
      </c>
      <c r="AF17">
        <v>7.0627113362109299E-3</v>
      </c>
      <c r="AG17">
        <v>1.1910186425200701E-2</v>
      </c>
      <c r="AH17">
        <v>2.9055598897564899E-2</v>
      </c>
      <c r="AI17">
        <v>1.7555322952727201E-2</v>
      </c>
      <c r="AJ17">
        <v>3.1489559258379499E-2</v>
      </c>
      <c r="AK17">
        <v>3.82644976443095E-3</v>
      </c>
      <c r="AL17">
        <v>-5.1340829250727197E-3</v>
      </c>
      <c r="AM17">
        <v>-6.3849147607287398E-3</v>
      </c>
      <c r="AN17">
        <v>1.3440283529004801E-2</v>
      </c>
      <c r="AP17">
        <f t="shared" si="38"/>
        <v>1.5141226248329436E-2</v>
      </c>
      <c r="AQ17">
        <f t="shared" si="39"/>
        <v>0.1230496901594207</v>
      </c>
      <c r="AS17">
        <f t="shared" si="40"/>
        <v>-3.5603972017307722E-2</v>
      </c>
      <c r="AT17">
        <f t="shared" si="0"/>
        <v>0.25898229802289191</v>
      </c>
      <c r="AU17">
        <f t="shared" si="1"/>
        <v>9.2215575561460816E-2</v>
      </c>
      <c r="AV17">
        <f t="shared" si="2"/>
        <v>0.26977035287182699</v>
      </c>
      <c r="AW17">
        <f t="shared" si="3"/>
        <v>7.7060434493897226E-2</v>
      </c>
      <c r="AX17">
        <f t="shared" si="4"/>
        <v>0.18115702613272752</v>
      </c>
      <c r="AY17">
        <f t="shared" si="5"/>
        <v>-5.6762066426393532E-2</v>
      </c>
      <c r="AZ17">
        <f t="shared" si="6"/>
        <v>9.5235328865649449E-2</v>
      </c>
      <c r="BA17">
        <f t="shared" si="7"/>
        <v>0.10455105917232459</v>
      </c>
      <c r="BB17">
        <f t="shared" si="8"/>
        <v>-5.2358986562955047E-2</v>
      </c>
      <c r="BC17">
        <f t="shared" si="9"/>
        <v>0.17810864494422371</v>
      </c>
      <c r="BD17">
        <f t="shared" si="10"/>
        <v>-0.12983064239996386</v>
      </c>
      <c r="BE17">
        <f t="shared" si="11"/>
        <v>-9.4500243294800709E-2</v>
      </c>
      <c r="BF17">
        <f t="shared" si="12"/>
        <v>4.8603320817172758E-2</v>
      </c>
      <c r="BG17">
        <f t="shared" si="13"/>
        <v>-8.1328710208768668E-2</v>
      </c>
      <c r="BH17">
        <f t="shared" si="14"/>
        <v>0.21977769341486506</v>
      </c>
      <c r="BI17">
        <f t="shared" si="15"/>
        <v>0.1678462940172781</v>
      </c>
      <c r="BJ17">
        <f t="shared" si="16"/>
        <v>0.1296255461023226</v>
      </c>
      <c r="BK17">
        <f t="shared" si="17"/>
        <v>0.42815183149819258</v>
      </c>
      <c r="BL17">
        <f t="shared" si="18"/>
        <v>0.22643317783141073</v>
      </c>
      <c r="BM17">
        <f t="shared" si="19"/>
        <v>-3.3224537631793148E-3</v>
      </c>
      <c r="BN17">
        <f t="shared" si="20"/>
        <v>0.11596321119971992</v>
      </c>
      <c r="BO17">
        <f t="shared" si="21"/>
        <v>2.3513314251078981E-2</v>
      </c>
      <c r="BP17">
        <f t="shared" si="22"/>
        <v>0.10135850732142888</v>
      </c>
      <c r="BQ17">
        <f t="shared" si="23"/>
        <v>0.25008393578962812</v>
      </c>
      <c r="BR17">
        <f t="shared" si="24"/>
        <v>0.3413543153548762</v>
      </c>
      <c r="BS17">
        <f t="shared" si="25"/>
        <v>0.11381967447194614</v>
      </c>
      <c r="BT17">
        <f t="shared" si="26"/>
        <v>-2.7226603556788121E-2</v>
      </c>
      <c r="BU17">
        <f t="shared" si="27"/>
        <v>-9.6733399275876226E-3</v>
      </c>
      <c r="BV17">
        <f t="shared" si="28"/>
        <v>5.0768573073568884E-2</v>
      </c>
      <c r="BW17">
        <f t="shared" si="29"/>
        <v>5.7397229745646844E-2</v>
      </c>
      <c r="BX17">
        <f t="shared" si="30"/>
        <v>9.6791681553769882E-2</v>
      </c>
      <c r="BY17">
        <f t="shared" si="31"/>
        <v>0.23612898870302762</v>
      </c>
      <c r="BZ17">
        <f t="shared" si="32"/>
        <v>0.14266856690157348</v>
      </c>
      <c r="CA17">
        <f t="shared" si="33"/>
        <v>0.25590929337231372</v>
      </c>
      <c r="CB17">
        <f t="shared" si="34"/>
        <v>3.1096785042477381E-2</v>
      </c>
      <c r="CC17">
        <f t="shared" si="35"/>
        <v>-4.1723655853347578E-2</v>
      </c>
      <c r="CD17">
        <f t="shared" si="36"/>
        <v>-5.1888913758795917E-2</v>
      </c>
      <c r="CE17">
        <f t="shared" si="37"/>
        <v>0.10922647193659601</v>
      </c>
      <c r="CG17">
        <f t="shared" si="41"/>
        <v>0.99999999999999989</v>
      </c>
      <c r="CH17">
        <f t="shared" si="42"/>
        <v>1</v>
      </c>
      <c r="CJ17">
        <f>SUMPRODUCT(AS17:CE17,'PC1'!AS17:CE17)</f>
        <v>0.62983966688256499</v>
      </c>
      <c r="CK17" s="1" t="s">
        <v>18</v>
      </c>
      <c r="CM17">
        <f>SUMPRODUCT(AS17:CE17,'PC2'!AS17:CE17)</f>
        <v>-1.0815334023301398E-2</v>
      </c>
      <c r="CN17">
        <f t="shared" si="43"/>
        <v>1.0815334023301398E-2</v>
      </c>
      <c r="CO17">
        <f t="shared" si="44"/>
        <v>1.0815755748000772E-2</v>
      </c>
      <c r="CS17" t="s">
        <v>116</v>
      </c>
      <c r="CT17">
        <f t="shared" si="45"/>
        <v>0.62983966688256499</v>
      </c>
      <c r="CU17">
        <f t="shared" si="46"/>
        <v>0.7411503402802323</v>
      </c>
      <c r="CV17">
        <f t="shared" si="47"/>
        <v>1.0815334023301398E-2</v>
      </c>
      <c r="CW17">
        <f t="shared" si="48"/>
        <v>1.0815755748000772E-2</v>
      </c>
      <c r="CX17">
        <v>0.2819051467887933</v>
      </c>
      <c r="CY17">
        <v>0.28975048920988117</v>
      </c>
      <c r="CZ17">
        <v>0.29562481060632173</v>
      </c>
      <c r="DA17">
        <v>0.30471859166737414</v>
      </c>
    </row>
    <row r="18" spans="1:105" x14ac:dyDescent="0.25">
      <c r="A18" s="1" t="s">
        <v>19</v>
      </c>
      <c r="B18">
        <v>2.79821487580416E-2</v>
      </c>
      <c r="C18">
        <v>2.6825775217396298E-2</v>
      </c>
      <c r="D18">
        <v>9.2181412458163907E-3</v>
      </c>
      <c r="E18">
        <v>5.1414804970241201E-2</v>
      </c>
      <c r="F18">
        <v>1.6872603128148599E-2</v>
      </c>
      <c r="G18">
        <v>1.3965059159365901E-2</v>
      </c>
      <c r="H18">
        <v>3.2148525180821799E-2</v>
      </c>
      <c r="I18">
        <v>1.43477660418074E-3</v>
      </c>
      <c r="J18">
        <v>2.68647255899063E-2</v>
      </c>
      <c r="K18">
        <v>5.4793436843446498E-3</v>
      </c>
      <c r="L18">
        <v>1.16168449587451E-2</v>
      </c>
      <c r="M18">
        <v>-3.3076958500445799E-2</v>
      </c>
      <c r="N18">
        <v>-1.46556118744851E-2</v>
      </c>
      <c r="O18">
        <v>-1.26550427732538E-2</v>
      </c>
      <c r="P18">
        <v>3.9316831332319301E-2</v>
      </c>
      <c r="Q18">
        <v>-1.17149982569E-2</v>
      </c>
      <c r="R18">
        <v>1.25997892337581E-2</v>
      </c>
      <c r="S18">
        <v>-6.9646056194163303E-3</v>
      </c>
      <c r="T18">
        <v>3.3976164162027103E-2</v>
      </c>
      <c r="U18">
        <v>-7.5375655895697198E-3</v>
      </c>
      <c r="V18">
        <v>-1.51866209846918E-2</v>
      </c>
      <c r="W18">
        <v>2.7048524276622798E-2</v>
      </c>
      <c r="X18">
        <v>1.23514634104056E-2</v>
      </c>
      <c r="Y18">
        <v>2.6305171299929202E-2</v>
      </c>
      <c r="Z18">
        <v>6.7596220880527205E-2</v>
      </c>
      <c r="AA18">
        <v>9.7214025755323202E-3</v>
      </c>
      <c r="AB18">
        <v>2.6740725686345401E-2</v>
      </c>
      <c r="AC18">
        <v>7.4968249115051705E-2</v>
      </c>
      <c r="AD18">
        <v>1.20576349641462E-2</v>
      </c>
      <c r="AE18">
        <v>2.1029993595969899E-2</v>
      </c>
      <c r="AF18">
        <v>3.41289001181398E-2</v>
      </c>
      <c r="AG18">
        <v>7.8069531993231196E-4</v>
      </c>
      <c r="AH18">
        <v>5.7197470153682997E-2</v>
      </c>
      <c r="AI18">
        <v>-3.2778021327316803E-2</v>
      </c>
      <c r="AJ18">
        <v>-2.87110047569769E-2</v>
      </c>
      <c r="AK18">
        <v>2.2816574534376098E-3</v>
      </c>
      <c r="AL18">
        <v>9.1717159718782693E-3</v>
      </c>
      <c r="AM18">
        <v>8.0739135125199903E-3</v>
      </c>
      <c r="AN18">
        <v>-4.3249127113833899E-3</v>
      </c>
      <c r="AP18">
        <f t="shared" si="38"/>
        <v>3.1105957705559399E-2</v>
      </c>
      <c r="AQ18">
        <f t="shared" si="39"/>
        <v>0.17636881160102938</v>
      </c>
      <c r="AS18">
        <f t="shared" si="40"/>
        <v>0.15865701256376941</v>
      </c>
      <c r="AT18">
        <f t="shared" si="0"/>
        <v>0.15210044777123014</v>
      </c>
      <c r="AU18">
        <f t="shared" si="1"/>
        <v>5.2266277479201366E-2</v>
      </c>
      <c r="AV18">
        <f t="shared" si="2"/>
        <v>0.29151869031441113</v>
      </c>
      <c r="AW18">
        <f t="shared" si="3"/>
        <v>9.5666591927357075E-2</v>
      </c>
      <c r="AX18">
        <f t="shared" si="4"/>
        <v>7.918100163285556E-2</v>
      </c>
      <c r="AY18">
        <f t="shared" si="5"/>
        <v>0.1822801032052436</v>
      </c>
      <c r="AZ18">
        <f t="shared" si="6"/>
        <v>8.1350925436091438E-3</v>
      </c>
      <c r="BA18">
        <f t="shared" si="7"/>
        <v>0.15232129391832622</v>
      </c>
      <c r="BB18">
        <f t="shared" si="8"/>
        <v>3.1067531921344926E-2</v>
      </c>
      <c r="BC18">
        <f t="shared" si="9"/>
        <v>6.5866775725767254E-2</v>
      </c>
      <c r="BD18">
        <f t="shared" si="10"/>
        <v>-0.18754426137014774</v>
      </c>
      <c r="BE18">
        <f t="shared" si="11"/>
        <v>-8.3096391824865945E-2</v>
      </c>
      <c r="BF18">
        <f t="shared" si="12"/>
        <v>-7.1753291630048829E-2</v>
      </c>
      <c r="BG18">
        <f t="shared" si="13"/>
        <v>0.22292394542669713</v>
      </c>
      <c r="BH18">
        <f t="shared" si="14"/>
        <v>-6.6423298714519574E-2</v>
      </c>
      <c r="BI18">
        <f t="shared" si="15"/>
        <v>7.1440007557915422E-2</v>
      </c>
      <c r="BJ18">
        <f t="shared" si="16"/>
        <v>-3.9488873096062076E-2</v>
      </c>
      <c r="BK18">
        <f t="shared" si="17"/>
        <v>0.19264270056366814</v>
      </c>
      <c r="BL18">
        <f t="shared" si="18"/>
        <v>-4.2737519866158279E-2</v>
      </c>
      <c r="BM18">
        <f t="shared" si="19"/>
        <v>-8.6107179873990622E-2</v>
      </c>
      <c r="BN18">
        <f t="shared" si="20"/>
        <v>0.15336342084001958</v>
      </c>
      <c r="BO18">
        <f t="shared" si="21"/>
        <v>7.0032015855197333E-2</v>
      </c>
      <c r="BP18">
        <f t="shared" si="22"/>
        <v>0.14914865650643003</v>
      </c>
      <c r="BQ18">
        <f t="shared" si="23"/>
        <v>0.38326629445935823</v>
      </c>
      <c r="BR18">
        <f t="shared" si="24"/>
        <v>5.5119737369005335E-2</v>
      </c>
      <c r="BS18">
        <f t="shared" si="25"/>
        <v>0.151618222312665</v>
      </c>
      <c r="BT18">
        <f t="shared" si="26"/>
        <v>0.42506522799870217</v>
      </c>
      <c r="BU18">
        <f t="shared" si="27"/>
        <v>6.8366027160302226E-2</v>
      </c>
      <c r="BV18">
        <f t="shared" si="28"/>
        <v>0.1192387327729046</v>
      </c>
      <c r="BW18">
        <f t="shared" si="29"/>
        <v>0.19350870376869175</v>
      </c>
      <c r="BX18">
        <f t="shared" si="30"/>
        <v>4.426493056484117E-3</v>
      </c>
      <c r="BY18">
        <f t="shared" si="31"/>
        <v>0.32430603593945839</v>
      </c>
      <c r="BZ18">
        <f t="shared" si="32"/>
        <v>-0.18584930651721585</v>
      </c>
      <c r="CA18">
        <f t="shared" si="33"/>
        <v>-0.16278957995093349</v>
      </c>
      <c r="CB18">
        <f t="shared" si="34"/>
        <v>1.2936853362708108E-2</v>
      </c>
      <c r="CC18">
        <f t="shared" si="35"/>
        <v>5.200304911406875E-2</v>
      </c>
      <c r="CD18">
        <f t="shared" si="36"/>
        <v>4.5778578645663828E-2</v>
      </c>
      <c r="CE18">
        <f t="shared" si="37"/>
        <v>-2.4521981364635716E-2</v>
      </c>
      <c r="CG18">
        <f t="shared" si="41"/>
        <v>1.0000000000000002</v>
      </c>
      <c r="CH18">
        <f t="shared" si="42"/>
        <v>1</v>
      </c>
      <c r="CJ18">
        <f>SUMPRODUCT(AS18:CE18,'PC1'!AS18:CE18)</f>
        <v>0.52384022827034449</v>
      </c>
      <c r="CK18" s="1" t="s">
        <v>19</v>
      </c>
      <c r="CM18">
        <f>SUMPRODUCT(AS18:CE18,'PC2'!AS18:CE18)</f>
        <v>0.2945537853387955</v>
      </c>
      <c r="CN18">
        <f t="shared" si="43"/>
        <v>0.2945537853387955</v>
      </c>
      <c r="CO18">
        <f t="shared" si="44"/>
        <v>0.30354540812792036</v>
      </c>
      <c r="CS18" t="s">
        <v>116</v>
      </c>
      <c r="CT18">
        <f t="shared" si="45"/>
        <v>0.52384022827034449</v>
      </c>
      <c r="CU18">
        <f t="shared" si="46"/>
        <v>0.58161772042584858</v>
      </c>
      <c r="CV18">
        <f t="shared" si="47"/>
        <v>0.2945537853387955</v>
      </c>
      <c r="CW18">
        <f t="shared" si="48"/>
        <v>0.30354540812792036</v>
      </c>
      <c r="CX18">
        <v>8.4012844958220326E-2</v>
      </c>
      <c r="CY18">
        <v>8.4211344913092123E-2</v>
      </c>
      <c r="CZ18">
        <v>0.18150901119446994</v>
      </c>
      <c r="DA18">
        <v>0.18354266807912326</v>
      </c>
    </row>
    <row r="19" spans="1:105" x14ac:dyDescent="0.25">
      <c r="A19" s="1" t="s">
        <v>20</v>
      </c>
      <c r="B19">
        <v>9.5032576242846806E-2</v>
      </c>
      <c r="C19">
        <v>0.213526616061607</v>
      </c>
      <c r="D19">
        <v>0.42471111278797702</v>
      </c>
      <c r="E19">
        <v>0.36099306712018397</v>
      </c>
      <c r="F19">
        <v>0.30720181767217702</v>
      </c>
      <c r="G19">
        <v>0.212122036034749</v>
      </c>
      <c r="H19">
        <v>0.18660198158561001</v>
      </c>
      <c r="I19">
        <v>0.180756107063964</v>
      </c>
      <c r="J19">
        <v>0.19766184902470499</v>
      </c>
      <c r="K19">
        <v>0.14323637976131701</v>
      </c>
      <c r="L19">
        <v>9.2445087264301007E-2</v>
      </c>
      <c r="M19">
        <v>0.15585664627908499</v>
      </c>
      <c r="N19">
        <v>2.94480444453591E-2</v>
      </c>
      <c r="O19">
        <v>0.12589975311887799</v>
      </c>
      <c r="P19">
        <v>0.13492315697083901</v>
      </c>
      <c r="Q19">
        <v>7.9778441497821997E-2</v>
      </c>
      <c r="R19">
        <v>0.134434427106669</v>
      </c>
      <c r="S19">
        <v>0.12922224979056199</v>
      </c>
      <c r="T19">
        <v>0.18779564918475999</v>
      </c>
      <c r="U19">
        <v>4.6305370044801397E-2</v>
      </c>
      <c r="V19">
        <v>6.8188237050861605E-2</v>
      </c>
      <c r="W19">
        <v>0.28090342713636302</v>
      </c>
      <c r="X19">
        <v>0.13092711207555899</v>
      </c>
      <c r="Y19">
        <v>9.6510149166537607E-2</v>
      </c>
      <c r="Z19">
        <v>0.16275653775854901</v>
      </c>
      <c r="AA19">
        <v>0.15732917895632501</v>
      </c>
      <c r="AB19">
        <v>0.18380310615748099</v>
      </c>
      <c r="AC19">
        <v>0.116452018736554</v>
      </c>
      <c r="AD19">
        <v>9.0420726389615402E-2</v>
      </c>
      <c r="AE19">
        <v>1.6571767649548801E-2</v>
      </c>
      <c r="AF19">
        <v>0.14149996638937801</v>
      </c>
      <c r="AG19">
        <v>0.107693907740095</v>
      </c>
      <c r="AH19">
        <v>0.159467106932112</v>
      </c>
      <c r="AI19">
        <v>0.107199963968014</v>
      </c>
      <c r="AJ19">
        <v>2.3467785677138701E-2</v>
      </c>
      <c r="AK19">
        <v>0.124254356796623</v>
      </c>
      <c r="AL19">
        <v>0.132568427262101</v>
      </c>
      <c r="AM19">
        <v>0.15342975273412299</v>
      </c>
      <c r="AN19">
        <v>2.3477149741563699E-2</v>
      </c>
      <c r="AP19">
        <f t="shared" si="38"/>
        <v>1.1213233414769541</v>
      </c>
      <c r="AQ19">
        <f t="shared" si="39"/>
        <v>1.0589255599318368</v>
      </c>
      <c r="AS19">
        <f t="shared" si="40"/>
        <v>8.9744340715473964E-2</v>
      </c>
      <c r="AT19">
        <f t="shared" si="0"/>
        <v>0.2016445953720786</v>
      </c>
      <c r="AU19">
        <f t="shared" si="1"/>
        <v>0.40107740228247557</v>
      </c>
      <c r="AV19">
        <f t="shared" si="2"/>
        <v>0.34090504637872859</v>
      </c>
      <c r="AW19">
        <f t="shared" si="3"/>
        <v>0.29010709467807316</v>
      </c>
      <c r="AX19">
        <f t="shared" si="4"/>
        <v>0.20031817538562705</v>
      </c>
      <c r="AY19">
        <f t="shared" si="5"/>
        <v>0.17621822406253146</v>
      </c>
      <c r="AZ19">
        <f t="shared" si="6"/>
        <v>0.17069765232184905</v>
      </c>
      <c r="BA19">
        <f t="shared" si="7"/>
        <v>0.18666264797445112</v>
      </c>
      <c r="BB19">
        <f t="shared" si="8"/>
        <v>0.13526576860656489</v>
      </c>
      <c r="BC19">
        <f t="shared" si="9"/>
        <v>8.7300836585955777E-2</v>
      </c>
      <c r="BD19">
        <f t="shared" si="10"/>
        <v>0.14718376076323769</v>
      </c>
      <c r="BE19">
        <f t="shared" si="11"/>
        <v>2.7809362206021995E-2</v>
      </c>
      <c r="BF19">
        <f t="shared" si="12"/>
        <v>0.11889386552061523</v>
      </c>
      <c r="BG19">
        <f t="shared" si="13"/>
        <v>0.12741514802940826</v>
      </c>
      <c r="BH19">
        <f t="shared" si="14"/>
        <v>7.5339046026008993E-2</v>
      </c>
      <c r="BI19">
        <f t="shared" si="15"/>
        <v>0.12695361429874502</v>
      </c>
      <c r="BJ19">
        <f t="shared" si="16"/>
        <v>0.12203147669688892</v>
      </c>
      <c r="BK19">
        <f t="shared" si="17"/>
        <v>0.17734546817138727</v>
      </c>
      <c r="BL19">
        <f t="shared" si="18"/>
        <v>4.3728635701061065E-2</v>
      </c>
      <c r="BM19">
        <f t="shared" si="19"/>
        <v>6.439379653396117E-2</v>
      </c>
      <c r="BN19">
        <f t="shared" si="20"/>
        <v>0.2652721189905406</v>
      </c>
      <c r="BO19">
        <f t="shared" si="21"/>
        <v>0.12364146926813892</v>
      </c>
      <c r="BP19">
        <f t="shared" si="22"/>
        <v>9.1139691795474251E-2</v>
      </c>
      <c r="BQ19">
        <f t="shared" si="23"/>
        <v>0.1536996970486062</v>
      </c>
      <c r="BR19">
        <f t="shared" si="24"/>
        <v>0.14857435206914102</v>
      </c>
      <c r="BS19">
        <f t="shared" si="25"/>
        <v>0.1735750964112269</v>
      </c>
      <c r="BT19">
        <f t="shared" si="26"/>
        <v>0.10997186501386372</v>
      </c>
      <c r="BU19">
        <f t="shared" si="27"/>
        <v>8.5389124421017662E-2</v>
      </c>
      <c r="BV19">
        <f t="shared" si="28"/>
        <v>1.5649605861450287E-2</v>
      </c>
      <c r="BW19">
        <f t="shared" si="29"/>
        <v>0.13362598065768322</v>
      </c>
      <c r="BX19">
        <f t="shared" si="30"/>
        <v>0.10170111272696759</v>
      </c>
      <c r="BY19">
        <f t="shared" si="31"/>
        <v>0.15059331171718709</v>
      </c>
      <c r="BZ19">
        <f t="shared" si="32"/>
        <v>0.10123465522440923</v>
      </c>
      <c r="CA19">
        <f t="shared" si="33"/>
        <v>2.216188423919933E-2</v>
      </c>
      <c r="CB19">
        <f t="shared" si="34"/>
        <v>0.11734002983611168</v>
      </c>
      <c r="CC19">
        <f t="shared" si="35"/>
        <v>0.1251914509180744</v>
      </c>
      <c r="CD19">
        <f t="shared" si="36"/>
        <v>0.14489191548459676</v>
      </c>
      <c r="CE19">
        <f t="shared" si="37"/>
        <v>2.217072722569368E-2</v>
      </c>
      <c r="CG19">
        <f t="shared" si="41"/>
        <v>1.0000000000000002</v>
      </c>
      <c r="CH19">
        <f t="shared" si="42"/>
        <v>1</v>
      </c>
      <c r="CJ19">
        <f>SUMPRODUCT(AS19:CE19,'PC1'!AS19:CE19)</f>
        <v>0.98814572117965871</v>
      </c>
      <c r="CK19" s="1" t="s">
        <v>20</v>
      </c>
      <c r="CM19">
        <f>SUMPRODUCT(AS19:CE19,'PC2'!AS19:CE19)</f>
        <v>8.5221885679494083E-2</v>
      </c>
      <c r="CN19">
        <f t="shared" si="43"/>
        <v>8.5221885679494083E-2</v>
      </c>
      <c r="CO19">
        <f t="shared" si="44"/>
        <v>8.5429105069673467E-2</v>
      </c>
      <c r="CS19" t="s">
        <v>116</v>
      </c>
      <c r="CT19">
        <f t="shared" si="45"/>
        <v>0.98814572117965871</v>
      </c>
      <c r="CU19">
        <f t="shared" si="46"/>
        <v>2.5611344003151268</v>
      </c>
      <c r="CV19">
        <f t="shared" si="47"/>
        <v>8.5221885679494083E-2</v>
      </c>
      <c r="CW19">
        <f t="shared" si="48"/>
        <v>8.5429105069673467E-2</v>
      </c>
      <c r="CX19">
        <v>3.9384776781464993E-2</v>
      </c>
      <c r="CY19">
        <v>3.9405159793773972E-2</v>
      </c>
      <c r="CZ19">
        <v>1.0345313228943004E-2</v>
      </c>
      <c r="DA19">
        <v>1.0345682323438557E-2</v>
      </c>
    </row>
    <row r="20" spans="1:105" x14ac:dyDescent="0.25">
      <c r="A20" s="1" t="s">
        <v>21</v>
      </c>
      <c r="B20">
        <v>6.3848077940717396E-2</v>
      </c>
      <c r="C20">
        <v>8.6133020900914195E-2</v>
      </c>
      <c r="D20">
        <v>0.245204937884026</v>
      </c>
      <c r="E20">
        <v>0.194327550597688</v>
      </c>
      <c r="F20">
        <v>0.169002920772265</v>
      </c>
      <c r="G20">
        <v>0.16278004529717199</v>
      </c>
      <c r="H20">
        <v>0.185994758402835</v>
      </c>
      <c r="I20">
        <v>0.118655061079998</v>
      </c>
      <c r="J20">
        <v>0.11987145300429</v>
      </c>
      <c r="K20">
        <v>7.1574255277706098E-2</v>
      </c>
      <c r="L20">
        <v>5.6136851269541703E-2</v>
      </c>
      <c r="M20">
        <v>0.104702267071107</v>
      </c>
      <c r="N20">
        <v>6.2677058735478297E-2</v>
      </c>
      <c r="O20">
        <v>6.3402368928328998E-2</v>
      </c>
      <c r="P20">
        <v>6.0498729912323003E-2</v>
      </c>
      <c r="Q20">
        <v>1.39410218052967E-2</v>
      </c>
      <c r="R20">
        <v>6.4564244755414502E-2</v>
      </c>
      <c r="S20">
        <v>8.0807222797008693E-2</v>
      </c>
      <c r="T20">
        <v>7.2217088510672905E-2</v>
      </c>
      <c r="U20">
        <v>-7.6504203152803303E-3</v>
      </c>
      <c r="V20">
        <v>4.4109757050762102E-2</v>
      </c>
      <c r="W20">
        <v>0.16882699984423899</v>
      </c>
      <c r="X20">
        <v>7.6717343493281701E-2</v>
      </c>
      <c r="Y20">
        <v>4.9119199962961699E-2</v>
      </c>
      <c r="Z20">
        <v>0.13985507744269501</v>
      </c>
      <c r="AA20">
        <v>8.5950103140799705E-2</v>
      </c>
      <c r="AB20">
        <v>4.3024785335607003E-2</v>
      </c>
      <c r="AC20">
        <v>7.2604401785200404E-2</v>
      </c>
      <c r="AD20">
        <v>6.9662921229142805E-2</v>
      </c>
      <c r="AE20">
        <v>2.5760085739184299E-2</v>
      </c>
      <c r="AF20">
        <v>9.4613131784759094E-2</v>
      </c>
      <c r="AG20">
        <v>7.8048073001138099E-2</v>
      </c>
      <c r="AH20">
        <v>9.5988455881316798E-2</v>
      </c>
      <c r="AI20">
        <v>7.5290559352983403E-3</v>
      </c>
      <c r="AJ20">
        <v>-1.6365769545103999E-2</v>
      </c>
      <c r="AK20">
        <v>4.1252691857104097E-2</v>
      </c>
      <c r="AL20">
        <v>7.6166478666463297E-2</v>
      </c>
      <c r="AM20">
        <v>9.8027915520231795E-2</v>
      </c>
      <c r="AN20">
        <v>1.14414437598645E-2</v>
      </c>
      <c r="AP20">
        <f t="shared" si="38"/>
        <v>0.39465471825170839</v>
      </c>
      <c r="AQ20">
        <f t="shared" si="39"/>
        <v>0.62821550303355966</v>
      </c>
      <c r="AS20">
        <f t="shared" si="40"/>
        <v>0.10163403741614857</v>
      </c>
      <c r="AT20">
        <f t="shared" si="0"/>
        <v>0.13710744240629305</v>
      </c>
      <c r="AU20">
        <f t="shared" si="1"/>
        <v>0.39031978150804564</v>
      </c>
      <c r="AV20">
        <f t="shared" si="2"/>
        <v>0.30933262496596953</v>
      </c>
      <c r="AW20">
        <f t="shared" si="3"/>
        <v>0.26902061467151783</v>
      </c>
      <c r="AX20">
        <f t="shared" si="4"/>
        <v>0.25911497648678083</v>
      </c>
      <c r="AY20">
        <f t="shared" si="5"/>
        <v>0.29606839930675677</v>
      </c>
      <c r="AZ20">
        <f t="shared" si="6"/>
        <v>0.18887636568507188</v>
      </c>
      <c r="BA20">
        <f t="shared" si="7"/>
        <v>0.19081263105645835</v>
      </c>
      <c r="BB20">
        <f t="shared" si="8"/>
        <v>0.11393264720797977</v>
      </c>
      <c r="BC20">
        <f t="shared" si="9"/>
        <v>8.9359226250331547E-2</v>
      </c>
      <c r="BD20">
        <f t="shared" si="10"/>
        <v>0.16666616243234247</v>
      </c>
      <c r="BE20">
        <f t="shared" si="11"/>
        <v>9.9769996812909045E-2</v>
      </c>
      <c r="BF20">
        <f t="shared" si="12"/>
        <v>0.10092455315440059</v>
      </c>
      <c r="BG20">
        <f t="shared" si="13"/>
        <v>9.6302510237623221E-2</v>
      </c>
      <c r="BH20">
        <f t="shared" si="14"/>
        <v>2.2191464136076824E-2</v>
      </c>
      <c r="BI20">
        <f t="shared" si="15"/>
        <v>0.10277403923278448</v>
      </c>
      <c r="BJ20">
        <f t="shared" si="16"/>
        <v>0.12862978135178546</v>
      </c>
      <c r="BK20">
        <f t="shared" si="17"/>
        <v>0.11495591586318274</v>
      </c>
      <c r="BL20">
        <f t="shared" si="18"/>
        <v>-1.2178018973326165E-2</v>
      </c>
      <c r="BM20">
        <f t="shared" si="19"/>
        <v>7.021437203915315E-2</v>
      </c>
      <c r="BN20">
        <f t="shared" si="20"/>
        <v>0.26874058190063504</v>
      </c>
      <c r="BO20">
        <f t="shared" si="21"/>
        <v>0.1221194687536761</v>
      </c>
      <c r="BP20">
        <f t="shared" si="22"/>
        <v>7.8188455594891168E-2</v>
      </c>
      <c r="BQ20">
        <f t="shared" si="23"/>
        <v>0.22262277318429033</v>
      </c>
      <c r="BR20">
        <f t="shared" si="24"/>
        <v>0.13681627200500368</v>
      </c>
      <c r="BS20">
        <f t="shared" si="25"/>
        <v>6.8487302729472108E-2</v>
      </c>
      <c r="BT20">
        <f t="shared" si="26"/>
        <v>0.11557244517940818</v>
      </c>
      <c r="BU20">
        <f t="shared" si="27"/>
        <v>0.11089016570388803</v>
      </c>
      <c r="BV20">
        <f t="shared" si="28"/>
        <v>4.1005173566702281E-2</v>
      </c>
      <c r="BW20">
        <f t="shared" si="29"/>
        <v>0.15060617149351821</v>
      </c>
      <c r="BX20">
        <f t="shared" si="30"/>
        <v>0.12423773788493839</v>
      </c>
      <c r="BY20">
        <f t="shared" si="31"/>
        <v>0.15279542675690547</v>
      </c>
      <c r="BZ20">
        <f t="shared" si="32"/>
        <v>1.1984829885511649E-2</v>
      </c>
      <c r="CA20">
        <f t="shared" si="33"/>
        <v>-2.6051202916954643E-2</v>
      </c>
      <c r="CB20">
        <f t="shared" si="34"/>
        <v>6.5666465819294417E-2</v>
      </c>
      <c r="CC20">
        <f t="shared" si="35"/>
        <v>0.12124259636807218</v>
      </c>
      <c r="CD20">
        <f t="shared" si="36"/>
        <v>0.15604185991410513</v>
      </c>
      <c r="CE20">
        <f t="shared" si="37"/>
        <v>1.8212609693036008E-2</v>
      </c>
      <c r="CG20">
        <f t="shared" si="41"/>
        <v>0.99999999999999978</v>
      </c>
      <c r="CH20">
        <f t="shared" si="42"/>
        <v>0.99999999999999989</v>
      </c>
      <c r="CJ20">
        <f>SUMPRODUCT(AS20:CE20,'PC1'!AS20:CE20)</f>
        <v>0.94382238585870992</v>
      </c>
      <c r="CK20" s="1" t="s">
        <v>21</v>
      </c>
      <c r="CM20">
        <f>SUMPRODUCT(AS20:CE20,'PC2'!AS20:CE20)</f>
        <v>0.14931659665332395</v>
      </c>
      <c r="CN20">
        <f t="shared" si="43"/>
        <v>0.14931659665332395</v>
      </c>
      <c r="CO20">
        <f t="shared" si="44"/>
        <v>0.15044137527463577</v>
      </c>
      <c r="CS20" t="s">
        <v>116</v>
      </c>
      <c r="CT20">
        <f t="shared" si="45"/>
        <v>0.94382238585870992</v>
      </c>
      <c r="CU20">
        <f t="shared" si="46"/>
        <v>1.771946631444083</v>
      </c>
      <c r="CV20">
        <f t="shared" si="47"/>
        <v>0.14931659665332395</v>
      </c>
      <c r="CW20">
        <f t="shared" si="48"/>
        <v>0.15044137527463577</v>
      </c>
      <c r="CX20">
        <v>5.6603804191907275E-2</v>
      </c>
      <c r="CY20">
        <v>5.6664373358882879E-2</v>
      </c>
      <c r="CZ20">
        <v>5.9361913993547033E-3</v>
      </c>
      <c r="DA20">
        <v>5.9362611280620115E-3</v>
      </c>
    </row>
    <row r="21" spans="1:105" x14ac:dyDescent="0.25">
      <c r="A21" s="1" t="s">
        <v>22</v>
      </c>
      <c r="B21">
        <v>8.6742617503691E-2</v>
      </c>
      <c r="C21">
        <v>0.17319203844817799</v>
      </c>
      <c r="D21">
        <v>0.36865617049539601</v>
      </c>
      <c r="E21">
        <v>0.315250089642022</v>
      </c>
      <c r="F21">
        <v>0.25890794555959101</v>
      </c>
      <c r="G21">
        <v>0.20964212767799301</v>
      </c>
      <c r="H21">
        <v>0.21187840423252299</v>
      </c>
      <c r="I21">
        <v>0.17880490667600299</v>
      </c>
      <c r="J21">
        <v>0.17555871176366999</v>
      </c>
      <c r="K21">
        <v>9.1332851544891097E-2</v>
      </c>
      <c r="L21">
        <v>7.3690133137813696E-2</v>
      </c>
      <c r="M21">
        <v>0.141939352909039</v>
      </c>
      <c r="N21">
        <v>2.5194767886349698E-2</v>
      </c>
      <c r="O21">
        <v>9.7329097475301704E-2</v>
      </c>
      <c r="P21">
        <v>0.110482706746556</v>
      </c>
      <c r="Q21">
        <v>5.5977625838398902E-2</v>
      </c>
      <c r="R21">
        <v>0.119297556184875</v>
      </c>
      <c r="S21">
        <v>0.11931203772936801</v>
      </c>
      <c r="T21">
        <v>0.15605955599147101</v>
      </c>
      <c r="U21">
        <v>1.7491882760179399E-2</v>
      </c>
      <c r="V21">
        <v>4.6776795549916997E-2</v>
      </c>
      <c r="W21">
        <v>0.22169531478757901</v>
      </c>
      <c r="X21">
        <v>9.5346189704782994E-2</v>
      </c>
      <c r="Y21">
        <v>8.2607416143027496E-2</v>
      </c>
      <c r="Z21">
        <v>0.16082384291428301</v>
      </c>
      <c r="AA21">
        <v>0.135172455156814</v>
      </c>
      <c r="AB21">
        <v>0.11084488146558399</v>
      </c>
      <c r="AC21">
        <v>8.8248486242111707E-2</v>
      </c>
      <c r="AD21">
        <v>9.7685031586756704E-2</v>
      </c>
      <c r="AE21">
        <v>4.6454836987961601E-2</v>
      </c>
      <c r="AF21">
        <v>0.130427142278534</v>
      </c>
      <c r="AG21">
        <v>0.118393659844614</v>
      </c>
      <c r="AH21">
        <v>0.155595905082067</v>
      </c>
      <c r="AI21">
        <v>5.7275834664332899E-2</v>
      </c>
      <c r="AJ21">
        <v>3.3868647356937898E-2</v>
      </c>
      <c r="AK21">
        <v>7.9000373324535897E-2</v>
      </c>
      <c r="AL21">
        <v>0.111151788624878</v>
      </c>
      <c r="AM21">
        <v>0.122035106163518</v>
      </c>
      <c r="AN21">
        <v>7.5586440332757196E-3</v>
      </c>
      <c r="AP21">
        <f t="shared" si="38"/>
        <v>0.84034552666173057</v>
      </c>
      <c r="AQ21">
        <f t="shared" si="39"/>
        <v>0.91670361985852911</v>
      </c>
      <c r="AS21">
        <f t="shared" si="40"/>
        <v>9.4624495447151846E-2</v>
      </c>
      <c r="AT21">
        <f t="shared" si="0"/>
        <v>0.18892915299593338</v>
      </c>
      <c r="AU21">
        <f t="shared" si="1"/>
        <v>0.40215415594441428</v>
      </c>
      <c r="AV21">
        <f t="shared" si="2"/>
        <v>0.34389532539499862</v>
      </c>
      <c r="AW21">
        <f t="shared" si="3"/>
        <v>0.28243364589260284</v>
      </c>
      <c r="AX21">
        <f t="shared" si="4"/>
        <v>0.22869128378738829</v>
      </c>
      <c r="AY21">
        <f t="shared" si="5"/>
        <v>0.23113075986895446</v>
      </c>
      <c r="AZ21">
        <f t="shared" si="6"/>
        <v>0.19505203514260933</v>
      </c>
      <c r="BA21">
        <f t="shared" si="7"/>
        <v>0.19151087435518496</v>
      </c>
      <c r="BB21">
        <f t="shared" si="8"/>
        <v>9.9631821633895265E-2</v>
      </c>
      <c r="BC21">
        <f t="shared" si="9"/>
        <v>8.0385995584031811E-2</v>
      </c>
      <c r="BD21">
        <f t="shared" si="10"/>
        <v>0.15483668858092203</v>
      </c>
      <c r="BE21">
        <f t="shared" si="11"/>
        <v>2.7484093376044374E-2</v>
      </c>
      <c r="BF21">
        <f t="shared" si="12"/>
        <v>0.10617291714231704</v>
      </c>
      <c r="BG21">
        <f t="shared" si="13"/>
        <v>0.12052173063700383</v>
      </c>
      <c r="BH21">
        <f t="shared" si="14"/>
        <v>6.1064039266080006E-2</v>
      </c>
      <c r="BI21">
        <f t="shared" si="15"/>
        <v>0.13013754238614841</v>
      </c>
      <c r="BJ21">
        <f t="shared" si="16"/>
        <v>0.1301533397978519</v>
      </c>
      <c r="BK21">
        <f t="shared" si="17"/>
        <v>0.17023992554491604</v>
      </c>
      <c r="BL21">
        <f t="shared" si="18"/>
        <v>1.9081284704514253E-2</v>
      </c>
      <c r="BM21">
        <f t="shared" si="19"/>
        <v>5.1027174472307479E-2</v>
      </c>
      <c r="BN21">
        <f t="shared" si="20"/>
        <v>0.2418396851337756</v>
      </c>
      <c r="BO21">
        <f t="shared" si="21"/>
        <v>0.10400983222854226</v>
      </c>
      <c r="BP21">
        <f t="shared" si="22"/>
        <v>9.0113548537940694E-2</v>
      </c>
      <c r="BQ21">
        <f t="shared" si="23"/>
        <v>0.17543711994843247</v>
      </c>
      <c r="BR21">
        <f t="shared" si="24"/>
        <v>0.14745491588401777</v>
      </c>
      <c r="BS21">
        <f t="shared" si="25"/>
        <v>0.12091681440364575</v>
      </c>
      <c r="BT21">
        <f t="shared" si="26"/>
        <v>9.6267195122160323E-2</v>
      </c>
      <c r="BU21">
        <f t="shared" si="27"/>
        <v>0.10656119324785912</v>
      </c>
      <c r="BV21">
        <f t="shared" si="28"/>
        <v>5.0675961108488668E-2</v>
      </c>
      <c r="BW21">
        <f t="shared" si="29"/>
        <v>0.14227841960377799</v>
      </c>
      <c r="BX21">
        <f t="shared" si="30"/>
        <v>0.12915151340068362</v>
      </c>
      <c r="BY21">
        <f t="shared" si="31"/>
        <v>0.16973414494215638</v>
      </c>
      <c r="BZ21">
        <f t="shared" si="32"/>
        <v>6.2480209986704352E-2</v>
      </c>
      <c r="CA21">
        <f t="shared" si="33"/>
        <v>3.6946125905082276E-2</v>
      </c>
      <c r="CB21">
        <f t="shared" si="34"/>
        <v>8.617875135774819E-2</v>
      </c>
      <c r="CC21">
        <f t="shared" si="35"/>
        <v>0.12125160871736447</v>
      </c>
      <c r="CD21">
        <f t="shared" si="36"/>
        <v>0.13312384015932122</v>
      </c>
      <c r="CE21">
        <f t="shared" si="37"/>
        <v>8.2454610950944123E-3</v>
      </c>
      <c r="CG21">
        <f t="shared" si="41"/>
        <v>0.99999999999999978</v>
      </c>
      <c r="CH21">
        <f t="shared" si="42"/>
        <v>0.99999999999999989</v>
      </c>
      <c r="CJ21">
        <f>SUMPRODUCT(AS21:CE21,'PC1'!AS21:CE21)</f>
        <v>0.97993767379210628</v>
      </c>
      <c r="CK21" s="1" t="s">
        <v>22</v>
      </c>
      <c r="CM21">
        <f>SUMPRODUCT(AS21:CE21,'PC2'!AS21:CE21)</f>
        <v>0.13340944991611961</v>
      </c>
      <c r="CN21">
        <f t="shared" si="43"/>
        <v>0.13340944991611961</v>
      </c>
      <c r="CO21">
        <f t="shared" si="44"/>
        <v>0.13420948835671057</v>
      </c>
      <c r="CS21" t="s">
        <v>116</v>
      </c>
      <c r="CT21">
        <f t="shared" si="45"/>
        <v>0.97993767379210628</v>
      </c>
      <c r="CU21">
        <f t="shared" si="46"/>
        <v>2.2959884534962725</v>
      </c>
      <c r="CV21">
        <f t="shared" si="47"/>
        <v>0.13340944991611961</v>
      </c>
      <c r="CW21">
        <f t="shared" si="48"/>
        <v>0.13420948835671057</v>
      </c>
      <c r="CX21">
        <v>5.8487489347910371E-3</v>
      </c>
      <c r="CY21">
        <v>5.8488156272294518E-3</v>
      </c>
      <c r="CZ21">
        <v>1.4341334255300875E-2</v>
      </c>
      <c r="DA21">
        <v>1.4342317589215349E-2</v>
      </c>
    </row>
    <row r="22" spans="1:105" x14ac:dyDescent="0.25">
      <c r="A22" s="1" t="s">
        <v>23</v>
      </c>
      <c r="B22">
        <v>6.5621967133314404E-2</v>
      </c>
      <c r="C22">
        <v>0.110423468908059</v>
      </c>
      <c r="D22">
        <v>0.27544189244917</v>
      </c>
      <c r="E22">
        <v>0.201246121151615</v>
      </c>
      <c r="F22">
        <v>0.14636993394765299</v>
      </c>
      <c r="G22">
        <v>0.17766090418132499</v>
      </c>
      <c r="H22">
        <v>0.142259114375754</v>
      </c>
      <c r="I22">
        <v>0.137097570635236</v>
      </c>
      <c r="J22">
        <v>9.9401124569928306E-2</v>
      </c>
      <c r="K22">
        <v>8.3228603956066696E-2</v>
      </c>
      <c r="L22">
        <v>6.2800103706477997E-2</v>
      </c>
      <c r="M22">
        <v>9.6843162517306403E-2</v>
      </c>
      <c r="N22">
        <v>5.3480086585803402E-2</v>
      </c>
      <c r="O22">
        <v>6.4289248867891197E-2</v>
      </c>
      <c r="P22">
        <v>7.9363667622560904E-2</v>
      </c>
      <c r="Q22">
        <v>1.95671835215631E-2</v>
      </c>
      <c r="R22">
        <v>6.8469600373697703E-2</v>
      </c>
      <c r="S22">
        <v>7.1519500491556406E-2</v>
      </c>
      <c r="T22">
        <v>9.19909633208707E-2</v>
      </c>
      <c r="U22">
        <v>1.5017763603568201E-2</v>
      </c>
      <c r="V22">
        <v>3.2495339877886498E-2</v>
      </c>
      <c r="W22">
        <v>0.16796000088754301</v>
      </c>
      <c r="X22">
        <v>2.9463041004127499E-2</v>
      </c>
      <c r="Y22">
        <v>6.0341168158165898E-2</v>
      </c>
      <c r="Z22">
        <v>0.10051920379856399</v>
      </c>
      <c r="AA22">
        <v>6.6068027801246307E-2</v>
      </c>
      <c r="AB22">
        <v>7.6928303168210505E-2</v>
      </c>
      <c r="AC22">
        <v>7.35811953779614E-2</v>
      </c>
      <c r="AD22">
        <v>4.5591822109509697E-2</v>
      </c>
      <c r="AE22">
        <v>-2.8091471550501798E-3</v>
      </c>
      <c r="AF22">
        <v>0.10821120917517101</v>
      </c>
      <c r="AG22">
        <v>0.14424800526985401</v>
      </c>
      <c r="AH22">
        <v>0.100557034852227</v>
      </c>
      <c r="AI22">
        <v>7.3678259799060397E-2</v>
      </c>
      <c r="AJ22">
        <v>5.80174780486854E-2</v>
      </c>
      <c r="AK22">
        <v>9.7003925803931301E-2</v>
      </c>
      <c r="AL22">
        <v>8.9046387940145702E-2</v>
      </c>
      <c r="AM22">
        <v>8.5933371795854696E-2</v>
      </c>
      <c r="AN22">
        <v>1.42468862887331E-2</v>
      </c>
      <c r="AP22">
        <f t="shared" si="38"/>
        <v>0.42519781637104997</v>
      </c>
      <c r="AQ22">
        <f t="shared" si="39"/>
        <v>0.65207194110086497</v>
      </c>
      <c r="AS22">
        <f t="shared" si="40"/>
        <v>0.10063608475857382</v>
      </c>
      <c r="AT22">
        <f t="shared" si="0"/>
        <v>0.16934246353498331</v>
      </c>
      <c r="AU22">
        <f t="shared" si="1"/>
        <v>0.42241028188416346</v>
      </c>
      <c r="AV22">
        <f t="shared" si="2"/>
        <v>0.3086256415386619</v>
      </c>
      <c r="AW22">
        <f t="shared" si="3"/>
        <v>0.22446899601375722</v>
      </c>
      <c r="AX22">
        <f t="shared" si="4"/>
        <v>0.27245598680628358</v>
      </c>
      <c r="AY22">
        <f t="shared" si="5"/>
        <v>0.21816475362455262</v>
      </c>
      <c r="AZ22">
        <f t="shared" si="6"/>
        <v>0.21024914889571861</v>
      </c>
      <c r="BA22">
        <f t="shared" si="7"/>
        <v>0.15243889255856288</v>
      </c>
      <c r="BB22">
        <f t="shared" si="8"/>
        <v>0.12763714969172793</v>
      </c>
      <c r="BC22">
        <f t="shared" si="9"/>
        <v>9.6308550863966461E-2</v>
      </c>
      <c r="BD22">
        <f t="shared" si="10"/>
        <v>0.14851607071730499</v>
      </c>
      <c r="BE22">
        <f t="shared" si="11"/>
        <v>8.2015623146604461E-2</v>
      </c>
      <c r="BF22">
        <f t="shared" si="12"/>
        <v>9.8592263852596423E-2</v>
      </c>
      <c r="BG22">
        <f t="shared" si="13"/>
        <v>0.1217099872271373</v>
      </c>
      <c r="BH22">
        <f t="shared" si="14"/>
        <v>3.0007706647411737E-2</v>
      </c>
      <c r="BI22">
        <f t="shared" si="15"/>
        <v>0.10500313854649754</v>
      </c>
      <c r="BJ22">
        <f t="shared" si="16"/>
        <v>0.10968038338041829</v>
      </c>
      <c r="BK22">
        <f t="shared" si="17"/>
        <v>0.14107486846553513</v>
      </c>
      <c r="BL22">
        <f t="shared" si="18"/>
        <v>2.303083855780446E-2</v>
      </c>
      <c r="BM22">
        <f t="shared" si="19"/>
        <v>4.9833979703260985E-2</v>
      </c>
      <c r="BN22">
        <f t="shared" si="20"/>
        <v>0.2575789422927528</v>
      </c>
      <c r="BO22">
        <f t="shared" si="21"/>
        <v>4.5183727664138279E-2</v>
      </c>
      <c r="BP22">
        <f t="shared" si="22"/>
        <v>9.2537593407706675E-2</v>
      </c>
      <c r="BQ22">
        <f t="shared" si="23"/>
        <v>0.15415354880760818</v>
      </c>
      <c r="BR22">
        <f t="shared" si="24"/>
        <v>0.10132015140799726</v>
      </c>
      <c r="BS22">
        <f t="shared" si="25"/>
        <v>0.11797517776694358</v>
      </c>
      <c r="BT22">
        <f t="shared" si="26"/>
        <v>0.11284214323612428</v>
      </c>
      <c r="BU22">
        <f t="shared" si="27"/>
        <v>6.9918392796566267E-2</v>
      </c>
      <c r="BV22">
        <f t="shared" si="28"/>
        <v>-4.3080325620323701E-3</v>
      </c>
      <c r="BW22">
        <f t="shared" si="29"/>
        <v>0.16594980147816618</v>
      </c>
      <c r="BX22">
        <f t="shared" si="30"/>
        <v>0.22121486323476258</v>
      </c>
      <c r="BY22">
        <f t="shared" si="31"/>
        <v>0.15421156549453868</v>
      </c>
      <c r="BZ22">
        <f t="shared" si="32"/>
        <v>0.11299099862305463</v>
      </c>
      <c r="CA22">
        <f t="shared" si="33"/>
        <v>8.8974044720797202E-2</v>
      </c>
      <c r="CB22">
        <f t="shared" si="34"/>
        <v>0.14876261297206525</v>
      </c>
      <c r="CC22">
        <f t="shared" si="35"/>
        <v>0.13655914681716333</v>
      </c>
      <c r="CD22">
        <f t="shared" si="36"/>
        <v>0.13178510894177886</v>
      </c>
      <c r="CE22">
        <f t="shared" si="37"/>
        <v>2.1848641830348806E-2</v>
      </c>
      <c r="CG22">
        <f t="shared" si="41"/>
        <v>0.99999999999999989</v>
      </c>
      <c r="CH22">
        <f t="shared" si="42"/>
        <v>1</v>
      </c>
      <c r="CJ22">
        <f>SUMPRODUCT(AS22:CE22,'PC1'!AS22:CE22)</f>
        <v>0.965770843750278</v>
      </c>
      <c r="CK22" s="1" t="s">
        <v>23</v>
      </c>
      <c r="CM22">
        <f>SUMPRODUCT(AS22:CE22,'PC2'!AS22:CE22)</f>
        <v>4.8716038239118895E-2</v>
      </c>
      <c r="CN22">
        <f t="shared" si="43"/>
        <v>4.8716038239118895E-2</v>
      </c>
      <c r="CO22">
        <f t="shared" si="44"/>
        <v>4.8754631693840367E-2</v>
      </c>
      <c r="CS22" t="s">
        <v>116</v>
      </c>
      <c r="CT22">
        <f t="shared" si="45"/>
        <v>0.965770843750278</v>
      </c>
      <c r="CU22">
        <f t="shared" si="46"/>
        <v>2.0252809657374722</v>
      </c>
      <c r="CV22">
        <f t="shared" si="47"/>
        <v>4.8716038239118895E-2</v>
      </c>
      <c r="CW22">
        <f t="shared" si="48"/>
        <v>4.8754631693840367E-2</v>
      </c>
      <c r="CX22">
        <v>5.8342137532670013E-3</v>
      </c>
      <c r="CY22">
        <v>5.8342799497056374E-3</v>
      </c>
      <c r="CZ22">
        <v>7.0779431449550054E-2</v>
      </c>
      <c r="DA22">
        <v>7.0897983232614967E-2</v>
      </c>
    </row>
    <row r="23" spans="1:105" x14ac:dyDescent="0.25">
      <c r="A23" s="1" t="s">
        <v>24</v>
      </c>
      <c r="B23">
        <v>8.1545808480779899E-2</v>
      </c>
      <c r="C23">
        <v>0.17006408864931399</v>
      </c>
      <c r="D23">
        <v>0.32301807575834002</v>
      </c>
      <c r="E23">
        <v>0.24386301125499599</v>
      </c>
      <c r="F23">
        <v>0.20256836750844601</v>
      </c>
      <c r="G23">
        <v>0.19825643159836201</v>
      </c>
      <c r="H23">
        <v>0.15045879853948699</v>
      </c>
      <c r="I23">
        <v>0.14032879333287299</v>
      </c>
      <c r="J23">
        <v>0.15201938649049099</v>
      </c>
      <c r="K23">
        <v>0.13403361998894001</v>
      </c>
      <c r="L23">
        <v>7.9835217465600697E-2</v>
      </c>
      <c r="M23">
        <v>0.10995869498672101</v>
      </c>
      <c r="N23">
        <v>5.0069254530358501E-2</v>
      </c>
      <c r="O23">
        <v>0.104605497760238</v>
      </c>
      <c r="P23">
        <v>5.7616055967920701E-2</v>
      </c>
      <c r="Q23">
        <v>6.3049726628455705E-2</v>
      </c>
      <c r="R23">
        <v>0.136120031068964</v>
      </c>
      <c r="S23">
        <v>0.131907136068278</v>
      </c>
      <c r="T23">
        <v>0.15024353614455799</v>
      </c>
      <c r="U23">
        <v>1.7223272437273601E-2</v>
      </c>
      <c r="V23">
        <v>5.0568290372393701E-2</v>
      </c>
      <c r="W23">
        <v>0.20400585065743501</v>
      </c>
      <c r="X23">
        <v>7.0993558699209994E-2</v>
      </c>
      <c r="Y23">
        <v>8.4508989430477896E-2</v>
      </c>
      <c r="Z23">
        <v>0.165975681149027</v>
      </c>
      <c r="AA23">
        <v>0.109471253779924</v>
      </c>
      <c r="AB23">
        <v>0.104154928123325</v>
      </c>
      <c r="AC23">
        <v>6.5941808333607396E-2</v>
      </c>
      <c r="AD23">
        <v>9.4302499483273697E-2</v>
      </c>
      <c r="AE23">
        <v>3.8121692564276999E-2</v>
      </c>
      <c r="AF23">
        <v>0.141106042448224</v>
      </c>
      <c r="AG23">
        <v>8.2880489811624894E-2</v>
      </c>
      <c r="AH23">
        <v>0.13401556037846299</v>
      </c>
      <c r="AI23">
        <v>2.00702966534171E-2</v>
      </c>
      <c r="AJ23">
        <v>9.2709423794343493E-3</v>
      </c>
      <c r="AK23">
        <v>8.1744508634823396E-2</v>
      </c>
      <c r="AL23">
        <v>0.12688796189524701</v>
      </c>
      <c r="AM23">
        <v>0.136585989459277</v>
      </c>
      <c r="AN23">
        <v>-1.31718859904512E-4</v>
      </c>
      <c r="AP23">
        <f t="shared" si="38"/>
        <v>0.66923202159371609</v>
      </c>
      <c r="AQ23">
        <f t="shared" si="39"/>
        <v>0.81806602520439398</v>
      </c>
      <c r="AS23">
        <f t="shared" si="40"/>
        <v>9.9681206612150478E-2</v>
      </c>
      <c r="AT23">
        <f t="shared" si="0"/>
        <v>0.20788552929676238</v>
      </c>
      <c r="AU23">
        <f t="shared" si="1"/>
        <v>0.3948557522329984</v>
      </c>
      <c r="AV23">
        <f t="shared" si="2"/>
        <v>0.29809697963445769</v>
      </c>
      <c r="AW23">
        <f t="shared" si="3"/>
        <v>0.24761860444923656</v>
      </c>
      <c r="AX23">
        <f t="shared" si="4"/>
        <v>0.24234771459776441</v>
      </c>
      <c r="AY23">
        <f t="shared" si="5"/>
        <v>0.18392011635233821</v>
      </c>
      <c r="AZ23">
        <f t="shared" si="6"/>
        <v>0.17153724639501047</v>
      </c>
      <c r="BA23">
        <f t="shared" si="7"/>
        <v>0.1858277716062208</v>
      </c>
      <c r="BB23">
        <f t="shared" si="8"/>
        <v>0.16384205658149864</v>
      </c>
      <c r="BC23">
        <f t="shared" si="9"/>
        <v>9.759018832942469E-2</v>
      </c>
      <c r="BD23">
        <f t="shared" si="10"/>
        <v>0.1344129833032093</v>
      </c>
      <c r="BE23">
        <f t="shared" si="11"/>
        <v>6.1204417476998493E-2</v>
      </c>
      <c r="BF23">
        <f t="shared" si="12"/>
        <v>0.12786926059434175</v>
      </c>
      <c r="BG23">
        <f t="shared" si="13"/>
        <v>7.0429591491133398E-2</v>
      </c>
      <c r="BH23">
        <f t="shared" si="14"/>
        <v>7.7071684541235794E-2</v>
      </c>
      <c r="BI23">
        <f t="shared" si="15"/>
        <v>0.16639247551559716</v>
      </c>
      <c r="BJ23">
        <f t="shared" si="16"/>
        <v>0.16124265279849628</v>
      </c>
      <c r="BK23">
        <f t="shared" si="17"/>
        <v>0.18365698062942976</v>
      </c>
      <c r="BL23">
        <f t="shared" si="18"/>
        <v>2.1053645924203199E-2</v>
      </c>
      <c r="BM23">
        <f t="shared" si="19"/>
        <v>6.1814436505609929E-2</v>
      </c>
      <c r="BN23">
        <f t="shared" si="20"/>
        <v>0.24937577698140453</v>
      </c>
      <c r="BO23">
        <f t="shared" si="21"/>
        <v>8.6782186904134348E-2</v>
      </c>
      <c r="BP23">
        <f t="shared" si="22"/>
        <v>0.10330338484520649</v>
      </c>
      <c r="BQ23">
        <f t="shared" si="23"/>
        <v>0.20288787950527334</v>
      </c>
      <c r="BR23">
        <f t="shared" si="24"/>
        <v>0.13381713750130692</v>
      </c>
      <c r="BS23">
        <f t="shared" si="25"/>
        <v>0.12731848642327112</v>
      </c>
      <c r="BT23">
        <f t="shared" si="26"/>
        <v>8.0606951397513199E-2</v>
      </c>
      <c r="BU23">
        <f t="shared" si="27"/>
        <v>0.11527492473448239</v>
      </c>
      <c r="BV23">
        <f t="shared" si="28"/>
        <v>4.6599774822273406E-2</v>
      </c>
      <c r="BW23">
        <f t="shared" si="29"/>
        <v>0.17248735199945336</v>
      </c>
      <c r="BX23">
        <f t="shared" si="30"/>
        <v>0.10131271469306793</v>
      </c>
      <c r="BY23">
        <f t="shared" si="31"/>
        <v>0.16381998059995118</v>
      </c>
      <c r="BZ23">
        <f t="shared" si="32"/>
        <v>2.4533834721228682E-2</v>
      </c>
      <c r="CA23">
        <f t="shared" si="33"/>
        <v>1.1332755662500471E-2</v>
      </c>
      <c r="CB23">
        <f t="shared" si="34"/>
        <v>9.9924096730944809E-2</v>
      </c>
      <c r="CC23">
        <f t="shared" si="35"/>
        <v>0.1551072382740061</v>
      </c>
      <c r="CD23">
        <f t="shared" si="36"/>
        <v>0.16696206082528725</v>
      </c>
      <c r="CE23">
        <f t="shared" si="37"/>
        <v>-1.610125049156051E-4</v>
      </c>
      <c r="CG23">
        <f t="shared" si="41"/>
        <v>1</v>
      </c>
      <c r="CH23">
        <f t="shared" si="42"/>
        <v>1</v>
      </c>
      <c r="CJ23">
        <f>SUMPRODUCT(AS23:CE23,'PC1'!AS23:CE23)</f>
        <v>0.97247205465984221</v>
      </c>
      <c r="CK23" s="1" t="s">
        <v>24</v>
      </c>
      <c r="CM23">
        <f>SUMPRODUCT(AS23:CE23,'PC2'!AS23:CE23)</f>
        <v>4.635851421821173E-2</v>
      </c>
      <c r="CN23">
        <f t="shared" si="43"/>
        <v>4.635851421821173E-2</v>
      </c>
      <c r="CO23">
        <f t="shared" si="44"/>
        <v>4.6391766984374597E-2</v>
      </c>
      <c r="CS23" t="s">
        <v>116</v>
      </c>
      <c r="CT23">
        <f t="shared" si="45"/>
        <v>0.97247205465984221</v>
      </c>
      <c r="CU23">
        <f t="shared" si="46"/>
        <v>2.1359206011312732</v>
      </c>
      <c r="CV23">
        <f t="shared" si="47"/>
        <v>4.635851421821173E-2</v>
      </c>
      <c r="CW23">
        <f t="shared" si="48"/>
        <v>4.6391766984374597E-2</v>
      </c>
      <c r="CX23">
        <v>4.5837012150731167E-2</v>
      </c>
      <c r="CY23">
        <v>4.5869154351132729E-2</v>
      </c>
      <c r="CZ23">
        <v>7.6048167054567711E-2</v>
      </c>
      <c r="DA23">
        <v>7.6195281602209355E-2</v>
      </c>
    </row>
    <row r="24" spans="1:105" x14ac:dyDescent="0.25">
      <c r="A24" s="1" t="s">
        <v>25</v>
      </c>
      <c r="B24">
        <v>0.125444280666311</v>
      </c>
      <c r="C24">
        <v>0.23090155556723199</v>
      </c>
      <c r="D24">
        <v>0.50554696909278196</v>
      </c>
      <c r="E24">
        <v>0.43397196038303898</v>
      </c>
      <c r="F24">
        <v>0.32804590587020999</v>
      </c>
      <c r="G24">
        <v>0.26766843089229297</v>
      </c>
      <c r="H24">
        <v>0.34546695468016098</v>
      </c>
      <c r="I24">
        <v>0.24655342023104501</v>
      </c>
      <c r="J24">
        <v>0.215817879310919</v>
      </c>
      <c r="K24">
        <v>5.0903286693331502E-2</v>
      </c>
      <c r="L24">
        <v>8.8499661890964199E-2</v>
      </c>
      <c r="M24">
        <v>0.16515289080499701</v>
      </c>
      <c r="N24">
        <v>-5.4212393954115503E-3</v>
      </c>
      <c r="O24">
        <v>4.83121609975765E-2</v>
      </c>
      <c r="P24">
        <v>9.4222408712609798E-2</v>
      </c>
      <c r="Q24">
        <v>4.5881576259234801E-2</v>
      </c>
      <c r="R24">
        <v>0.107943095495095</v>
      </c>
      <c r="S24">
        <v>0.126131780711529</v>
      </c>
      <c r="T24">
        <v>0.193031451978524</v>
      </c>
      <c r="U24">
        <v>1.91373784784781E-3</v>
      </c>
      <c r="V24">
        <v>8.8951907517574494E-2</v>
      </c>
      <c r="W24">
        <v>0.26650585776396202</v>
      </c>
      <c r="X24">
        <v>0.11441181474915101</v>
      </c>
      <c r="Y24">
        <v>0.138838000115411</v>
      </c>
      <c r="Z24">
        <v>0.18988033277479299</v>
      </c>
      <c r="AA24">
        <v>0.16709473024966101</v>
      </c>
      <c r="AB24">
        <v>0.14827075228943801</v>
      </c>
      <c r="AC24">
        <v>0.122877903333694</v>
      </c>
      <c r="AD24">
        <v>8.8023290765246204E-2</v>
      </c>
      <c r="AE24">
        <v>1.9961552815083598E-2</v>
      </c>
      <c r="AF24">
        <v>0.15890655586854699</v>
      </c>
      <c r="AG24">
        <v>0.13512168497836999</v>
      </c>
      <c r="AH24">
        <v>0.17334187681594301</v>
      </c>
      <c r="AI24">
        <v>7.9289543185799297E-2</v>
      </c>
      <c r="AJ24">
        <v>-5.0902033234282801E-2</v>
      </c>
      <c r="AK24">
        <v>6.7444640084831198E-2</v>
      </c>
      <c r="AL24">
        <v>0.11248478532164601</v>
      </c>
      <c r="AM24">
        <v>0.142739043835064</v>
      </c>
      <c r="AN24">
        <v>2.4204924547793001E-2</v>
      </c>
      <c r="AP24">
        <f t="shared" si="38"/>
        <v>1.3759112076915447</v>
      </c>
      <c r="AQ24">
        <f t="shared" si="39"/>
        <v>1.1729924158712812</v>
      </c>
      <c r="AS24">
        <f t="shared" si="40"/>
        <v>0.10694381222672515</v>
      </c>
      <c r="AT24">
        <f t="shared" si="0"/>
        <v>0.19684829368288947</v>
      </c>
      <c r="AU24">
        <f t="shared" si="1"/>
        <v>0.4309891200083073</v>
      </c>
      <c r="AV24">
        <f t="shared" si="2"/>
        <v>0.3699699627304846</v>
      </c>
      <c r="AW24">
        <f t="shared" si="3"/>
        <v>0.27966583707750781</v>
      </c>
      <c r="AX24">
        <f t="shared" si="4"/>
        <v>0.22819280608346718</v>
      </c>
      <c r="AY24">
        <f t="shared" si="5"/>
        <v>0.29451763711835538</v>
      </c>
      <c r="AZ24">
        <f t="shared" si="6"/>
        <v>0.21019182809286011</v>
      </c>
      <c r="BA24">
        <f t="shared" si="7"/>
        <v>0.18398915149899986</v>
      </c>
      <c r="BB24">
        <f t="shared" si="8"/>
        <v>4.3396091913792387E-2</v>
      </c>
      <c r="BC24">
        <f t="shared" si="9"/>
        <v>7.5447769903292994E-2</v>
      </c>
      <c r="BD24">
        <f t="shared" si="10"/>
        <v>0.14079621365865688</v>
      </c>
      <c r="BE24">
        <f t="shared" si="11"/>
        <v>-4.6217173462155207E-3</v>
      </c>
      <c r="BF24">
        <f t="shared" si="12"/>
        <v>4.1187104318735894E-2</v>
      </c>
      <c r="BG24">
        <f t="shared" si="13"/>
        <v>8.0326528490487131E-2</v>
      </c>
      <c r="BH24">
        <f t="shared" si="14"/>
        <v>3.9114981169894994E-2</v>
      </c>
      <c r="BI24">
        <f t="shared" si="15"/>
        <v>9.2023694300628942E-2</v>
      </c>
      <c r="BJ24">
        <f t="shared" si="16"/>
        <v>0.10752992006162308</v>
      </c>
      <c r="BK24">
        <f t="shared" si="17"/>
        <v>0.16456325664743801</v>
      </c>
      <c r="BL24">
        <f t="shared" si="18"/>
        <v>1.631500614968865E-3</v>
      </c>
      <c r="BM24">
        <f t="shared" si="19"/>
        <v>7.5833318539832453E-2</v>
      </c>
      <c r="BN24">
        <f t="shared" si="20"/>
        <v>0.22720168873897231</v>
      </c>
      <c r="BO24">
        <f t="shared" si="21"/>
        <v>9.7538409627454942E-2</v>
      </c>
      <c r="BP24">
        <f t="shared" si="22"/>
        <v>0.1183622317048693</v>
      </c>
      <c r="BQ24">
        <f t="shared" si="23"/>
        <v>0.16187686314557517</v>
      </c>
      <c r="BR24">
        <f t="shared" si="24"/>
        <v>0.14245167145905674</v>
      </c>
      <c r="BS24">
        <f t="shared" si="25"/>
        <v>0.12640384565428303</v>
      </c>
      <c r="BT24">
        <f t="shared" si="26"/>
        <v>0.10475592311687892</v>
      </c>
      <c r="BU24">
        <f t="shared" si="27"/>
        <v>7.5041653785854895E-2</v>
      </c>
      <c r="BV24">
        <f t="shared" si="28"/>
        <v>1.701763161039405E-2</v>
      </c>
      <c r="BW24">
        <f t="shared" si="29"/>
        <v>0.13547108550613568</v>
      </c>
      <c r="BX24">
        <f t="shared" si="30"/>
        <v>0.11519399712231185</v>
      </c>
      <c r="BY24">
        <f t="shared" si="31"/>
        <v>0.14777749154259218</v>
      </c>
      <c r="BZ24">
        <f t="shared" si="32"/>
        <v>6.7595955534720323E-2</v>
      </c>
      <c r="CA24">
        <f t="shared" si="33"/>
        <v>-4.3395023314343882E-2</v>
      </c>
      <c r="CB24">
        <f t="shared" si="34"/>
        <v>5.7497933637306875E-2</v>
      </c>
      <c r="CC24">
        <f t="shared" si="35"/>
        <v>9.5895577669267359E-2</v>
      </c>
      <c r="CD24">
        <f t="shared" si="36"/>
        <v>0.12168795117830286</v>
      </c>
      <c r="CE24">
        <f t="shared" si="37"/>
        <v>2.0635192709079833E-2</v>
      </c>
      <c r="CG24">
        <f t="shared" si="41"/>
        <v>1</v>
      </c>
      <c r="CH24">
        <f t="shared" si="42"/>
        <v>1</v>
      </c>
      <c r="CJ24">
        <f>SUMPRODUCT(AS24:CE24,'PC1'!AS24:CE24)</f>
        <v>0.94551102843853396</v>
      </c>
      <c r="CK24" s="1" t="s">
        <v>25</v>
      </c>
      <c r="CM24">
        <f>SUMPRODUCT(AS24:CE24,'PC2'!AS24:CE24)</f>
        <v>0.27510452296100113</v>
      </c>
      <c r="CN24">
        <f t="shared" si="43"/>
        <v>0.27510452296100113</v>
      </c>
      <c r="CO24">
        <f t="shared" si="44"/>
        <v>0.28237797908276657</v>
      </c>
      <c r="CS24" t="s">
        <v>116</v>
      </c>
      <c r="CT24">
        <f t="shared" si="45"/>
        <v>0.94551102843853396</v>
      </c>
      <c r="CU24">
        <f t="shared" si="46"/>
        <v>1.7876408182888319</v>
      </c>
      <c r="CV24">
        <f t="shared" si="47"/>
        <v>0.27510452296100113</v>
      </c>
      <c r="CW24">
        <f t="shared" si="48"/>
        <v>0.28237797908276657</v>
      </c>
      <c r="CX24">
        <v>2.5321022869322713E-2</v>
      </c>
      <c r="CY24">
        <v>2.5326436512109755E-2</v>
      </c>
      <c r="CZ24">
        <v>8.8706277194098709E-3</v>
      </c>
      <c r="DA24">
        <v>8.8708604011537469E-3</v>
      </c>
    </row>
    <row r="25" spans="1:105" x14ac:dyDescent="0.25">
      <c r="A25" s="1" t="s">
        <v>26</v>
      </c>
      <c r="B25">
        <v>6.6220808483337903E-2</v>
      </c>
      <c r="C25">
        <v>0.19860785449579799</v>
      </c>
      <c r="D25">
        <v>0.35334291680801799</v>
      </c>
      <c r="E25">
        <v>0.40503510199272402</v>
      </c>
      <c r="F25">
        <v>0.273787316082377</v>
      </c>
      <c r="G25">
        <v>0.21182294471761801</v>
      </c>
      <c r="H25">
        <v>0.311388936095091</v>
      </c>
      <c r="I25">
        <v>0.221880941850404</v>
      </c>
      <c r="J25">
        <v>0.145759352112494</v>
      </c>
      <c r="K25">
        <v>9.3696078576558595E-2</v>
      </c>
      <c r="L25">
        <v>6.6688854439305598E-2</v>
      </c>
      <c r="M25">
        <v>0.141002887011277</v>
      </c>
      <c r="N25">
        <v>3.51020945976823E-2</v>
      </c>
      <c r="O25">
        <v>8.8368800167821004E-2</v>
      </c>
      <c r="P25">
        <v>9.7234469147915795E-2</v>
      </c>
      <c r="Q25">
        <v>4.1709739998763103E-2</v>
      </c>
      <c r="R25">
        <v>7.6320194312840497E-2</v>
      </c>
      <c r="S25">
        <v>8.1310697203027096E-2</v>
      </c>
      <c r="T25">
        <v>0.118364530437892</v>
      </c>
      <c r="U25">
        <v>-1.25311014935713E-2</v>
      </c>
      <c r="V25">
        <v>6.6594255941415603E-2</v>
      </c>
      <c r="W25">
        <v>0.272843764083882</v>
      </c>
      <c r="X25">
        <v>0.126242329235939</v>
      </c>
      <c r="Y25">
        <v>0.125813334650557</v>
      </c>
      <c r="Z25">
        <v>0.15475577399558799</v>
      </c>
      <c r="AA25">
        <v>0.160713310994332</v>
      </c>
      <c r="AB25">
        <v>0.123145037593604</v>
      </c>
      <c r="AC25">
        <v>6.8228503377390906E-2</v>
      </c>
      <c r="AD25">
        <v>9.1979606470249595E-2</v>
      </c>
      <c r="AE25">
        <v>3.6266095616994502E-2</v>
      </c>
      <c r="AF25">
        <v>9.5456875401421698E-2</v>
      </c>
      <c r="AG25">
        <v>9.5983269321278999E-2</v>
      </c>
      <c r="AH25">
        <v>0.119573714568158</v>
      </c>
      <c r="AI25">
        <v>5.8355462164449097E-2</v>
      </c>
      <c r="AJ25">
        <v>-1.14471628709345E-2</v>
      </c>
      <c r="AK25">
        <v>4.5213560903530903E-2</v>
      </c>
      <c r="AL25">
        <v>5.8890771161629697E-2</v>
      </c>
      <c r="AM25">
        <v>8.8940180219203996E-2</v>
      </c>
      <c r="AN25">
        <v>1.2278368974886499E-2</v>
      </c>
      <c r="AP25">
        <f t="shared" si="38"/>
        <v>0.93970103875359279</v>
      </c>
      <c r="AQ25">
        <f t="shared" si="39"/>
        <v>0.96938178173183798</v>
      </c>
      <c r="AS25">
        <f t="shared" si="40"/>
        <v>6.8312412850416754E-2</v>
      </c>
      <c r="AT25">
        <f t="shared" si="0"/>
        <v>0.20488094395685608</v>
      </c>
      <c r="AU25">
        <f t="shared" si="1"/>
        <v>0.36450336025168251</v>
      </c>
      <c r="AV25">
        <f t="shared" si="2"/>
        <v>0.41782825881987712</v>
      </c>
      <c r="AW25">
        <f t="shared" si="3"/>
        <v>0.28243497169221127</v>
      </c>
      <c r="AX25">
        <f t="shared" si="4"/>
        <v>0.21851343682072108</v>
      </c>
      <c r="AY25">
        <f t="shared" si="5"/>
        <v>0.32122425030392321</v>
      </c>
      <c r="AZ25">
        <f t="shared" si="6"/>
        <v>0.22888911885057828</v>
      </c>
      <c r="BA25">
        <f t="shared" si="7"/>
        <v>0.15036320555982524</v>
      </c>
      <c r="BB25">
        <f t="shared" si="8"/>
        <v>9.6655497702016771E-2</v>
      </c>
      <c r="BC25">
        <f t="shared" si="9"/>
        <v>6.8795242180189717E-2</v>
      </c>
      <c r="BD25">
        <f t="shared" si="10"/>
        <v>0.14545650606242042</v>
      </c>
      <c r="BE25">
        <f t="shared" si="11"/>
        <v>3.6210804926590484E-2</v>
      </c>
      <c r="BF25">
        <f t="shared" si="12"/>
        <v>9.1159955585246019E-2</v>
      </c>
      <c r="BG25">
        <f t="shared" si="13"/>
        <v>0.10030564941524139</v>
      </c>
      <c r="BH25">
        <f t="shared" si="14"/>
        <v>4.3027154816389308E-2</v>
      </c>
      <c r="BI25">
        <f t="shared" si="15"/>
        <v>7.8730790851558527E-2</v>
      </c>
      <c r="BJ25">
        <f t="shared" si="16"/>
        <v>8.3878920292645071E-2</v>
      </c>
      <c r="BK25">
        <f t="shared" si="17"/>
        <v>0.12210311011460231</v>
      </c>
      <c r="BL25">
        <f t="shared" si="18"/>
        <v>-1.2926900143701899E-2</v>
      </c>
      <c r="BM25">
        <f t="shared" si="19"/>
        <v>6.8697655759985904E-2</v>
      </c>
      <c r="BN25">
        <f t="shared" si="20"/>
        <v>0.28146161731700392</v>
      </c>
      <c r="BO25">
        <f t="shared" si="21"/>
        <v>0.13022973158253728</v>
      </c>
      <c r="BP25">
        <f t="shared" si="22"/>
        <v>0.1297871870727616</v>
      </c>
      <c r="BQ25">
        <f t="shared" si="23"/>
        <v>0.15964378216300992</v>
      </c>
      <c r="BR25">
        <f t="shared" si="24"/>
        <v>0.16578948977895114</v>
      </c>
      <c r="BS25">
        <f t="shared" si="25"/>
        <v>0.12703461104210215</v>
      </c>
      <c r="BT25">
        <f t="shared" si="26"/>
        <v>7.0383521398037885E-2</v>
      </c>
      <c r="BU25">
        <f t="shared" si="27"/>
        <v>9.4884810302422309E-2</v>
      </c>
      <c r="BV25">
        <f t="shared" si="28"/>
        <v>3.7411571271954096E-2</v>
      </c>
      <c r="BW25">
        <f t="shared" si="29"/>
        <v>9.8471909829875595E-2</v>
      </c>
      <c r="BX25">
        <f t="shared" si="30"/>
        <v>9.9014930061715398E-2</v>
      </c>
      <c r="BY25">
        <f t="shared" si="31"/>
        <v>0.12335048669321487</v>
      </c>
      <c r="BZ25">
        <f t="shared" si="32"/>
        <v>6.0198637176979757E-2</v>
      </c>
      <c r="CA25">
        <f t="shared" si="33"/>
        <v>-1.1808724990151663E-2</v>
      </c>
      <c r="CB25">
        <f t="shared" si="34"/>
        <v>4.6641644969596115E-2</v>
      </c>
      <c r="CC25">
        <f t="shared" si="35"/>
        <v>6.0750854071570298E-2</v>
      </c>
      <c r="CD25">
        <f t="shared" si="36"/>
        <v>9.1749382849251535E-2</v>
      </c>
      <c r="CE25">
        <f t="shared" si="37"/>
        <v>1.2666184991583727E-2</v>
      </c>
      <c r="CG25">
        <f t="shared" si="41"/>
        <v>0.99999999999999967</v>
      </c>
      <c r="CH25">
        <f t="shared" si="42"/>
        <v>0.99999999999999978</v>
      </c>
      <c r="CJ25">
        <f>SUMPRODUCT(AS25:CE25,'PC1'!AS25:CE25)</f>
        <v>0.94923113070609633</v>
      </c>
      <c r="CK25" s="1" t="s">
        <v>26</v>
      </c>
      <c r="CM25">
        <f>SUMPRODUCT(AS25:CE25,'PC2'!AS25:CE25)</f>
        <v>0.250779934635457</v>
      </c>
      <c r="CN25">
        <f t="shared" si="43"/>
        <v>0.250779934635457</v>
      </c>
      <c r="CO25">
        <f t="shared" si="44"/>
        <v>0.25624491541585542</v>
      </c>
      <c r="CS25" t="s">
        <v>116</v>
      </c>
      <c r="CT25">
        <f t="shared" si="45"/>
        <v>0.94923113070609633</v>
      </c>
      <c r="CU25">
        <f t="shared" si="46"/>
        <v>1.8239534621468345</v>
      </c>
      <c r="CV25">
        <f t="shared" si="47"/>
        <v>0.250779934635457</v>
      </c>
      <c r="CW25">
        <f t="shared" si="48"/>
        <v>0.25624491541585542</v>
      </c>
      <c r="CX25">
        <v>3.9962628673339724E-2</v>
      </c>
      <c r="CY25">
        <v>3.9983922676187653E-2</v>
      </c>
      <c r="CZ25">
        <v>6.4590177778409349E-2</v>
      </c>
      <c r="DA25">
        <v>6.4680224346653631E-2</v>
      </c>
    </row>
    <row r="26" spans="1:105" x14ac:dyDescent="0.25">
      <c r="A26" s="1" t="s">
        <v>27</v>
      </c>
      <c r="B26">
        <v>7.0016332353940197E-2</v>
      </c>
      <c r="C26">
        <v>0.14656286433408899</v>
      </c>
      <c r="D26">
        <v>0.270372140815548</v>
      </c>
      <c r="E26">
        <v>0.199893783961206</v>
      </c>
      <c r="F26">
        <v>0.18282427773600199</v>
      </c>
      <c r="G26">
        <v>0.168717791361888</v>
      </c>
      <c r="H26">
        <v>0.110644604535133</v>
      </c>
      <c r="I26">
        <v>9.0226788226750301E-2</v>
      </c>
      <c r="J26">
        <v>0.101519802971917</v>
      </c>
      <c r="K26">
        <v>0.114037637519674</v>
      </c>
      <c r="L26">
        <v>5.70811895540599E-2</v>
      </c>
      <c r="M26">
        <v>9.7277847572691201E-2</v>
      </c>
      <c r="N26">
        <v>3.25765530128964E-2</v>
      </c>
      <c r="O26">
        <v>6.6257295132991306E-2</v>
      </c>
      <c r="P26">
        <v>0.10231367803275999</v>
      </c>
      <c r="Q26">
        <v>4.7608348636606602E-2</v>
      </c>
      <c r="R26">
        <v>8.5233655606063205E-2</v>
      </c>
      <c r="S26">
        <v>8.61162034822677E-2</v>
      </c>
      <c r="T26">
        <v>0.107944795594592</v>
      </c>
      <c r="U26">
        <v>3.4983714129577501E-2</v>
      </c>
      <c r="V26">
        <v>4.4071475960619597E-2</v>
      </c>
      <c r="W26">
        <v>0.16524507556064899</v>
      </c>
      <c r="X26">
        <v>4.4201675091214601E-2</v>
      </c>
      <c r="Y26">
        <v>9.1091593032732093E-2</v>
      </c>
      <c r="Z26">
        <v>0.113533665304416</v>
      </c>
      <c r="AA26">
        <v>9.4351903338750001E-2</v>
      </c>
      <c r="AB26">
        <v>6.9903186730874103E-2</v>
      </c>
      <c r="AC26">
        <v>8.2717397586912697E-2</v>
      </c>
      <c r="AD26">
        <v>6.5577740783159394E-2</v>
      </c>
      <c r="AE26">
        <v>-2.3097349030961902E-3</v>
      </c>
      <c r="AF26">
        <v>9.5214700736107202E-2</v>
      </c>
      <c r="AG26">
        <v>6.6818515910739895E-2</v>
      </c>
      <c r="AH26">
        <v>8.7870510043309702E-2</v>
      </c>
      <c r="AI26">
        <v>3.5445919264958797E-2</v>
      </c>
      <c r="AJ26">
        <v>-5.7388858073401702E-2</v>
      </c>
      <c r="AK26">
        <v>1.0461214460064599E-2</v>
      </c>
      <c r="AL26">
        <v>1.48723704680193E-2</v>
      </c>
      <c r="AM26">
        <v>4.3582394664752798E-2</v>
      </c>
      <c r="AN26">
        <v>1.5922577649281702E-2</v>
      </c>
      <c r="AP26">
        <f t="shared" si="38"/>
        <v>0.40910132773749219</v>
      </c>
      <c r="AQ26">
        <f t="shared" si="39"/>
        <v>0.63961029364566369</v>
      </c>
      <c r="AS26">
        <f t="shared" si="40"/>
        <v>0.10946717563730829</v>
      </c>
      <c r="AT26">
        <f t="shared" si="0"/>
        <v>0.2291440050139078</v>
      </c>
      <c r="AU26">
        <f t="shared" si="1"/>
        <v>0.42271386733705518</v>
      </c>
      <c r="AV26">
        <f t="shared" si="2"/>
        <v>0.31252433856535888</v>
      </c>
      <c r="AW26">
        <f t="shared" si="3"/>
        <v>0.28583698472696001</v>
      </c>
      <c r="AX26">
        <f t="shared" si="4"/>
        <v>0.26378217023404504</v>
      </c>
      <c r="AY26">
        <f t="shared" si="5"/>
        <v>0.17298752949155749</v>
      </c>
      <c r="AZ26">
        <f t="shared" si="6"/>
        <v>0.14106525351941074</v>
      </c>
      <c r="BA26">
        <f t="shared" si="7"/>
        <v>0.15872134013552591</v>
      </c>
      <c r="BB26">
        <f t="shared" si="8"/>
        <v>0.17829237373538809</v>
      </c>
      <c r="BC26">
        <f t="shared" si="9"/>
        <v>8.9243700611363497E-2</v>
      </c>
      <c r="BD26">
        <f t="shared" si="10"/>
        <v>0.15208924643508309</v>
      </c>
      <c r="BE26">
        <f t="shared" si="11"/>
        <v>5.0931877326763936E-2</v>
      </c>
      <c r="BF26">
        <f t="shared" si="12"/>
        <v>0.10359010133394921</v>
      </c>
      <c r="BG26">
        <f t="shared" si="13"/>
        <v>0.15996252569606162</v>
      </c>
      <c r="BH26">
        <f t="shared" si="14"/>
        <v>7.443336842696445E-2</v>
      </c>
      <c r="BI26">
        <f t="shared" si="15"/>
        <v>0.13325873028128846</v>
      </c>
      <c r="BJ26">
        <f t="shared" si="16"/>
        <v>0.134638551533342</v>
      </c>
      <c r="BK26">
        <f t="shared" si="17"/>
        <v>0.16876650777354765</v>
      </c>
      <c r="BL26">
        <f t="shared" si="18"/>
        <v>5.4695358215979636E-2</v>
      </c>
      <c r="BM26">
        <f t="shared" si="19"/>
        <v>6.8903637728248729E-2</v>
      </c>
      <c r="BN26">
        <f t="shared" si="20"/>
        <v>0.25835274573018796</v>
      </c>
      <c r="BO26">
        <f t="shared" si="21"/>
        <v>6.9107197820837116E-2</v>
      </c>
      <c r="BP26">
        <f t="shared" si="22"/>
        <v>0.14241733433263931</v>
      </c>
      <c r="BQ26">
        <f t="shared" si="23"/>
        <v>0.17750443736184188</v>
      </c>
      <c r="BR26">
        <f t="shared" si="24"/>
        <v>0.14751467303779792</v>
      </c>
      <c r="BS26">
        <f t="shared" si="25"/>
        <v>0.1092902778853644</v>
      </c>
      <c r="BT26">
        <f t="shared" si="26"/>
        <v>0.12932468162048863</v>
      </c>
      <c r="BU26">
        <f t="shared" si="27"/>
        <v>0.10252765071896836</v>
      </c>
      <c r="BV26">
        <f t="shared" si="28"/>
        <v>-3.6111596796404204E-3</v>
      </c>
      <c r="BW26">
        <f t="shared" si="29"/>
        <v>0.14886361536397502</v>
      </c>
      <c r="BX26">
        <f t="shared" si="30"/>
        <v>0.10446754308766103</v>
      </c>
      <c r="BY26">
        <f t="shared" si="31"/>
        <v>0.13738132565450689</v>
      </c>
      <c r="BZ26">
        <f t="shared" si="32"/>
        <v>5.5417993764489672E-2</v>
      </c>
      <c r="CA26">
        <f t="shared" si="33"/>
        <v>-8.9724725576718803E-2</v>
      </c>
      <c r="CB26">
        <f t="shared" si="34"/>
        <v>1.6355606787435452E-2</v>
      </c>
      <c r="CC26">
        <f t="shared" si="35"/>
        <v>2.3252237519895844E-2</v>
      </c>
      <c r="CD26">
        <f t="shared" si="36"/>
        <v>6.8138982592573644E-2</v>
      </c>
      <c r="CE26">
        <f t="shared" si="37"/>
        <v>2.4894186049642622E-2</v>
      </c>
      <c r="CG26">
        <f t="shared" si="41"/>
        <v>1.0000000000000004</v>
      </c>
      <c r="CH26">
        <f t="shared" si="42"/>
        <v>1.0000000000000002</v>
      </c>
      <c r="CJ26">
        <f>SUMPRODUCT(AS26:CE26,'PC1'!AS26:CE26)</f>
        <v>0.94094814616980027</v>
      </c>
      <c r="CK26" s="1" t="s">
        <v>27</v>
      </c>
      <c r="CM26">
        <f>SUMPRODUCT(AS26:CE26,'PC2'!AS26:CE26)</f>
        <v>0.16494667199977195</v>
      </c>
      <c r="CN26">
        <f t="shared" si="43"/>
        <v>0.16494667199977195</v>
      </c>
      <c r="CO26">
        <f t="shared" si="44"/>
        <v>0.16646750058227128</v>
      </c>
      <c r="CS26" t="s">
        <v>116</v>
      </c>
      <c r="CT26">
        <f t="shared" si="45"/>
        <v>0.94094814616980027</v>
      </c>
      <c r="CU26">
        <f t="shared" si="46"/>
        <v>1.7462579657040975</v>
      </c>
      <c r="CV26">
        <f t="shared" si="47"/>
        <v>0.16494667199977195</v>
      </c>
      <c r="CW26">
        <f t="shared" si="48"/>
        <v>0.16646750058227128</v>
      </c>
      <c r="CX26">
        <v>0.14595493659571759</v>
      </c>
      <c r="CY26">
        <v>0.14700480715524872</v>
      </c>
      <c r="CZ26">
        <v>5.2770159633345408E-2</v>
      </c>
      <c r="DA26">
        <v>5.2819224478534058E-2</v>
      </c>
    </row>
    <row r="27" spans="1:105" x14ac:dyDescent="0.25">
      <c r="A27" s="1" t="s">
        <v>28</v>
      </c>
      <c r="B27">
        <v>0.16719881553816501</v>
      </c>
      <c r="C27">
        <v>0.29601041771633202</v>
      </c>
      <c r="D27">
        <v>0.84597350785945702</v>
      </c>
      <c r="E27">
        <v>0.73976458173172599</v>
      </c>
      <c r="F27">
        <v>0.52321916467078899</v>
      </c>
      <c r="G27">
        <v>0.42902778122333501</v>
      </c>
      <c r="H27">
        <v>0.583777144188244</v>
      </c>
      <c r="I27">
        <v>0.58648859525257802</v>
      </c>
      <c r="J27">
        <v>0.43190974378596703</v>
      </c>
      <c r="K27">
        <v>0.13820288585165699</v>
      </c>
      <c r="L27">
        <v>0.11112889031975499</v>
      </c>
      <c r="M27">
        <v>0.20859992395392801</v>
      </c>
      <c r="N27">
        <v>-4.8324735356194699E-2</v>
      </c>
      <c r="O27">
        <v>0.10773784800198501</v>
      </c>
      <c r="P27">
        <v>0.18582603653218999</v>
      </c>
      <c r="Q27">
        <v>0.15377909336538401</v>
      </c>
      <c r="R27">
        <v>0.18746183562153401</v>
      </c>
      <c r="S27">
        <v>0.15034844141968601</v>
      </c>
      <c r="T27">
        <v>0.35882507952494802</v>
      </c>
      <c r="U27">
        <v>0.10016788382913799</v>
      </c>
      <c r="V27">
        <v>6.2973190090941294E-2</v>
      </c>
      <c r="W27">
        <v>0.42206502128740703</v>
      </c>
      <c r="X27">
        <v>0.227720306468043</v>
      </c>
      <c r="Y27">
        <v>0.20047294600479801</v>
      </c>
      <c r="Z27">
        <v>0.286919600552974</v>
      </c>
      <c r="AA27">
        <v>0.34575205756000799</v>
      </c>
      <c r="AB27">
        <v>0.321719593283121</v>
      </c>
      <c r="AC27">
        <v>9.2107289656899002E-2</v>
      </c>
      <c r="AD27">
        <v>0.16072152868347001</v>
      </c>
      <c r="AE27">
        <v>6.6523065275642002E-2</v>
      </c>
      <c r="AF27">
        <v>0.26222066165506303</v>
      </c>
      <c r="AG27">
        <v>0.256372531118434</v>
      </c>
      <c r="AH27">
        <v>0.29415349135705199</v>
      </c>
      <c r="AI27">
        <v>6.9283524781763195E-2</v>
      </c>
      <c r="AJ27">
        <v>4.0453290996105E-2</v>
      </c>
      <c r="AK27">
        <v>0.108080090772154</v>
      </c>
      <c r="AL27">
        <v>0.118074003655026</v>
      </c>
      <c r="AM27">
        <v>0.20657197182366699</v>
      </c>
      <c r="AN27">
        <v>4.4970220994476798E-2</v>
      </c>
      <c r="AP27">
        <f t="shared" si="38"/>
        <v>3.967283833840701</v>
      </c>
      <c r="AQ27">
        <f t="shared" si="39"/>
        <v>1.9918041655345289</v>
      </c>
      <c r="AS27">
        <f t="shared" si="40"/>
        <v>8.394340087811536E-2</v>
      </c>
      <c r="AT27">
        <f t="shared" si="0"/>
        <v>0.14861421762158702</v>
      </c>
      <c r="AU27">
        <f t="shared" si="1"/>
        <v>0.42472725105102288</v>
      </c>
      <c r="AV27">
        <f t="shared" si="2"/>
        <v>0.37140427484405814</v>
      </c>
      <c r="AW27">
        <f t="shared" si="3"/>
        <v>0.26268604801836815</v>
      </c>
      <c r="AX27">
        <f t="shared" si="4"/>
        <v>0.21539656791921577</v>
      </c>
      <c r="AY27">
        <f t="shared" si="5"/>
        <v>0.29308962913609488</v>
      </c>
      <c r="AZ27">
        <f t="shared" si="6"/>
        <v>0.29445093317956061</v>
      </c>
      <c r="BA27">
        <f t="shared" si="7"/>
        <v>0.21684347852041866</v>
      </c>
      <c r="BB27">
        <f t="shared" si="8"/>
        <v>6.9385780109847445E-2</v>
      </c>
      <c r="BC27">
        <f t="shared" si="9"/>
        <v>5.5793080586279416E-2</v>
      </c>
      <c r="BD27">
        <f t="shared" si="10"/>
        <v>0.10472913329707154</v>
      </c>
      <c r="BE27">
        <f t="shared" si="11"/>
        <v>-2.4261790487432822E-2</v>
      </c>
      <c r="BF27">
        <f t="shared" si="12"/>
        <v>5.4090582732099081E-2</v>
      </c>
      <c r="BG27">
        <f t="shared" si="13"/>
        <v>9.3295334826413986E-2</v>
      </c>
      <c r="BH27">
        <f t="shared" si="14"/>
        <v>7.7205930194505445E-2</v>
      </c>
      <c r="BI27">
        <f t="shared" si="15"/>
        <v>9.4116599847167193E-2</v>
      </c>
      <c r="BJ27">
        <f t="shared" si="16"/>
        <v>7.5483546033923404E-2</v>
      </c>
      <c r="BK27">
        <f t="shared" si="17"/>
        <v>0.18015078275963553</v>
      </c>
      <c r="BL27">
        <f t="shared" si="18"/>
        <v>5.0290026279896108E-2</v>
      </c>
      <c r="BM27">
        <f t="shared" si="19"/>
        <v>3.161615543365507E-2</v>
      </c>
      <c r="BN27">
        <f t="shared" si="20"/>
        <v>0.21190086284117188</v>
      </c>
      <c r="BO27">
        <f t="shared" si="21"/>
        <v>0.11432866263081191</v>
      </c>
      <c r="BP27">
        <f t="shared" si="22"/>
        <v>0.10064892396236065</v>
      </c>
      <c r="BQ27">
        <f t="shared" si="23"/>
        <v>0.14405010568695897</v>
      </c>
      <c r="BR27">
        <f t="shared" si="24"/>
        <v>0.173587375477358</v>
      </c>
      <c r="BS27">
        <f t="shared" si="25"/>
        <v>0.16152169919615716</v>
      </c>
      <c r="BT27">
        <f t="shared" si="26"/>
        <v>4.6243145410924828E-2</v>
      </c>
      <c r="BU27">
        <f t="shared" si="27"/>
        <v>8.0691431147970366E-2</v>
      </c>
      <c r="BV27">
        <f t="shared" si="28"/>
        <v>3.3398396502393894E-2</v>
      </c>
      <c r="BW27">
        <f t="shared" si="29"/>
        <v>0.13164982089727301</v>
      </c>
      <c r="BX27">
        <f t="shared" si="30"/>
        <v>0.12871372374584467</v>
      </c>
      <c r="BY27">
        <f t="shared" si="31"/>
        <v>0.14768193402091401</v>
      </c>
      <c r="BZ27">
        <f t="shared" si="32"/>
        <v>3.478430559621306E-2</v>
      </c>
      <c r="CA27">
        <f t="shared" si="33"/>
        <v>2.0309873679397988E-2</v>
      </c>
      <c r="CB27">
        <f t="shared" si="34"/>
        <v>5.4262408243909446E-2</v>
      </c>
      <c r="CC27">
        <f t="shared" si="35"/>
        <v>5.9279926058061622E-2</v>
      </c>
      <c r="CD27">
        <f t="shared" si="36"/>
        <v>0.10371098494426056</v>
      </c>
      <c r="CE27">
        <f t="shared" si="37"/>
        <v>2.257763176351647E-2</v>
      </c>
      <c r="CG27">
        <f t="shared" si="41"/>
        <v>1.0000000000000002</v>
      </c>
      <c r="CH27">
        <f t="shared" si="42"/>
        <v>1</v>
      </c>
      <c r="CJ27">
        <f>SUMPRODUCT(AS27:CE27,'PC1'!AS27:CE27)</f>
        <v>0.94803093056520849</v>
      </c>
      <c r="CK27" s="1" t="s">
        <v>28</v>
      </c>
      <c r="CM27">
        <f>SUMPRODUCT(AS27:CE27,'PC2'!AS27:CE27)</f>
        <v>0.27835991901423945</v>
      </c>
      <c r="CN27">
        <f t="shared" si="43"/>
        <v>0.27835991901423945</v>
      </c>
      <c r="CO27">
        <f t="shared" si="44"/>
        <v>0.28590335512530696</v>
      </c>
      <c r="CS27" t="s">
        <v>116</v>
      </c>
      <c r="CT27">
        <f t="shared" si="45"/>
        <v>0.94803093056520849</v>
      </c>
      <c r="CU27">
        <f t="shared" si="46"/>
        <v>1.8119628195724993</v>
      </c>
      <c r="CV27">
        <f t="shared" si="47"/>
        <v>0.27835991901423945</v>
      </c>
      <c r="CW27">
        <f t="shared" si="48"/>
        <v>0.28590335512530696</v>
      </c>
      <c r="CX27">
        <v>2.7952984719940101E-2</v>
      </c>
      <c r="CY27">
        <v>2.7960268670329805E-2</v>
      </c>
      <c r="CZ27">
        <v>1.0279661348986986E-2</v>
      </c>
      <c r="DA27">
        <v>1.0280023460809957E-2</v>
      </c>
    </row>
    <row r="28" spans="1:105" x14ac:dyDescent="0.25">
      <c r="A28" s="1" t="s">
        <v>29</v>
      </c>
      <c r="B28">
        <v>0.14553884900832301</v>
      </c>
      <c r="C28">
        <v>0.32855129861565502</v>
      </c>
      <c r="D28">
        <v>0.83581066534935999</v>
      </c>
      <c r="E28">
        <v>0.79763089521959096</v>
      </c>
      <c r="F28">
        <v>0.57488561552128004</v>
      </c>
      <c r="G28">
        <v>0.38885317683558701</v>
      </c>
      <c r="H28">
        <v>0.58633542263853899</v>
      </c>
      <c r="I28">
        <v>0.54487813312573297</v>
      </c>
      <c r="J28">
        <v>0.38634145679690202</v>
      </c>
      <c r="K28">
        <v>0.12518483553343299</v>
      </c>
      <c r="L28">
        <v>0.10192033150207699</v>
      </c>
      <c r="M28">
        <v>0.22685870133455599</v>
      </c>
      <c r="N28">
        <v>-6.3325453677107402E-2</v>
      </c>
      <c r="O28">
        <v>0.11860493040272301</v>
      </c>
      <c r="P28">
        <v>0.19447701200954901</v>
      </c>
      <c r="Q28">
        <v>0.15526647112394601</v>
      </c>
      <c r="R28">
        <v>0.18461549954597101</v>
      </c>
      <c r="S28">
        <v>0.180423266805884</v>
      </c>
      <c r="T28">
        <v>0.34758313399771801</v>
      </c>
      <c r="U28">
        <v>6.6711284670565599E-2</v>
      </c>
      <c r="V28">
        <v>5.0746614321561599E-2</v>
      </c>
      <c r="W28">
        <v>0.46929533969347798</v>
      </c>
      <c r="X28">
        <v>0.212091586414452</v>
      </c>
      <c r="Y28">
        <v>0.23366428060780101</v>
      </c>
      <c r="Z28">
        <v>0.290810100639252</v>
      </c>
      <c r="AA28">
        <v>0.32423993039793603</v>
      </c>
      <c r="AB28">
        <v>0.325740003499636</v>
      </c>
      <c r="AC28">
        <v>0.112626020234638</v>
      </c>
      <c r="AD28">
        <v>0.154045449209367</v>
      </c>
      <c r="AE28">
        <v>3.99411597988363E-2</v>
      </c>
      <c r="AF28">
        <v>0.25613680109505099</v>
      </c>
      <c r="AG28">
        <v>0.218621581039601</v>
      </c>
      <c r="AH28">
        <v>0.27002868005028902</v>
      </c>
      <c r="AI28">
        <v>0.159080951488137</v>
      </c>
      <c r="AJ28">
        <v>3.3011819964358098E-2</v>
      </c>
      <c r="AK28">
        <v>0.15076849517093299</v>
      </c>
      <c r="AL28">
        <v>0.10906577376226501</v>
      </c>
      <c r="AM28">
        <v>0.20350385628201201</v>
      </c>
      <c r="AN28">
        <v>5.2117471887203802E-2</v>
      </c>
      <c r="AP28">
        <f t="shared" si="38"/>
        <v>4.0326770748955152</v>
      </c>
      <c r="AQ28">
        <f t="shared" si="39"/>
        <v>2.0081526522890423</v>
      </c>
      <c r="AS28">
        <f t="shared" si="40"/>
        <v>7.2473996855979536E-2</v>
      </c>
      <c r="AT28">
        <f t="shared" si="0"/>
        <v>0.16360872677739299</v>
      </c>
      <c r="AU28">
        <f t="shared" si="1"/>
        <v>0.41620873014640625</v>
      </c>
      <c r="AV28">
        <f t="shared" si="2"/>
        <v>0.39719634576106139</v>
      </c>
      <c r="AW28">
        <f t="shared" si="3"/>
        <v>0.2862758540123842</v>
      </c>
      <c r="AX28">
        <f t="shared" si="4"/>
        <v>0.19363725979314528</v>
      </c>
      <c r="AY28">
        <f t="shared" si="5"/>
        <v>0.29197751573825331</v>
      </c>
      <c r="AZ28">
        <f t="shared" si="6"/>
        <v>0.27133302466057058</v>
      </c>
      <c r="BA28">
        <f t="shared" si="7"/>
        <v>0.19238649828563639</v>
      </c>
      <c r="BB28">
        <f t="shared" si="8"/>
        <v>6.2338306498132982E-2</v>
      </c>
      <c r="BC28">
        <f t="shared" si="9"/>
        <v>5.0753278833608889E-2</v>
      </c>
      <c r="BD28">
        <f t="shared" si="10"/>
        <v>0.11296885277917768</v>
      </c>
      <c r="BE28">
        <f t="shared" si="11"/>
        <v>-3.1534183223035521E-2</v>
      </c>
      <c r="BF28">
        <f t="shared" si="12"/>
        <v>5.9061710407088949E-2</v>
      </c>
      <c r="BG28">
        <f t="shared" si="13"/>
        <v>9.6843739338177096E-2</v>
      </c>
      <c r="BH28">
        <f t="shared" si="14"/>
        <v>7.7318061924705625E-2</v>
      </c>
      <c r="BI28">
        <f t="shared" si="15"/>
        <v>9.1933000877962384E-2</v>
      </c>
      <c r="BJ28">
        <f t="shared" si="16"/>
        <v>8.9845394273300933E-2</v>
      </c>
      <c r="BK28">
        <f t="shared" si="17"/>
        <v>0.17308601196304316</v>
      </c>
      <c r="BL28">
        <f t="shared" si="18"/>
        <v>3.3220225860082449E-2</v>
      </c>
      <c r="BM28">
        <f t="shared" si="19"/>
        <v>2.5270297187674862E-2</v>
      </c>
      <c r="BN28">
        <f t="shared" si="20"/>
        <v>0.2336950525940048</v>
      </c>
      <c r="BO28">
        <f t="shared" si="21"/>
        <v>0.10561527091712583</v>
      </c>
      <c r="BP28">
        <f t="shared" si="22"/>
        <v>0.11635782784812351</v>
      </c>
      <c r="BQ28">
        <f t="shared" si="23"/>
        <v>0.14481473821612365</v>
      </c>
      <c r="BR28">
        <f t="shared" si="24"/>
        <v>0.1614617942656616</v>
      </c>
      <c r="BS28">
        <f t="shared" si="25"/>
        <v>0.16220878583524675</v>
      </c>
      <c r="BT28">
        <f t="shared" si="26"/>
        <v>5.6084391844543516E-2</v>
      </c>
      <c r="BU28">
        <f t="shared" si="27"/>
        <v>7.6710029505861768E-2</v>
      </c>
      <c r="BV28">
        <f t="shared" si="28"/>
        <v>1.9889503795096644E-2</v>
      </c>
      <c r="BW28">
        <f t="shared" si="29"/>
        <v>0.12754847137894978</v>
      </c>
      <c r="BX28">
        <f t="shared" si="30"/>
        <v>0.10886701306815486</v>
      </c>
      <c r="BY28">
        <f t="shared" si="31"/>
        <v>0.13446621189006233</v>
      </c>
      <c r="BZ28">
        <f t="shared" si="32"/>
        <v>7.9217559136654611E-2</v>
      </c>
      <c r="CA28">
        <f t="shared" si="33"/>
        <v>1.643889966568466E-2</v>
      </c>
      <c r="CB28">
        <f t="shared" si="34"/>
        <v>7.5078204338238835E-2</v>
      </c>
      <c r="CC28">
        <f t="shared" si="35"/>
        <v>5.4311495512028775E-2</v>
      </c>
      <c r="CD28">
        <f t="shared" si="36"/>
        <v>0.10133883798626719</v>
      </c>
      <c r="CE28">
        <f t="shared" si="37"/>
        <v>2.595294328237269E-2</v>
      </c>
      <c r="CG28">
        <f t="shared" si="41"/>
        <v>0.99999999999999956</v>
      </c>
      <c r="CH28">
        <f t="shared" si="42"/>
        <v>0.99999999999999978</v>
      </c>
      <c r="CJ28">
        <f>SUMPRODUCT(AS28:CE28,'PC1'!AS28:CE28)</f>
        <v>0.95484705599871544</v>
      </c>
      <c r="CK28" s="1" t="s">
        <v>29</v>
      </c>
      <c r="CM28">
        <f>SUMPRODUCT(AS28:CE28,'PC2'!AS28:CE28)</f>
        <v>0.27208199671010153</v>
      </c>
      <c r="CN28">
        <f t="shared" si="43"/>
        <v>0.27208199671010153</v>
      </c>
      <c r="CO28">
        <f t="shared" si="44"/>
        <v>0.2791108978176256</v>
      </c>
      <c r="CS28" t="s">
        <v>116</v>
      </c>
      <c r="CT28">
        <f t="shared" si="45"/>
        <v>0.95484705599871544</v>
      </c>
      <c r="CU28">
        <f t="shared" si="46"/>
        <v>1.8840058772475501</v>
      </c>
      <c r="CV28">
        <f t="shared" si="47"/>
        <v>0.27208199671010153</v>
      </c>
      <c r="CW28">
        <f t="shared" si="48"/>
        <v>0.2791108978176256</v>
      </c>
      <c r="CX28">
        <v>1.4785377333121477E-2</v>
      </c>
      <c r="CY28">
        <v>1.478645487200767E-2</v>
      </c>
      <c r="CZ28">
        <v>3.532938258982813E-2</v>
      </c>
      <c r="DA28">
        <v>3.5344092577200073E-2</v>
      </c>
    </row>
    <row r="29" spans="1:105" x14ac:dyDescent="0.25">
      <c r="A29" s="1" t="s">
        <v>30</v>
      </c>
      <c r="B29">
        <v>7.8785842375053594E-2</v>
      </c>
      <c r="C29">
        <v>0.27052419700020902</v>
      </c>
      <c r="D29">
        <v>0.37221691564171899</v>
      </c>
      <c r="E29">
        <v>0.35418892588322698</v>
      </c>
      <c r="F29">
        <v>0.27679336633795598</v>
      </c>
      <c r="G29">
        <v>0.22125579201428999</v>
      </c>
      <c r="H29">
        <v>0.190142016289926</v>
      </c>
      <c r="I29">
        <v>0.16618833195268301</v>
      </c>
      <c r="J29">
        <v>0.215563669333523</v>
      </c>
      <c r="K29">
        <v>0.13297291022486801</v>
      </c>
      <c r="L29">
        <v>0.10673353249322801</v>
      </c>
      <c r="M29">
        <v>0.16946744453307699</v>
      </c>
      <c r="N29">
        <v>8.3075140110774603E-3</v>
      </c>
      <c r="O29">
        <v>6.4226190055785504E-2</v>
      </c>
      <c r="P29">
        <v>9.4575616050758801E-2</v>
      </c>
      <c r="Q29">
        <v>7.7470035081695698E-2</v>
      </c>
      <c r="R29">
        <v>0.18654753440712499</v>
      </c>
      <c r="S29">
        <v>0.15918956285635799</v>
      </c>
      <c r="T29">
        <v>0.22658004056202399</v>
      </c>
      <c r="U29">
        <v>7.3346044865692406E-2</v>
      </c>
      <c r="V29">
        <v>7.1790375082346106E-2</v>
      </c>
      <c r="W29">
        <v>0.26112170701322601</v>
      </c>
      <c r="X29">
        <v>0.120728002233895</v>
      </c>
      <c r="Y29">
        <v>7.7073837128953201E-2</v>
      </c>
      <c r="Z29">
        <v>0.14894755767998</v>
      </c>
      <c r="AA29">
        <v>0.23084854355814699</v>
      </c>
      <c r="AB29">
        <v>0.16099069837539101</v>
      </c>
      <c r="AC29">
        <v>0.121023221114566</v>
      </c>
      <c r="AD29">
        <v>0.14723171587209899</v>
      </c>
      <c r="AE29">
        <v>6.4024700880910806E-2</v>
      </c>
      <c r="AF29">
        <v>0.16139631724029799</v>
      </c>
      <c r="AG29">
        <v>0.16567920668128999</v>
      </c>
      <c r="AH29">
        <v>0.193217213576616</v>
      </c>
      <c r="AI29">
        <v>4.1936328892643697E-2</v>
      </c>
      <c r="AJ29">
        <v>2.71866088637144E-2</v>
      </c>
      <c r="AK29">
        <v>5.3655000962813899E-2</v>
      </c>
      <c r="AL29">
        <v>0.203868631722363</v>
      </c>
      <c r="AM29">
        <v>0.118902817565645</v>
      </c>
      <c r="AN29">
        <v>2.5515594595475598E-2</v>
      </c>
      <c r="AP29">
        <f t="shared" si="38"/>
        <v>1.1612180539668313</v>
      </c>
      <c r="AQ29">
        <f t="shared" si="39"/>
        <v>1.0775982804212483</v>
      </c>
      <c r="AS29">
        <f t="shared" si="40"/>
        <v>7.3112442555360341E-2</v>
      </c>
      <c r="AT29">
        <f t="shared" si="0"/>
        <v>0.2510436420652577</v>
      </c>
      <c r="AU29">
        <f t="shared" si="1"/>
        <v>0.3454134276237098</v>
      </c>
      <c r="AV29">
        <f t="shared" si="2"/>
        <v>0.32868364057222654</v>
      </c>
      <c r="AW29">
        <f t="shared" si="3"/>
        <v>0.25686136602756415</v>
      </c>
      <c r="AX29">
        <f t="shared" si="4"/>
        <v>0.20532307450212151</v>
      </c>
      <c r="AY29">
        <f t="shared" si="5"/>
        <v>0.17644981413258828</v>
      </c>
      <c r="AZ29">
        <f t="shared" si="6"/>
        <v>0.154221044123899</v>
      </c>
      <c r="BA29">
        <f t="shared" si="7"/>
        <v>0.20004084383770188</v>
      </c>
      <c r="BB29">
        <f t="shared" si="8"/>
        <v>0.12339747811483796</v>
      </c>
      <c r="BC29">
        <f t="shared" si="9"/>
        <v>9.9047608401439141E-2</v>
      </c>
      <c r="BD29">
        <f t="shared" si="10"/>
        <v>0.15726402650422733</v>
      </c>
      <c r="BE29">
        <f t="shared" si="11"/>
        <v>7.709286625652313E-3</v>
      </c>
      <c r="BF29">
        <f t="shared" si="12"/>
        <v>5.960123658575122E-2</v>
      </c>
      <c r="BG29">
        <f t="shared" si="13"/>
        <v>8.7765188353667256E-2</v>
      </c>
      <c r="BH29">
        <f t="shared" si="14"/>
        <v>7.1891387068111851E-2</v>
      </c>
      <c r="BI29">
        <f t="shared" si="15"/>
        <v>0.17311417231865009</v>
      </c>
      <c r="BJ29">
        <f t="shared" si="16"/>
        <v>0.14772625917157975</v>
      </c>
      <c r="BK29">
        <f t="shared" si="17"/>
        <v>0.21026392179602466</v>
      </c>
      <c r="BL29">
        <f t="shared" si="18"/>
        <v>6.8064367026477071E-2</v>
      </c>
      <c r="BM29">
        <f t="shared" si="19"/>
        <v>6.6620721642467948E-2</v>
      </c>
      <c r="BN29">
        <f t="shared" si="20"/>
        <v>0.24231822911887896</v>
      </c>
      <c r="BO29">
        <f t="shared" si="21"/>
        <v>0.11203433081454132</v>
      </c>
      <c r="BP29">
        <f t="shared" si="22"/>
        <v>7.1523719487399287E-2</v>
      </c>
      <c r="BQ29">
        <f t="shared" si="23"/>
        <v>0.13822178485822592</v>
      </c>
      <c r="BR29">
        <f t="shared" si="24"/>
        <v>0.21422504819505192</v>
      </c>
      <c r="BS29">
        <f t="shared" si="25"/>
        <v>0.1493976942060983</v>
      </c>
      <c r="BT29">
        <f t="shared" si="26"/>
        <v>0.11230829086629232</v>
      </c>
      <c r="BU29">
        <f t="shared" si="27"/>
        <v>0.13662950150082279</v>
      </c>
      <c r="BV29">
        <f t="shared" si="28"/>
        <v>5.9414256726433023E-2</v>
      </c>
      <c r="BW29">
        <f t="shared" si="29"/>
        <v>0.14977410429534641</v>
      </c>
      <c r="BX29">
        <f t="shared" si="30"/>
        <v>0.15374858116563037</v>
      </c>
      <c r="BY29">
        <f t="shared" si="31"/>
        <v>0.17930356524055022</v>
      </c>
      <c r="BZ29">
        <f t="shared" si="32"/>
        <v>3.8916477183176458E-2</v>
      </c>
      <c r="CA29">
        <f t="shared" si="33"/>
        <v>2.5228890355213609E-2</v>
      </c>
      <c r="CB29">
        <f t="shared" si="34"/>
        <v>4.9791283020458613E-2</v>
      </c>
      <c r="CC29">
        <f t="shared" si="35"/>
        <v>0.18918797053264402</v>
      </c>
      <c r="CD29">
        <f t="shared" si="36"/>
        <v>0.11034057841959827</v>
      </c>
      <c r="CE29">
        <f t="shared" si="37"/>
        <v>2.3678206488508123E-2</v>
      </c>
      <c r="CG29">
        <f t="shared" si="41"/>
        <v>0.99999999999999989</v>
      </c>
      <c r="CH29">
        <f t="shared" si="42"/>
        <v>1</v>
      </c>
      <c r="CJ29">
        <f>SUMPRODUCT(AS29:CE29,'PC1'!AS29:CE29)</f>
        <v>0.96879266288780508</v>
      </c>
      <c r="CK29" s="1" t="s">
        <v>30</v>
      </c>
      <c r="CM29">
        <f>SUMPRODUCT(AS29:CE29,'PC2'!AS29:CE29)</f>
        <v>0.11189490288110035</v>
      </c>
      <c r="CN29">
        <f t="shared" si="43"/>
        <v>0.11189490288110035</v>
      </c>
      <c r="CO29">
        <f t="shared" si="44"/>
        <v>0.11236543497300443</v>
      </c>
      <c r="CS29" t="s">
        <v>116</v>
      </c>
      <c r="CT29">
        <f t="shared" si="45"/>
        <v>0.96879266288780508</v>
      </c>
      <c r="CU29">
        <f t="shared" si="46"/>
        <v>2.072261270678124</v>
      </c>
      <c r="CV29">
        <f t="shared" si="47"/>
        <v>0.11189490288110035</v>
      </c>
      <c r="CW29">
        <f t="shared" si="48"/>
        <v>0.11236543497300443</v>
      </c>
      <c r="CX29">
        <v>2.0435785817782551E-2</v>
      </c>
      <c r="CY29">
        <v>2.0438631337592449E-2</v>
      </c>
      <c r="CZ29">
        <v>0.14871079064394116</v>
      </c>
      <c r="DA29">
        <v>0.14982181178722598</v>
      </c>
    </row>
    <row r="30" spans="1:105" x14ac:dyDescent="0.25">
      <c r="A30" s="1" t="s">
        <v>31</v>
      </c>
      <c r="B30">
        <v>5.9921138858124298E-3</v>
      </c>
      <c r="C30">
        <v>2.3731658157624701E-2</v>
      </c>
      <c r="D30">
        <v>5.2898659637834203E-2</v>
      </c>
      <c r="E30">
        <v>2.6192082255325499E-2</v>
      </c>
      <c r="F30">
        <v>3.07866198840758E-2</v>
      </c>
      <c r="G30">
        <v>5.82400288968795E-2</v>
      </c>
      <c r="H30">
        <v>-4.2151101057306302E-3</v>
      </c>
      <c r="I30">
        <v>1.98956880548866E-2</v>
      </c>
      <c r="J30">
        <v>2.9048832306272001E-2</v>
      </c>
      <c r="K30">
        <v>2.60965336339231E-2</v>
      </c>
      <c r="L30">
        <v>1.03323513164562E-2</v>
      </c>
      <c r="M30">
        <v>2.8411450554686499E-2</v>
      </c>
      <c r="N30">
        <v>-1.54287093189072E-3</v>
      </c>
      <c r="O30">
        <v>2.62102145451459E-2</v>
      </c>
      <c r="P30">
        <v>8.5377759857758698E-3</v>
      </c>
      <c r="Q30">
        <v>-1.35838772835316E-2</v>
      </c>
      <c r="R30">
        <v>2.9573217748237599E-2</v>
      </c>
      <c r="S30">
        <v>6.6155336312265306E-2</v>
      </c>
      <c r="T30">
        <v>1.7202556679727601E-2</v>
      </c>
      <c r="U30">
        <v>-5.0872412407517199E-3</v>
      </c>
      <c r="V30">
        <v>-5.4079991414600504E-3</v>
      </c>
      <c r="W30">
        <v>3.0120176112867901E-2</v>
      </c>
      <c r="X30">
        <v>5.7811134505879203E-3</v>
      </c>
      <c r="Y30">
        <v>3.4597985673206703E-2</v>
      </c>
      <c r="Z30">
        <v>7.6775790570866503E-2</v>
      </c>
      <c r="AA30">
        <v>3.1460737539553203E-2</v>
      </c>
      <c r="AB30">
        <v>3.51058518572746E-3</v>
      </c>
      <c r="AC30">
        <v>2.1109261873094601E-2</v>
      </c>
      <c r="AD30">
        <v>2.4181118893584999E-2</v>
      </c>
      <c r="AE30">
        <v>6.2419750731630402E-3</v>
      </c>
      <c r="AF30">
        <v>4.3139790070489299E-2</v>
      </c>
      <c r="AG30">
        <v>2.85736594509974E-2</v>
      </c>
      <c r="AH30">
        <v>2.1428505353611699E-2</v>
      </c>
      <c r="AI30">
        <v>-4.2653569049757499E-2</v>
      </c>
      <c r="AJ30">
        <v>8.8318382824770607E-3</v>
      </c>
      <c r="AK30">
        <v>1.2486608323335299E-2</v>
      </c>
      <c r="AL30">
        <v>9.8570008596119099E-2</v>
      </c>
      <c r="AM30">
        <v>2.5263188489412801E-2</v>
      </c>
      <c r="AN30">
        <v>1.38241576721484E-2</v>
      </c>
      <c r="AP30">
        <f t="shared" si="38"/>
        <v>4.3663357415082191E-2</v>
      </c>
      <c r="AQ30">
        <f t="shared" si="39"/>
        <v>0.20895778859636266</v>
      </c>
      <c r="AS30">
        <f t="shared" si="40"/>
        <v>2.8676193053455461E-2</v>
      </c>
      <c r="AT30">
        <f t="shared" si="0"/>
        <v>0.11357154149188675</v>
      </c>
      <c r="AU30">
        <f t="shared" si="1"/>
        <v>0.2531547639031389</v>
      </c>
      <c r="AV30">
        <f t="shared" si="2"/>
        <v>0.12534628372201975</v>
      </c>
      <c r="AW30">
        <f t="shared" si="3"/>
        <v>0.14733415820907911</v>
      </c>
      <c r="AX30">
        <f t="shared" si="4"/>
        <v>0.27871671732409065</v>
      </c>
      <c r="AY30">
        <f t="shared" si="5"/>
        <v>-2.017206505699019E-2</v>
      </c>
      <c r="AZ30">
        <f t="shared" si="6"/>
        <v>9.5213909893153065E-2</v>
      </c>
      <c r="BA30">
        <f t="shared" si="7"/>
        <v>0.13901770544856185</v>
      </c>
      <c r="BB30">
        <f t="shared" si="8"/>
        <v>0.12488902093203605</v>
      </c>
      <c r="BC30">
        <f t="shared" si="9"/>
        <v>4.9447074386946566E-2</v>
      </c>
      <c r="BD30">
        <f t="shared" si="10"/>
        <v>0.1359674159337895</v>
      </c>
      <c r="BE30">
        <f t="shared" si="11"/>
        <v>-7.383648832880005E-3</v>
      </c>
      <c r="BF30">
        <f t="shared" si="12"/>
        <v>0.12543305861537118</v>
      </c>
      <c r="BG30">
        <f t="shared" si="13"/>
        <v>4.0858855001897197E-2</v>
      </c>
      <c r="BH30">
        <f t="shared" si="14"/>
        <v>-6.5007757666172269E-2</v>
      </c>
      <c r="BI30">
        <f t="shared" si="15"/>
        <v>0.14152723354745717</v>
      </c>
      <c r="BJ30">
        <f t="shared" si="16"/>
        <v>0.31659665215952076</v>
      </c>
      <c r="BK30">
        <f t="shared" si="17"/>
        <v>8.2325510789919634E-2</v>
      </c>
      <c r="BL30">
        <f t="shared" si="18"/>
        <v>-2.4345784260660357E-2</v>
      </c>
      <c r="BM30">
        <f t="shared" si="19"/>
        <v>-2.5880821087298719E-2</v>
      </c>
      <c r="BN30">
        <f t="shared" si="20"/>
        <v>0.14414478787890564</v>
      </c>
      <c r="BO30">
        <f t="shared" si="21"/>
        <v>2.7666417650289741E-2</v>
      </c>
      <c r="BP30">
        <f t="shared" si="22"/>
        <v>0.16557404203792839</v>
      </c>
      <c r="BQ30">
        <f t="shared" si="23"/>
        <v>0.36742248798953331</v>
      </c>
      <c r="BR30">
        <f t="shared" si="24"/>
        <v>0.15056025310607082</v>
      </c>
      <c r="BS30">
        <f t="shared" si="25"/>
        <v>1.6800451465863994E-2</v>
      </c>
      <c r="BT30">
        <f t="shared" si="26"/>
        <v>0.10102165616746028</v>
      </c>
      <c r="BU30">
        <f t="shared" si="27"/>
        <v>0.11572250575591093</v>
      </c>
      <c r="BV30">
        <f t="shared" si="28"/>
        <v>2.9871942630578234E-2</v>
      </c>
      <c r="BW30">
        <f t="shared" si="29"/>
        <v>0.2064521756296967</v>
      </c>
      <c r="BX30">
        <f t="shared" si="30"/>
        <v>0.13674369183812651</v>
      </c>
      <c r="BY30">
        <f t="shared" si="31"/>
        <v>0.1025494455007106</v>
      </c>
      <c r="BZ30">
        <f t="shared" si="32"/>
        <v>-0.20412528930496143</v>
      </c>
      <c r="CA30">
        <f t="shared" si="33"/>
        <v>4.2266135863149146E-2</v>
      </c>
      <c r="CB30">
        <f t="shared" si="34"/>
        <v>5.9756606380704465E-2</v>
      </c>
      <c r="CC30">
        <f t="shared" si="35"/>
        <v>0.47172210836574152</v>
      </c>
      <c r="CD30">
        <f t="shared" si="36"/>
        <v>0.12090091811898396</v>
      </c>
      <c r="CE30">
        <f t="shared" si="37"/>
        <v>6.6157656840693788E-2</v>
      </c>
      <c r="CG30">
        <f t="shared" si="41"/>
        <v>1</v>
      </c>
      <c r="CH30">
        <f t="shared" si="42"/>
        <v>1</v>
      </c>
      <c r="CJ30">
        <f>SUMPRODUCT(AS30:CE30,'PC1'!AS30:CE30)</f>
        <v>0.70082517159447277</v>
      </c>
      <c r="CK30" s="1" t="s">
        <v>31</v>
      </c>
      <c r="CM30">
        <f>SUMPRODUCT(AS30:CE30,'PC2'!AS30:CE30)</f>
        <v>-0.12176069452637343</v>
      </c>
      <c r="CN30">
        <f t="shared" si="43"/>
        <v>0.12176069452637343</v>
      </c>
      <c r="CO30">
        <f t="shared" si="44"/>
        <v>0.12236783230662308</v>
      </c>
      <c r="CS30" t="s">
        <v>116</v>
      </c>
      <c r="CT30">
        <f t="shared" si="45"/>
        <v>0.70082517159447277</v>
      </c>
      <c r="CU30">
        <f t="shared" si="46"/>
        <v>0.86892034721662714</v>
      </c>
      <c r="CV30">
        <f t="shared" si="47"/>
        <v>0.12176069452637343</v>
      </c>
      <c r="CW30">
        <f t="shared" si="48"/>
        <v>0.12236783230662308</v>
      </c>
      <c r="CX30">
        <v>6.9584053689990003E-2</v>
      </c>
      <c r="CY30">
        <v>6.96966883770061E-2</v>
      </c>
      <c r="CZ30">
        <v>0.28425879007594745</v>
      </c>
      <c r="DA30">
        <v>0.29230917543622259</v>
      </c>
    </row>
    <row r="31" spans="1:105" x14ac:dyDescent="0.25">
      <c r="A31" s="1" t="s">
        <v>32</v>
      </c>
      <c r="B31">
        <v>1.2497852893109101E-2</v>
      </c>
      <c r="C31">
        <v>8.2371625470108401E-2</v>
      </c>
      <c r="D31">
        <v>0.126404593795437</v>
      </c>
      <c r="E31">
        <v>0.12808043067180799</v>
      </c>
      <c r="F31">
        <v>9.4667878574600503E-2</v>
      </c>
      <c r="G31">
        <v>0.10257794998998999</v>
      </c>
      <c r="H31">
        <v>2.8966587504169802E-2</v>
      </c>
      <c r="I31">
        <v>3.0547385002731901E-2</v>
      </c>
      <c r="J31">
        <v>5.67222372153924E-2</v>
      </c>
      <c r="K31">
        <v>9.168826151442E-2</v>
      </c>
      <c r="L31">
        <v>3.8229523821157498E-2</v>
      </c>
      <c r="M31">
        <v>7.1247239099179405E-2</v>
      </c>
      <c r="N31">
        <v>3.5104793780186397E-2</v>
      </c>
      <c r="O31">
        <v>6.0149691687291701E-2</v>
      </c>
      <c r="P31">
        <v>7.1591060344575602E-2</v>
      </c>
      <c r="Q31">
        <v>2.4537051487886399E-2</v>
      </c>
      <c r="R31">
        <v>3.3695142175088899E-2</v>
      </c>
      <c r="S31">
        <v>3.9292086492221399E-2</v>
      </c>
      <c r="T31">
        <v>8.4720812683935304E-2</v>
      </c>
      <c r="U31">
        <v>3.9543128198993499E-2</v>
      </c>
      <c r="V31">
        <v>2.1143775215587201E-2</v>
      </c>
      <c r="W31">
        <v>0.10627393324211</v>
      </c>
      <c r="X31">
        <v>5.0167112836400803E-2</v>
      </c>
      <c r="Y31">
        <v>7.2527950939561797E-2</v>
      </c>
      <c r="Z31">
        <v>9.2074303094777196E-2</v>
      </c>
      <c r="AA31">
        <v>6.8519370801465598E-2</v>
      </c>
      <c r="AB31">
        <v>4.0950145861773202E-2</v>
      </c>
      <c r="AC31">
        <v>2.2588110290702599E-2</v>
      </c>
      <c r="AD31">
        <v>3.9671505899248401E-2</v>
      </c>
      <c r="AE31">
        <v>-1.65213236172611E-3</v>
      </c>
      <c r="AF31">
        <v>4.9714557971138801E-2</v>
      </c>
      <c r="AG31">
        <v>7.5231858327428999E-2</v>
      </c>
      <c r="AH31">
        <v>9.5964091822843697E-2</v>
      </c>
      <c r="AI31">
        <v>2.7847429259822601E-2</v>
      </c>
      <c r="AJ31">
        <v>9.92078659317896E-3</v>
      </c>
      <c r="AK31">
        <v>1.3356590469988301E-3</v>
      </c>
      <c r="AL31">
        <v>5.4452419459209603E-2</v>
      </c>
      <c r="AM31">
        <v>4.79899369358157E-2</v>
      </c>
      <c r="AN31">
        <v>1.5266586472857301E-2</v>
      </c>
      <c r="AP31">
        <f t="shared" si="38"/>
        <v>0.16091230589687566</v>
      </c>
      <c r="AQ31">
        <f t="shared" si="39"/>
        <v>0.40113876139918925</v>
      </c>
      <c r="AS31">
        <f t="shared" si="40"/>
        <v>3.1155934294447268E-2</v>
      </c>
      <c r="AT31">
        <f t="shared" si="0"/>
        <v>0.2053444677916256</v>
      </c>
      <c r="AU31">
        <f t="shared" si="1"/>
        <v>0.31511438424582144</v>
      </c>
      <c r="AV31">
        <f t="shared" si="2"/>
        <v>0.31929208293174649</v>
      </c>
      <c r="AW31">
        <f t="shared" si="3"/>
        <v>0.2359978333791401</v>
      </c>
      <c r="AX31">
        <f t="shared" si="4"/>
        <v>0.25571687371271151</v>
      </c>
      <c r="AY31">
        <f t="shared" si="5"/>
        <v>7.2210891321330059E-2</v>
      </c>
      <c r="AZ31">
        <f t="shared" si="6"/>
        <v>7.615166606234039E-2</v>
      </c>
      <c r="BA31">
        <f t="shared" si="7"/>
        <v>0.14140303225134065</v>
      </c>
      <c r="BB31">
        <f t="shared" si="8"/>
        <v>0.22856993723221211</v>
      </c>
      <c r="BC31">
        <f t="shared" si="9"/>
        <v>9.5302492553477697E-2</v>
      </c>
      <c r="BD31">
        <f t="shared" si="10"/>
        <v>0.17761245223639313</v>
      </c>
      <c r="BE31">
        <f t="shared" si="11"/>
        <v>8.7512843829250925E-2</v>
      </c>
      <c r="BF31">
        <f t="shared" si="12"/>
        <v>0.14994734360121917</v>
      </c>
      <c r="BG31">
        <f t="shared" si="13"/>
        <v>0.17846956523189858</v>
      </c>
      <c r="BH31">
        <f t="shared" si="14"/>
        <v>6.1168487937441167E-2</v>
      </c>
      <c r="BI31">
        <f t="shared" si="15"/>
        <v>8.3998719190234314E-2</v>
      </c>
      <c r="BJ31">
        <f t="shared" si="16"/>
        <v>9.7951358166358471E-2</v>
      </c>
      <c r="BK31">
        <f t="shared" si="17"/>
        <v>0.21120076351740596</v>
      </c>
      <c r="BL31">
        <f t="shared" si="18"/>
        <v>9.8577180776710197E-2</v>
      </c>
      <c r="BM31">
        <f t="shared" si="19"/>
        <v>5.2709379522030739E-2</v>
      </c>
      <c r="BN31">
        <f t="shared" si="20"/>
        <v>0.26493060124985668</v>
      </c>
      <c r="BO31">
        <f t="shared" si="21"/>
        <v>0.12506174337632134</v>
      </c>
      <c r="BP31">
        <f t="shared" si="22"/>
        <v>0.18080514255610997</v>
      </c>
      <c r="BQ31">
        <f t="shared" si="23"/>
        <v>0.22953230142511799</v>
      </c>
      <c r="BR31">
        <f t="shared" si="24"/>
        <v>0.17081214132104083</v>
      </c>
      <c r="BS31">
        <f t="shared" si="25"/>
        <v>0.1020847392531635</v>
      </c>
      <c r="BT31">
        <f t="shared" si="26"/>
        <v>5.6309966685628432E-2</v>
      </c>
      <c r="BU31">
        <f t="shared" si="27"/>
        <v>9.889721392386136E-2</v>
      </c>
      <c r="BV31">
        <f t="shared" si="28"/>
        <v>-4.118605631536083E-3</v>
      </c>
      <c r="BW31">
        <f t="shared" si="29"/>
        <v>0.12393356801953589</v>
      </c>
      <c r="BX31">
        <f t="shared" si="30"/>
        <v>0.18754572124871963</v>
      </c>
      <c r="BY31">
        <f t="shared" si="31"/>
        <v>0.23922916720417847</v>
      </c>
      <c r="BZ31">
        <f t="shared" si="32"/>
        <v>6.9420938437087382E-2</v>
      </c>
      <c r="CA31">
        <f t="shared" si="33"/>
        <v>2.4731558123614956E-2</v>
      </c>
      <c r="CB31">
        <f t="shared" si="34"/>
        <v>3.3296683729590079E-3</v>
      </c>
      <c r="CC31">
        <f t="shared" si="35"/>
        <v>0.13574459688033444</v>
      </c>
      <c r="CD31">
        <f t="shared" si="36"/>
        <v>0.11963425516004671</v>
      </c>
      <c r="CE31">
        <f t="shared" si="37"/>
        <v>3.8058118391767454E-2</v>
      </c>
      <c r="CG31">
        <f t="shared" si="41"/>
        <v>0.99999999999999978</v>
      </c>
      <c r="CH31">
        <f t="shared" si="42"/>
        <v>0.99999999999999989</v>
      </c>
      <c r="CJ31">
        <f>SUMPRODUCT(AS31:CE31,'PC1'!AS31:CE31)</f>
        <v>0.93785790254592172</v>
      </c>
      <c r="CK31" s="1" t="s">
        <v>32</v>
      </c>
      <c r="CM31">
        <f>SUMPRODUCT(AS31:CE31,'PC2'!AS31:CE31)</f>
        <v>-1.8509738977828535E-2</v>
      </c>
      <c r="CN31">
        <f t="shared" si="43"/>
        <v>1.8509738977828535E-2</v>
      </c>
      <c r="CO31">
        <f t="shared" si="44"/>
        <v>1.8511853289063403E-2</v>
      </c>
      <c r="CS31" t="s">
        <v>116</v>
      </c>
      <c r="CT31">
        <f t="shared" si="45"/>
        <v>0.93785790254592172</v>
      </c>
      <c r="CU31">
        <f t="shared" si="46"/>
        <v>1.7199574054905342</v>
      </c>
      <c r="CV31">
        <f t="shared" si="47"/>
        <v>1.8509738977828535E-2</v>
      </c>
      <c r="CW31">
        <f t="shared" si="48"/>
        <v>1.8511853289063403E-2</v>
      </c>
      <c r="CX31">
        <v>7.1528177288207595E-2</v>
      </c>
      <c r="CY31">
        <v>7.1650539195545787E-2</v>
      </c>
      <c r="CZ31">
        <v>0.10498622254223891</v>
      </c>
      <c r="DA31">
        <v>0.10537451681131528</v>
      </c>
    </row>
    <row r="32" spans="1:105" x14ac:dyDescent="0.25">
      <c r="A32" s="1" t="s">
        <v>33</v>
      </c>
      <c r="B32">
        <v>9.2731829355699902E-2</v>
      </c>
      <c r="C32">
        <v>0.16417152035563401</v>
      </c>
      <c r="D32">
        <v>0.431374220657055</v>
      </c>
      <c r="E32">
        <v>0.387978138929855</v>
      </c>
      <c r="F32">
        <v>0.27714163979196599</v>
      </c>
      <c r="G32">
        <v>0.209272936130659</v>
      </c>
      <c r="H32">
        <v>0.26046115088551702</v>
      </c>
      <c r="I32">
        <v>0.26486888290016902</v>
      </c>
      <c r="J32">
        <v>0.18838070428572701</v>
      </c>
      <c r="K32">
        <v>3.1959084970607801E-2</v>
      </c>
      <c r="L32">
        <v>3.4233966799172101E-2</v>
      </c>
      <c r="M32">
        <v>8.9494589781757505E-2</v>
      </c>
      <c r="N32">
        <v>-4.7457783267274303E-2</v>
      </c>
      <c r="O32">
        <v>7.9438661545359404E-2</v>
      </c>
      <c r="P32">
        <v>9.0759994695762097E-2</v>
      </c>
      <c r="Q32">
        <v>5.5826060412324303E-2</v>
      </c>
      <c r="R32">
        <v>9.9201803241203396E-2</v>
      </c>
      <c r="S32">
        <v>0.12256452133868199</v>
      </c>
      <c r="T32">
        <v>0.14730086100216599</v>
      </c>
      <c r="U32">
        <v>-1.5709588614452499E-2</v>
      </c>
      <c r="V32">
        <v>5.4887122458148002E-2</v>
      </c>
      <c r="W32">
        <v>0.26200579937165802</v>
      </c>
      <c r="X32">
        <v>0.13804310837355699</v>
      </c>
      <c r="Y32">
        <v>0.12909431585062001</v>
      </c>
      <c r="Z32">
        <v>0.162118999135172</v>
      </c>
      <c r="AA32">
        <v>0.20423445167068</v>
      </c>
      <c r="AB32">
        <v>0.137947401093692</v>
      </c>
      <c r="AC32">
        <v>4.6605221623357798E-2</v>
      </c>
      <c r="AD32">
        <v>9.1684265742993501E-2</v>
      </c>
      <c r="AE32">
        <v>2.8617762200890701E-2</v>
      </c>
      <c r="AF32">
        <v>0.135982879499151</v>
      </c>
      <c r="AG32">
        <v>0.115183234623181</v>
      </c>
      <c r="AH32">
        <v>0.14043201471210601</v>
      </c>
      <c r="AI32">
        <v>9.27939075309374E-2</v>
      </c>
      <c r="AJ32">
        <v>0.111001023677066</v>
      </c>
      <c r="AK32">
        <v>0.122448364100707</v>
      </c>
      <c r="AL32">
        <v>6.1922506919899097E-2</v>
      </c>
      <c r="AM32">
        <v>6.6564281176822407E-2</v>
      </c>
      <c r="AN32">
        <v>2.1418317634257101E-2</v>
      </c>
      <c r="AP32">
        <f t="shared" si="38"/>
        <v>1.045105228970463</v>
      </c>
      <c r="AQ32">
        <f t="shared" si="39"/>
        <v>1.0223038828892625</v>
      </c>
      <c r="AS32">
        <f t="shared" si="40"/>
        <v>9.0708673720008501E-2</v>
      </c>
      <c r="AT32">
        <f t="shared" si="0"/>
        <v>0.16058974547924837</v>
      </c>
      <c r="AU32">
        <f t="shared" si="1"/>
        <v>0.42196281152517356</v>
      </c>
      <c r="AV32">
        <f t="shared" si="2"/>
        <v>0.37951351395960742</v>
      </c>
      <c r="AW32">
        <f t="shared" si="3"/>
        <v>0.27109516498039787</v>
      </c>
      <c r="AX32">
        <f t="shared" si="4"/>
        <v>0.20470717135418309</v>
      </c>
      <c r="AY32">
        <f t="shared" si="5"/>
        <v>0.25477859885398729</v>
      </c>
      <c r="AZ32">
        <f t="shared" si="6"/>
        <v>0.25909016617601949</v>
      </c>
      <c r="BA32">
        <f t="shared" si="7"/>
        <v>0.18427075103473189</v>
      </c>
      <c r="BB32">
        <f t="shared" si="8"/>
        <v>3.1261824889370647E-2</v>
      </c>
      <c r="BC32">
        <f t="shared" si="9"/>
        <v>3.348707500006666E-2</v>
      </c>
      <c r="BD32">
        <f t="shared" si="10"/>
        <v>8.7542061885577019E-2</v>
      </c>
      <c r="BE32">
        <f t="shared" si="11"/>
        <v>-4.6422383854346563E-2</v>
      </c>
      <c r="BF32">
        <f t="shared" si="12"/>
        <v>7.7705526580655979E-2</v>
      </c>
      <c r="BG32">
        <f t="shared" si="13"/>
        <v>8.8779859115132947E-2</v>
      </c>
      <c r="BH32">
        <f t="shared" si="14"/>
        <v>5.4608088012487246E-2</v>
      </c>
      <c r="BI32">
        <f t="shared" si="15"/>
        <v>9.7037490419029426E-2</v>
      </c>
      <c r="BJ32">
        <f t="shared" si="16"/>
        <v>0.11989049771804336</v>
      </c>
      <c r="BK32">
        <f t="shared" si="17"/>
        <v>0.14408715790637552</v>
      </c>
      <c r="BL32">
        <f t="shared" si="18"/>
        <v>-1.5366848231128341E-2</v>
      </c>
      <c r="BM32">
        <f t="shared" si="19"/>
        <v>5.3689635123975614E-2</v>
      </c>
      <c r="BN32">
        <f t="shared" si="20"/>
        <v>0.25628954732243631</v>
      </c>
      <c r="BO32">
        <f t="shared" si="21"/>
        <v>0.13503138419411639</v>
      </c>
      <c r="BP32">
        <f t="shared" si="22"/>
        <v>0.12627782992056158</v>
      </c>
      <c r="BQ32">
        <f t="shared" si="23"/>
        <v>0.15858200467456599</v>
      </c>
      <c r="BR32">
        <f t="shared" si="24"/>
        <v>0.19977861288511115</v>
      </c>
      <c r="BS32">
        <f t="shared" si="25"/>
        <v>0.13493776498610313</v>
      </c>
      <c r="BT32">
        <f t="shared" si="26"/>
        <v>4.5588422780554132E-2</v>
      </c>
      <c r="BU32">
        <f t="shared" si="27"/>
        <v>8.9683965088612386E-2</v>
      </c>
      <c r="BV32">
        <f t="shared" si="28"/>
        <v>2.7993400670660095E-2</v>
      </c>
      <c r="BW32">
        <f t="shared" si="29"/>
        <v>0.13301610389548021</v>
      </c>
      <c r="BX32">
        <f t="shared" si="30"/>
        <v>0.11267025054981408</v>
      </c>
      <c r="BY32">
        <f t="shared" si="31"/>
        <v>0.13736817111093552</v>
      </c>
      <c r="BZ32">
        <f t="shared" si="32"/>
        <v>9.0769397518750281E-2</v>
      </c>
      <c r="CA32">
        <f t="shared" si="33"/>
        <v>0.10857928404160214</v>
      </c>
      <c r="CB32">
        <f t="shared" si="34"/>
        <v>0.11977687471423874</v>
      </c>
      <c r="CC32">
        <f t="shared" si="35"/>
        <v>6.0571526682352071E-2</v>
      </c>
      <c r="CD32">
        <f t="shared" si="36"/>
        <v>6.5112030083165351E-2</v>
      </c>
      <c r="CE32">
        <f t="shared" si="37"/>
        <v>2.0951028351495721E-2</v>
      </c>
      <c r="CG32">
        <f t="shared" si="41"/>
        <v>0.99999999999999989</v>
      </c>
      <c r="CH32">
        <f t="shared" si="42"/>
        <v>1</v>
      </c>
      <c r="CJ32">
        <f>SUMPRODUCT(AS32:CE32,'PC1'!AS32:CE32)</f>
        <v>0.9538999931072154</v>
      </c>
      <c r="CK32" s="1" t="s">
        <v>33</v>
      </c>
      <c r="CM32">
        <f>SUMPRODUCT(AS32:CE32,'PC2'!AS32:CE32)</f>
        <v>0.20928567848536847</v>
      </c>
      <c r="CN32">
        <f t="shared" si="43"/>
        <v>0.20928567848536847</v>
      </c>
      <c r="CO32">
        <f t="shared" si="44"/>
        <v>0.2124241872720018</v>
      </c>
      <c r="CS32" t="s">
        <v>116</v>
      </c>
      <c r="CT32">
        <f t="shared" si="45"/>
        <v>0.9538999931072154</v>
      </c>
      <c r="CU32">
        <f t="shared" si="46"/>
        <v>1.873384775586032</v>
      </c>
      <c r="CV32">
        <f t="shared" si="47"/>
        <v>0.20928567848536847</v>
      </c>
      <c r="CW32">
        <f t="shared" si="48"/>
        <v>0.2124241872720018</v>
      </c>
      <c r="CX32">
        <v>8.9181148871754046E-2</v>
      </c>
      <c r="CY32">
        <v>8.941871101432837E-2</v>
      </c>
      <c r="CZ32">
        <v>6.4787877806440575E-2</v>
      </c>
      <c r="DA32">
        <v>6.4878755161349597E-2</v>
      </c>
    </row>
    <row r="33" spans="1:105" x14ac:dyDescent="0.25">
      <c r="A33" s="1" t="s">
        <v>34</v>
      </c>
      <c r="B33">
        <v>5.3009324186070197E-2</v>
      </c>
      <c r="C33">
        <v>0.2490000077559</v>
      </c>
      <c r="D33">
        <v>0.25806253054160999</v>
      </c>
      <c r="E33">
        <v>0.30494535815033003</v>
      </c>
      <c r="F33">
        <v>0.23731998231659701</v>
      </c>
      <c r="G33">
        <v>0.181741106278765</v>
      </c>
      <c r="H33">
        <v>9.4287020302399493E-2</v>
      </c>
      <c r="I33">
        <v>9.4851625385471997E-2</v>
      </c>
      <c r="J33">
        <v>0.18781625792683601</v>
      </c>
      <c r="K33">
        <v>0.145963029876885</v>
      </c>
      <c r="L33">
        <v>7.6927138267495698E-2</v>
      </c>
      <c r="M33">
        <v>0.138734945125328</v>
      </c>
      <c r="N33">
        <v>8.7791910293459702E-2</v>
      </c>
      <c r="O33">
        <v>0.16812783860957201</v>
      </c>
      <c r="P33">
        <v>0.152161994472821</v>
      </c>
      <c r="Q33">
        <v>4.8241338837789201E-2</v>
      </c>
      <c r="R33">
        <v>9.41321049392531E-2</v>
      </c>
      <c r="S33">
        <v>8.96452355852983E-2</v>
      </c>
      <c r="T33">
        <v>0.22589427193511299</v>
      </c>
      <c r="U33">
        <v>3.1337667237335103E-2</v>
      </c>
      <c r="V33">
        <v>5.4392980435924401E-2</v>
      </c>
      <c r="W33">
        <v>0.279283576294721</v>
      </c>
      <c r="X33">
        <v>0.164582216391644</v>
      </c>
      <c r="Y33">
        <v>0.15170882424139001</v>
      </c>
      <c r="Z33">
        <v>0.17433080537542001</v>
      </c>
      <c r="AA33">
        <v>0.27351343859877397</v>
      </c>
      <c r="AB33">
        <v>8.8957042105684794E-2</v>
      </c>
      <c r="AC33">
        <v>0.196921645162732</v>
      </c>
      <c r="AD33">
        <v>0.12184591325498501</v>
      </c>
      <c r="AE33">
        <v>4.1239340979579903E-2</v>
      </c>
      <c r="AF33">
        <v>0.16994147521462999</v>
      </c>
      <c r="AG33">
        <v>0.169770970098504</v>
      </c>
      <c r="AH33">
        <v>0.23441513702610101</v>
      </c>
      <c r="AI33">
        <v>0.15821080764925699</v>
      </c>
      <c r="AJ33">
        <v>8.6953838198129005E-2</v>
      </c>
      <c r="AK33">
        <v>0.160421772976126</v>
      </c>
      <c r="AL33">
        <v>0.13503393338994901</v>
      </c>
      <c r="AM33">
        <v>0.16533462848720101</v>
      </c>
      <c r="AN33">
        <v>3.8819439359985698E-2</v>
      </c>
      <c r="AP33">
        <f t="shared" si="38"/>
        <v>1.0613004004695556</v>
      </c>
      <c r="AQ33">
        <f t="shared" si="39"/>
        <v>1.0301943508239384</v>
      </c>
      <c r="AS33">
        <f t="shared" si="40"/>
        <v>5.1455654113880464E-2</v>
      </c>
      <c r="AT33">
        <f t="shared" si="0"/>
        <v>0.24170197357105722</v>
      </c>
      <c r="AU33">
        <f t="shared" si="1"/>
        <v>0.25049887949318916</v>
      </c>
      <c r="AV33">
        <f t="shared" si="2"/>
        <v>0.29600760080506944</v>
      </c>
      <c r="AW33">
        <f t="shared" si="3"/>
        <v>0.23036428235778136</v>
      </c>
      <c r="AX33">
        <f t="shared" si="4"/>
        <v>0.17641438834663614</v>
      </c>
      <c r="AY33">
        <f t="shared" si="5"/>
        <v>9.1523526824807133E-2</v>
      </c>
      <c r="AZ33">
        <f t="shared" si="6"/>
        <v>9.2071583686719582E-2</v>
      </c>
      <c r="BA33">
        <f t="shared" si="7"/>
        <v>0.18231148110705769</v>
      </c>
      <c r="BB33">
        <f t="shared" si="8"/>
        <v>0.14168494494281136</v>
      </c>
      <c r="BC33">
        <f t="shared" si="9"/>
        <v>7.4672452053314214E-2</v>
      </c>
      <c r="BD33">
        <f t="shared" si="10"/>
        <v>0.13466871082565079</v>
      </c>
      <c r="BE33">
        <f t="shared" si="11"/>
        <v>8.5218784419895791E-2</v>
      </c>
      <c r="BF33">
        <f t="shared" si="12"/>
        <v>0.16320011702171067</v>
      </c>
      <c r="BG33">
        <f t="shared" si="13"/>
        <v>0.14770222177118664</v>
      </c>
      <c r="BH33">
        <f t="shared" si="14"/>
        <v>4.6827415428172647E-2</v>
      </c>
      <c r="BI33">
        <f t="shared" si="15"/>
        <v>9.1373151933872715E-2</v>
      </c>
      <c r="BJ33">
        <f t="shared" si="16"/>
        <v>8.701778990886623E-2</v>
      </c>
      <c r="BK33">
        <f t="shared" si="17"/>
        <v>0.2192734523873531</v>
      </c>
      <c r="BL33">
        <f t="shared" si="18"/>
        <v>3.0419179849192117E-2</v>
      </c>
      <c r="BM33">
        <f t="shared" si="19"/>
        <v>5.279875626615646E-2</v>
      </c>
      <c r="BN33">
        <f t="shared" si="20"/>
        <v>0.27109794969400969</v>
      </c>
      <c r="BO33">
        <f t="shared" si="21"/>
        <v>0.1597584147690316</v>
      </c>
      <c r="BP33">
        <f t="shared" si="22"/>
        <v>0.14726233367524771</v>
      </c>
      <c r="BQ33">
        <f t="shared" si="23"/>
        <v>0.16922127871890591</v>
      </c>
      <c r="BR33">
        <f t="shared" si="24"/>
        <v>0.2654969311179205</v>
      </c>
      <c r="BS33">
        <f t="shared" si="25"/>
        <v>8.6349766948865425E-2</v>
      </c>
      <c r="BT33">
        <f t="shared" si="26"/>
        <v>0.19114999514920283</v>
      </c>
      <c r="BU33">
        <f t="shared" si="27"/>
        <v>0.11827468589546618</v>
      </c>
      <c r="BV33">
        <f t="shared" si="28"/>
        <v>4.0030641739199131E-2</v>
      </c>
      <c r="BW33">
        <f t="shared" si="29"/>
        <v>0.16496059707443805</v>
      </c>
      <c r="BX33">
        <f t="shared" si="30"/>
        <v>0.16479508935641415</v>
      </c>
      <c r="BY33">
        <f t="shared" si="31"/>
        <v>0.22754457626235117</v>
      </c>
      <c r="BZ33">
        <f t="shared" si="32"/>
        <v>0.15357374802407106</v>
      </c>
      <c r="CA33">
        <f t="shared" si="33"/>
        <v>8.4405275692479048E-2</v>
      </c>
      <c r="CB33">
        <f t="shared" si="34"/>
        <v>0.15571991134276983</v>
      </c>
      <c r="CC33">
        <f t="shared" si="35"/>
        <v>0.13107617342489825</v>
      </c>
      <c r="CD33">
        <f t="shared" si="36"/>
        <v>0.16048877413758691</v>
      </c>
      <c r="CE33">
        <f t="shared" si="37"/>
        <v>3.7681665919579471E-2</v>
      </c>
      <c r="CG33">
        <f t="shared" si="41"/>
        <v>0.99999999999999989</v>
      </c>
      <c r="CH33">
        <f t="shared" si="42"/>
        <v>1</v>
      </c>
      <c r="CJ33">
        <f>SUMPRODUCT(AS33:CE33,'PC1'!AS33:CE33)</f>
        <v>0.95254396246417461</v>
      </c>
      <c r="CK33" s="1" t="s">
        <v>34</v>
      </c>
      <c r="CM33">
        <f>SUMPRODUCT(AS33:CE33,'PC2'!AS33:CE33)</f>
        <v>-9.0230162081945106E-2</v>
      </c>
      <c r="CN33">
        <f t="shared" si="43"/>
        <v>9.0230162081945106E-2</v>
      </c>
      <c r="CO33">
        <f t="shared" si="44"/>
        <v>9.047623432537058E-2</v>
      </c>
      <c r="CS33" t="s">
        <v>116</v>
      </c>
      <c r="CT33">
        <f t="shared" si="45"/>
        <v>0.95254396246417461</v>
      </c>
      <c r="CU33">
        <f t="shared" si="46"/>
        <v>1.858542320265671</v>
      </c>
      <c r="CV33">
        <f t="shared" si="47"/>
        <v>9.0230162081945106E-2</v>
      </c>
      <c r="CW33">
        <f t="shared" si="48"/>
        <v>9.047623432537058E-2</v>
      </c>
      <c r="CX33">
        <v>2.0271390578339175E-2</v>
      </c>
      <c r="CY33">
        <v>2.0274167965775036E-2</v>
      </c>
      <c r="CZ33">
        <v>4.7985646527658202E-2</v>
      </c>
      <c r="DA33">
        <v>4.8022528435632726E-2</v>
      </c>
    </row>
    <row r="34" spans="1:105" x14ac:dyDescent="0.25">
      <c r="A34" s="1" t="s">
        <v>35</v>
      </c>
      <c r="B34">
        <v>5.2402889378942597E-3</v>
      </c>
      <c r="C34">
        <v>-4.5297855013947899E-4</v>
      </c>
      <c r="D34">
        <v>-1.5315589547054399E-2</v>
      </c>
      <c r="E34">
        <v>-2.7218719917470199E-2</v>
      </c>
      <c r="F34">
        <v>-6.8626912902888396E-3</v>
      </c>
      <c r="G34">
        <v>-1.35362974205256E-2</v>
      </c>
      <c r="H34">
        <v>1.51021725110516E-3</v>
      </c>
      <c r="I34">
        <v>1.32745011401777E-2</v>
      </c>
      <c r="J34">
        <v>2.2986378434161601E-2</v>
      </c>
      <c r="K34">
        <v>-4.7917777801961402E-2</v>
      </c>
      <c r="L34">
        <v>-7.0605163704139298E-3</v>
      </c>
      <c r="M34">
        <v>1.3405452086899699E-2</v>
      </c>
      <c r="N34">
        <v>2.83797727458854E-2</v>
      </c>
      <c r="O34">
        <v>-2.7268800660849401E-3</v>
      </c>
      <c r="P34">
        <v>-2.4269192546204799E-2</v>
      </c>
      <c r="Q34">
        <v>-1.64475487315182E-2</v>
      </c>
      <c r="R34">
        <v>9.0726487521943806E-3</v>
      </c>
      <c r="S34">
        <v>8.7302139567589001E-3</v>
      </c>
      <c r="T34">
        <v>-1.2006403554820201E-2</v>
      </c>
      <c r="U34">
        <v>-3.0007445680942199E-2</v>
      </c>
      <c r="V34">
        <v>-8.9844204832078695E-3</v>
      </c>
      <c r="W34">
        <v>-1.7710613790753001E-2</v>
      </c>
      <c r="X34">
        <v>-3.91171021481743E-3</v>
      </c>
      <c r="Y34">
        <v>2.7305672662654998E-3</v>
      </c>
      <c r="Z34">
        <v>-2.76537524210098E-2</v>
      </c>
      <c r="AA34">
        <v>-1.55627167427044E-2</v>
      </c>
      <c r="AB34">
        <v>-1.9960994045229601E-2</v>
      </c>
      <c r="AC34">
        <v>-5.9350983204235304E-3</v>
      </c>
      <c r="AD34">
        <v>1.7888395240036499E-2</v>
      </c>
      <c r="AE34">
        <v>5.8113357109327302E-3</v>
      </c>
      <c r="AF34">
        <v>8.7824455727719096E-3</v>
      </c>
      <c r="AG34">
        <v>5.4597814541325097E-3</v>
      </c>
      <c r="AH34">
        <v>4.7460046895281298E-3</v>
      </c>
      <c r="AI34">
        <v>4.8269198990474403E-2</v>
      </c>
      <c r="AJ34">
        <v>7.5421822617526202E-3</v>
      </c>
      <c r="AK34">
        <v>2.8364346054076801E-2</v>
      </c>
      <c r="AL34">
        <v>1.9842001048634001E-2</v>
      </c>
      <c r="AM34">
        <v>-1.7989172614590199E-2</v>
      </c>
      <c r="AN34">
        <v>1.7994436401625E-2</v>
      </c>
      <c r="AP34">
        <f t="shared" si="38"/>
        <v>1.3914870645611942E-2</v>
      </c>
      <c r="AQ34">
        <f t="shared" si="39"/>
        <v>0.11796130995208531</v>
      </c>
      <c r="AS34">
        <f t="shared" si="40"/>
        <v>4.4423794039103258E-2</v>
      </c>
      <c r="AT34">
        <f t="shared" si="0"/>
        <v>-3.8400603581248316E-3</v>
      </c>
      <c r="AU34">
        <f t="shared" si="1"/>
        <v>-0.12983570251360751</v>
      </c>
      <c r="AV34">
        <f t="shared" si="2"/>
        <v>-0.2307427742920638</v>
      </c>
      <c r="AW34">
        <f t="shared" si="3"/>
        <v>-5.8177476098530911E-2</v>
      </c>
      <c r="AX34">
        <f t="shared" si="4"/>
        <v>-0.11475201001094262</v>
      </c>
      <c r="AY34">
        <f t="shared" si="5"/>
        <v>1.2802649035676145E-2</v>
      </c>
      <c r="AZ34">
        <f t="shared" si="6"/>
        <v>0.11253266978443753</v>
      </c>
      <c r="BA34">
        <f t="shared" si="7"/>
        <v>0.19486370949507456</v>
      </c>
      <c r="BB34">
        <f t="shared" si="8"/>
        <v>-0.40621605356387713</v>
      </c>
      <c r="BC34">
        <f t="shared" si="9"/>
        <v>-5.985450969713578E-2</v>
      </c>
      <c r="BD34">
        <f t="shared" si="10"/>
        <v>0.11364278755758865</v>
      </c>
      <c r="BE34">
        <f t="shared" si="11"/>
        <v>0.24058543226938539</v>
      </c>
      <c r="BF34">
        <f t="shared" si="12"/>
        <v>-2.3116732657449898E-2</v>
      </c>
      <c r="BG34">
        <f t="shared" si="13"/>
        <v>-0.20573858120143543</v>
      </c>
      <c r="BH34">
        <f t="shared" si="14"/>
        <v>-0.13943172331842557</v>
      </c>
      <c r="BI34">
        <f t="shared" si="15"/>
        <v>7.691207189780784E-2</v>
      </c>
      <c r="BJ34">
        <f t="shared" si="16"/>
        <v>7.4009130284370561E-2</v>
      </c>
      <c r="BK34">
        <f t="shared" si="17"/>
        <v>-0.10178255531154308</v>
      </c>
      <c r="BL34">
        <f t="shared" si="18"/>
        <v>-0.25438379493353303</v>
      </c>
      <c r="BM34">
        <f t="shared" si="19"/>
        <v>-7.6164129466324587E-2</v>
      </c>
      <c r="BN34">
        <f t="shared" si="20"/>
        <v>-0.15013917527659598</v>
      </c>
      <c r="BO34">
        <f t="shared" si="21"/>
        <v>-3.3160959440059853E-2</v>
      </c>
      <c r="BP34">
        <f t="shared" si="22"/>
        <v>2.3147990365439554E-2</v>
      </c>
      <c r="BQ34">
        <f t="shared" si="23"/>
        <v>-0.2344306996272123</v>
      </c>
      <c r="BR34">
        <f t="shared" si="24"/>
        <v>-0.13193068768925861</v>
      </c>
      <c r="BS34">
        <f t="shared" si="25"/>
        <v>-0.16921644947260719</v>
      </c>
      <c r="BT34">
        <f t="shared" si="26"/>
        <v>-5.0313940416856232E-2</v>
      </c>
      <c r="BU34">
        <f t="shared" si="27"/>
        <v>0.15164629188419987</v>
      </c>
      <c r="BV34">
        <f t="shared" si="28"/>
        <v>4.9264760736323084E-2</v>
      </c>
      <c r="BW34">
        <f t="shared" si="29"/>
        <v>7.4451916279492408E-2</v>
      </c>
      <c r="BX34">
        <f t="shared" si="30"/>
        <v>4.6284510203813585E-2</v>
      </c>
      <c r="BY34">
        <f t="shared" si="31"/>
        <v>4.0233570578827149E-2</v>
      </c>
      <c r="BZ34">
        <f t="shared" si="32"/>
        <v>0.40919517602916466</v>
      </c>
      <c r="CA34">
        <f t="shared" si="33"/>
        <v>6.3937762854754485E-2</v>
      </c>
      <c r="CB34">
        <f t="shared" si="34"/>
        <v>0.24045465471346589</v>
      </c>
      <c r="CC34">
        <f t="shared" si="35"/>
        <v>0.16820770349781314</v>
      </c>
      <c r="CD34">
        <f t="shared" si="36"/>
        <v>-0.15250061754906943</v>
      </c>
      <c r="CE34">
        <f t="shared" si="37"/>
        <v>0.15254524054483759</v>
      </c>
      <c r="CG34">
        <f t="shared" si="41"/>
        <v>0.99999999999999944</v>
      </c>
      <c r="CH34">
        <f t="shared" si="42"/>
        <v>0.99999999999999978</v>
      </c>
      <c r="CJ34">
        <f>SUMPRODUCT(AS34:CE34,'PC1'!AS34:CE34)</f>
        <v>-0.17870462722993088</v>
      </c>
      <c r="CK34" s="1" t="s">
        <v>35</v>
      </c>
      <c r="CM34">
        <f>SUMPRODUCT(AS34:CE34,'PC2'!AS34:CE34)</f>
        <v>-0.22367373737076171</v>
      </c>
      <c r="CN34">
        <f t="shared" si="43"/>
        <v>0.22367373737076171</v>
      </c>
      <c r="CO34">
        <f t="shared" si="44"/>
        <v>0.227519999874852</v>
      </c>
      <c r="CS34" t="s">
        <v>116</v>
      </c>
      <c r="CT34">
        <f t="shared" si="45"/>
        <v>0.17870462722993088</v>
      </c>
      <c r="CU34">
        <f t="shared" si="46"/>
        <v>0.18064426211605006</v>
      </c>
      <c r="CV34">
        <f t="shared" si="47"/>
        <v>0.22367373737076171</v>
      </c>
      <c r="CW34">
        <f t="shared" si="48"/>
        <v>0.227519999874852</v>
      </c>
      <c r="CX34">
        <v>0.10687162438252686</v>
      </c>
      <c r="CY34">
        <v>0.10728131530755748</v>
      </c>
      <c r="CZ34">
        <v>0.21154713488937799</v>
      </c>
      <c r="DA34">
        <v>0.21479040951295988</v>
      </c>
    </row>
    <row r="35" spans="1:105" x14ac:dyDescent="0.25">
      <c r="A35" s="1" t="s">
        <v>36</v>
      </c>
      <c r="B35">
        <v>6.67655770009647E-3</v>
      </c>
      <c r="C35">
        <v>5.3727761489101101E-3</v>
      </c>
      <c r="D35">
        <v>-2.5604524346056401E-3</v>
      </c>
      <c r="E35">
        <v>2.2298859203365901E-2</v>
      </c>
      <c r="F35">
        <v>1.6081191504695901E-2</v>
      </c>
      <c r="G35">
        <v>1.6980151070052399E-3</v>
      </c>
      <c r="H35">
        <v>2.6532591840054E-2</v>
      </c>
      <c r="I35">
        <v>2.64740697288867E-2</v>
      </c>
      <c r="J35">
        <v>1.1065636419351099E-2</v>
      </c>
      <c r="K35">
        <v>2.4679934744226899E-2</v>
      </c>
      <c r="L35">
        <v>-1.4441587968443199E-2</v>
      </c>
      <c r="M35">
        <v>2.4167325912799599E-3</v>
      </c>
      <c r="N35">
        <v>3.1288556547277101E-2</v>
      </c>
      <c r="O35">
        <v>1.9442696953988699E-2</v>
      </c>
      <c r="P35">
        <v>-3.5004401581379199E-2</v>
      </c>
      <c r="Q35">
        <v>-2.0381280688883101E-3</v>
      </c>
      <c r="R35">
        <v>4.1701325738978702E-2</v>
      </c>
      <c r="S35">
        <v>6.6874294197230497E-2</v>
      </c>
      <c r="T35">
        <v>9.2129555698784605E-3</v>
      </c>
      <c r="U35">
        <v>4.43081329933444E-2</v>
      </c>
      <c r="V35">
        <v>-3.4268905693059799E-2</v>
      </c>
      <c r="W35">
        <v>-9.9328155120156792E-3</v>
      </c>
      <c r="X35">
        <v>-1.41185364436936E-2</v>
      </c>
      <c r="Y35">
        <v>-1.2289707685342301E-2</v>
      </c>
      <c r="Z35">
        <v>-1.02147148850709E-2</v>
      </c>
      <c r="AA35">
        <v>-1.2522241729286999E-3</v>
      </c>
      <c r="AB35">
        <v>-7.5875455519547799E-3</v>
      </c>
      <c r="AC35">
        <v>2.03794929768061E-2</v>
      </c>
      <c r="AD35">
        <v>1.4226455837405101E-2</v>
      </c>
      <c r="AE35">
        <v>-1.3392752517365601E-2</v>
      </c>
      <c r="AF35">
        <v>-5.98890045863823E-3</v>
      </c>
      <c r="AG35">
        <v>1.16706784871834E-2</v>
      </c>
      <c r="AH35">
        <v>-1.3955793637906E-2</v>
      </c>
      <c r="AI35">
        <v>7.4024169669582602E-4</v>
      </c>
      <c r="AJ35">
        <v>3.8953079578426003E-2</v>
      </c>
      <c r="AK35">
        <v>-3.2140933787269399E-2</v>
      </c>
      <c r="AL35">
        <v>7.4781508380318107E-2</v>
      </c>
      <c r="AM35">
        <v>7.6079999807190197E-3</v>
      </c>
      <c r="AN35">
        <v>3.9452278544386203E-2</v>
      </c>
      <c r="AP35">
        <f t="shared" si="38"/>
        <v>2.674359722438106E-2</v>
      </c>
      <c r="AQ35">
        <f t="shared" si="39"/>
        <v>0.16353469731032941</v>
      </c>
      <c r="AS35">
        <f t="shared" si="40"/>
        <v>4.0826551245126838E-2</v>
      </c>
      <c r="AT35">
        <f t="shared" si="0"/>
        <v>3.2854044048612717E-2</v>
      </c>
      <c r="AU35">
        <f t="shared" si="1"/>
        <v>-1.5656936886897049E-2</v>
      </c>
      <c r="AV35">
        <f t="shared" si="2"/>
        <v>0.13635552314045485</v>
      </c>
      <c r="AW35">
        <f t="shared" si="3"/>
        <v>9.8335043077614565E-2</v>
      </c>
      <c r="AX35">
        <f t="shared" si="4"/>
        <v>1.038321001556645E-2</v>
      </c>
      <c r="AY35">
        <f t="shared" si="5"/>
        <v>0.1622444183187913</v>
      </c>
      <c r="AZ35">
        <f t="shared" si="6"/>
        <v>0.16188656086022246</v>
      </c>
      <c r="BA35">
        <f t="shared" si="7"/>
        <v>6.7665373779073584E-2</v>
      </c>
      <c r="BB35">
        <f t="shared" si="8"/>
        <v>0.15091558641768452</v>
      </c>
      <c r="BC35">
        <f t="shared" si="9"/>
        <v>-8.8309014575899542E-2</v>
      </c>
      <c r="BD35">
        <f t="shared" si="10"/>
        <v>1.4778102941016119E-2</v>
      </c>
      <c r="BE35">
        <f t="shared" si="11"/>
        <v>0.19132671574829649</v>
      </c>
      <c r="BF35">
        <f t="shared" si="12"/>
        <v>0.11889034727042377</v>
      </c>
      <c r="BG35">
        <f t="shared" si="13"/>
        <v>-0.21404877470714101</v>
      </c>
      <c r="BH35">
        <f t="shared" si="14"/>
        <v>-1.2462970258970082E-2</v>
      </c>
      <c r="BI35">
        <f t="shared" si="15"/>
        <v>0.25499986501240618</v>
      </c>
      <c r="BJ35">
        <f t="shared" si="16"/>
        <v>0.40893030835118371</v>
      </c>
      <c r="BK35">
        <f t="shared" si="17"/>
        <v>5.6336396626555769E-2</v>
      </c>
      <c r="BL35">
        <f t="shared" si="18"/>
        <v>0.27094025746269412</v>
      </c>
      <c r="BM35">
        <f t="shared" si="19"/>
        <v>-0.20955128334649298</v>
      </c>
      <c r="BN35">
        <f t="shared" si="20"/>
        <v>-6.0738275579321287E-2</v>
      </c>
      <c r="BO35">
        <f t="shared" si="21"/>
        <v>-8.6333583489635532E-2</v>
      </c>
      <c r="BP35">
        <f t="shared" si="22"/>
        <v>-7.5150459734064284E-2</v>
      </c>
      <c r="BQ35">
        <f t="shared" si="23"/>
        <v>-6.2462064950577947E-2</v>
      </c>
      <c r="BR35">
        <f t="shared" si="24"/>
        <v>-7.6572384547386515E-3</v>
      </c>
      <c r="BS35">
        <f t="shared" si="25"/>
        <v>-4.6397160215830999E-2</v>
      </c>
      <c r="BT35">
        <f t="shared" si="26"/>
        <v>0.12461877089076229</v>
      </c>
      <c r="BU35">
        <f t="shared" si="27"/>
        <v>8.6993500898518553E-2</v>
      </c>
      <c r="BV35">
        <f t="shared" si="28"/>
        <v>-8.1895479905105553E-2</v>
      </c>
      <c r="BW35">
        <f t="shared" si="29"/>
        <v>-3.662158891744835E-2</v>
      </c>
      <c r="BX35">
        <f t="shared" si="30"/>
        <v>7.1365151733131557E-2</v>
      </c>
      <c r="BY35">
        <f t="shared" si="31"/>
        <v>-8.5338425835240192E-2</v>
      </c>
      <c r="BZ35">
        <f t="shared" si="32"/>
        <v>4.5265115530260611E-3</v>
      </c>
      <c r="CA35">
        <f t="shared" si="33"/>
        <v>0.23819458634217067</v>
      </c>
      <c r="CB35">
        <f t="shared" si="34"/>
        <v>-0.1965389260866004</v>
      </c>
      <c r="CC35">
        <f t="shared" si="35"/>
        <v>0.45728221356236093</v>
      </c>
      <c r="CD35">
        <f t="shared" si="36"/>
        <v>4.6522237212337891E-2</v>
      </c>
      <c r="CE35">
        <f t="shared" si="37"/>
        <v>0.24124714322563681</v>
      </c>
      <c r="CG35">
        <f t="shared" si="41"/>
        <v>1</v>
      </c>
      <c r="CH35">
        <f t="shared" si="42"/>
        <v>1</v>
      </c>
      <c r="CJ35">
        <f>SUMPRODUCT(AS35:CE35,'PC1'!AS35:CE35)</f>
        <v>0.29173919710654328</v>
      </c>
      <c r="CK35" s="1" t="s">
        <v>36</v>
      </c>
      <c r="CM35">
        <f>SUMPRODUCT(AS35:CE35,'PC2'!AS35:CE35)</f>
        <v>-0.19605649788078194</v>
      </c>
      <c r="CN35">
        <f t="shared" si="43"/>
        <v>0.19605649788078194</v>
      </c>
      <c r="CO35">
        <f t="shared" si="44"/>
        <v>0.19862808835587822</v>
      </c>
      <c r="CS35" t="s">
        <v>116</v>
      </c>
      <c r="CT35">
        <f t="shared" si="45"/>
        <v>0.29173919710654328</v>
      </c>
      <c r="CU35">
        <f t="shared" si="46"/>
        <v>0.30046620630449289</v>
      </c>
      <c r="CV35">
        <f t="shared" si="47"/>
        <v>0.19605649788078194</v>
      </c>
      <c r="CW35">
        <f t="shared" si="48"/>
        <v>0.19862808835587822</v>
      </c>
      <c r="CX35">
        <v>0.2763843729680992</v>
      </c>
      <c r="CY35">
        <v>0.28376315087955789</v>
      </c>
      <c r="CZ35">
        <v>0.30129956537788455</v>
      </c>
      <c r="DA35">
        <v>0.31094831109488491</v>
      </c>
    </row>
    <row r="36" spans="1:105" x14ac:dyDescent="0.25">
      <c r="A36" s="1" t="s">
        <v>37</v>
      </c>
      <c r="B36">
        <v>2.63361307285358E-2</v>
      </c>
      <c r="C36">
        <v>7.7236117851797806E-2</v>
      </c>
      <c r="D36">
        <v>0.103959334728918</v>
      </c>
      <c r="E36">
        <v>6.7213812845991094E-2</v>
      </c>
      <c r="F36">
        <v>7.8049975805782199E-2</v>
      </c>
      <c r="G36">
        <v>8.9314712154598602E-2</v>
      </c>
      <c r="H36">
        <v>2.6656951822531999E-2</v>
      </c>
      <c r="I36">
        <v>3.1467810819719499E-2</v>
      </c>
      <c r="J36">
        <v>5.9620647624359702E-2</v>
      </c>
      <c r="K36">
        <v>3.04383512196667E-2</v>
      </c>
      <c r="L36">
        <v>3.9039320914029702E-2</v>
      </c>
      <c r="M36">
        <v>8.0449547602893606E-2</v>
      </c>
      <c r="N36">
        <v>4.9401797485163303E-2</v>
      </c>
      <c r="O36">
        <v>9.8322226384297703E-2</v>
      </c>
      <c r="P36">
        <v>5.4886655049066202E-2</v>
      </c>
      <c r="Q36">
        <v>1.67858965082423E-2</v>
      </c>
      <c r="R36">
        <v>3.8076602932996299E-2</v>
      </c>
      <c r="S36">
        <v>6.4571843085751798E-2</v>
      </c>
      <c r="T36">
        <v>9.9739692550267697E-2</v>
      </c>
      <c r="U36">
        <v>-1.50490083362827E-2</v>
      </c>
      <c r="V36">
        <v>3.19720358251834E-3</v>
      </c>
      <c r="W36">
        <v>0.10418923330193</v>
      </c>
      <c r="X36">
        <v>3.44508540715949E-2</v>
      </c>
      <c r="Y36">
        <v>4.8913968633673401E-2</v>
      </c>
      <c r="Z36">
        <v>0.120095408309568</v>
      </c>
      <c r="AA36">
        <v>3.4342699168600402E-2</v>
      </c>
      <c r="AB36">
        <v>1.8697770899871E-2</v>
      </c>
      <c r="AC36">
        <v>2.52388399189118E-2</v>
      </c>
      <c r="AD36">
        <v>3.83235193978088E-2</v>
      </c>
      <c r="AE36">
        <v>1.2485078209710299E-3</v>
      </c>
      <c r="AF36">
        <v>5.7362582868265503E-2</v>
      </c>
      <c r="AG36">
        <v>4.0764842448799403E-2</v>
      </c>
      <c r="AH36">
        <v>0.119441036449892</v>
      </c>
      <c r="AI36">
        <v>7.9385595861979297E-2</v>
      </c>
      <c r="AJ36">
        <v>0.22975532217227601</v>
      </c>
      <c r="AK36">
        <v>2.1095094096173401E-2</v>
      </c>
      <c r="AL36">
        <v>5.8871646875232303E-2</v>
      </c>
      <c r="AM36">
        <v>1.6850489357848299E-2</v>
      </c>
      <c r="AN36">
        <v>1.38545669925286E-3</v>
      </c>
      <c r="AP36">
        <f t="shared" si="38"/>
        <v>0.19643618746585007</v>
      </c>
      <c r="AQ36">
        <f t="shared" si="39"/>
        <v>0.44321122217950448</v>
      </c>
      <c r="AS36">
        <f t="shared" si="40"/>
        <v>5.9421173044822931E-2</v>
      </c>
      <c r="AT36">
        <f t="shared" si="0"/>
        <v>0.17426480645500553</v>
      </c>
      <c r="AU36">
        <f t="shared" si="1"/>
        <v>0.23455934670989342</v>
      </c>
      <c r="AV36">
        <f t="shared" si="2"/>
        <v>0.15165187495809596</v>
      </c>
      <c r="AW36">
        <f t="shared" si="3"/>
        <v>0.1761010820573746</v>
      </c>
      <c r="AX36">
        <f t="shared" si="4"/>
        <v>0.20151726239103521</v>
      </c>
      <c r="AY36">
        <f t="shared" si="5"/>
        <v>6.0145029025767079E-2</v>
      </c>
      <c r="AZ36">
        <f t="shared" si="6"/>
        <v>7.0999580437010587E-2</v>
      </c>
      <c r="BA36">
        <f t="shared" si="7"/>
        <v>0.13451971574901325</v>
      </c>
      <c r="BB36">
        <f t="shared" si="8"/>
        <v>6.8676851344118037E-2</v>
      </c>
      <c r="BC36">
        <f t="shared" si="9"/>
        <v>8.8082880036413944E-2</v>
      </c>
      <c r="BD36">
        <f t="shared" si="10"/>
        <v>0.18151514126217413</v>
      </c>
      <c r="BE36">
        <f t="shared" si="11"/>
        <v>0.11146332721953311</v>
      </c>
      <c r="BF36">
        <f t="shared" si="12"/>
        <v>0.22184056148396966</v>
      </c>
      <c r="BG36">
        <f t="shared" si="13"/>
        <v>0.12383859501381628</v>
      </c>
      <c r="BH36">
        <f t="shared" si="14"/>
        <v>3.7873356242419019E-2</v>
      </c>
      <c r="BI36">
        <f t="shared" si="15"/>
        <v>8.5910737426172251E-2</v>
      </c>
      <c r="BJ36">
        <f t="shared" si="16"/>
        <v>0.14569090278945968</v>
      </c>
      <c r="BK36">
        <f t="shared" si="17"/>
        <v>0.22503873448825318</v>
      </c>
      <c r="BL36">
        <f t="shared" si="18"/>
        <v>-3.395448396427949E-2</v>
      </c>
      <c r="BM36">
        <f t="shared" si="19"/>
        <v>7.2137243429802964E-3</v>
      </c>
      <c r="BN36">
        <f t="shared" si="20"/>
        <v>0.23507805779279758</v>
      </c>
      <c r="BO36">
        <f t="shared" si="21"/>
        <v>7.7730103272615231E-2</v>
      </c>
      <c r="BP36">
        <f t="shared" si="22"/>
        <v>0.11036265822227491</v>
      </c>
      <c r="BQ36">
        <f t="shared" si="23"/>
        <v>0.27096653311031976</v>
      </c>
      <c r="BR36">
        <f t="shared" si="24"/>
        <v>7.7486077630704267E-2</v>
      </c>
      <c r="BS36">
        <f t="shared" si="25"/>
        <v>4.2187043026402062E-2</v>
      </c>
      <c r="BT36">
        <f t="shared" si="26"/>
        <v>5.6945399069091816E-2</v>
      </c>
      <c r="BU36">
        <f t="shared" si="27"/>
        <v>8.6467845307146657E-2</v>
      </c>
      <c r="BV36">
        <f t="shared" si="28"/>
        <v>2.8169589543140519E-3</v>
      </c>
      <c r="BW36">
        <f t="shared" si="29"/>
        <v>0.12942493329971042</v>
      </c>
      <c r="BX36">
        <f t="shared" si="30"/>
        <v>9.1976106219371134E-2</v>
      </c>
      <c r="BY36">
        <f t="shared" si="31"/>
        <v>0.26949009969228016</v>
      </c>
      <c r="BZ36">
        <f t="shared" si="32"/>
        <v>0.17911458891225326</v>
      </c>
      <c r="CA36">
        <f t="shared" si="33"/>
        <v>0.51838787168440215</v>
      </c>
      <c r="CB36">
        <f t="shared" si="34"/>
        <v>4.7596028801882864E-2</v>
      </c>
      <c r="CC36">
        <f t="shared" si="35"/>
        <v>0.13282977489994321</v>
      </c>
      <c r="CD36">
        <f t="shared" si="36"/>
        <v>3.8019094541391601E-2</v>
      </c>
      <c r="CE36">
        <f t="shared" si="37"/>
        <v>3.1259513070085072E-3</v>
      </c>
      <c r="CG36">
        <f t="shared" si="41"/>
        <v>1</v>
      </c>
      <c r="CH36">
        <f t="shared" si="42"/>
        <v>1</v>
      </c>
      <c r="CJ36">
        <f>SUMPRODUCT(AS36:CE36,'PC1'!AS36:CE36)</f>
        <v>0.80432250636186908</v>
      </c>
      <c r="CK36" s="1" t="s">
        <v>37</v>
      </c>
      <c r="CM36">
        <f>SUMPRODUCT(AS36:CE36,'PC2'!AS36:CE36)</f>
        <v>-0.29135265133687915</v>
      </c>
      <c r="CN36">
        <f t="shared" si="43"/>
        <v>0.29135265133687915</v>
      </c>
      <c r="CO36">
        <f t="shared" si="44"/>
        <v>0.30004375235325864</v>
      </c>
      <c r="CS36" t="s">
        <v>116</v>
      </c>
      <c r="CT36">
        <f t="shared" si="45"/>
        <v>0.80432250636186908</v>
      </c>
      <c r="CU36">
        <f t="shared" si="46"/>
        <v>1.1107362970939869</v>
      </c>
      <c r="CV36">
        <f t="shared" si="47"/>
        <v>0.29135265133687915</v>
      </c>
      <c r="CW36">
        <f t="shared" si="48"/>
        <v>0.30004375235325864</v>
      </c>
      <c r="CX36">
        <v>0.37150837909055118</v>
      </c>
      <c r="CY36">
        <v>0.39017186186960456</v>
      </c>
      <c r="CZ36">
        <v>5.5927538302080901E-2</v>
      </c>
      <c r="DA36">
        <v>5.5985959703445977E-2</v>
      </c>
    </row>
    <row r="37" spans="1:105" x14ac:dyDescent="0.25">
      <c r="A37" s="1" t="s">
        <v>38</v>
      </c>
      <c r="B37">
        <v>5.0813596832255302E-2</v>
      </c>
      <c r="C37">
        <v>0.249598794226946</v>
      </c>
      <c r="D37">
        <v>0.42582897519443003</v>
      </c>
      <c r="E37">
        <v>0.42431545340673799</v>
      </c>
      <c r="F37">
        <v>0.342153010645453</v>
      </c>
      <c r="G37">
        <v>0.30170874670907699</v>
      </c>
      <c r="H37">
        <v>0.22123787263491301</v>
      </c>
      <c r="I37">
        <v>0.17881688496115</v>
      </c>
      <c r="J37">
        <v>0.14274626119050501</v>
      </c>
      <c r="K37">
        <v>0.14089673089989899</v>
      </c>
      <c r="L37">
        <v>5.8676584787946899E-2</v>
      </c>
      <c r="M37">
        <v>0.160396308838717</v>
      </c>
      <c r="N37">
        <v>0.105167499793288</v>
      </c>
      <c r="O37">
        <v>0.18451628054722999</v>
      </c>
      <c r="P37">
        <v>6.5138907123487202E-2</v>
      </c>
      <c r="Q37">
        <v>6.1953918524648599E-2</v>
      </c>
      <c r="R37">
        <v>0.12622285624093299</v>
      </c>
      <c r="S37">
        <v>0.13923482649840599</v>
      </c>
      <c r="T37">
        <v>0.14720430122213601</v>
      </c>
      <c r="U37">
        <v>-4.9832764316220003E-3</v>
      </c>
      <c r="V37">
        <v>6.3697336093496801E-2</v>
      </c>
      <c r="W37">
        <v>0.27965877098846298</v>
      </c>
      <c r="X37">
        <v>0.12855442633505201</v>
      </c>
      <c r="Y37">
        <v>0.164056706266516</v>
      </c>
      <c r="Z37">
        <v>0.16202973246701999</v>
      </c>
      <c r="AA37">
        <v>0.17168113247755201</v>
      </c>
      <c r="AB37">
        <v>0.10337816849045101</v>
      </c>
      <c r="AC37">
        <v>3.4430980706581203E-2</v>
      </c>
      <c r="AD37">
        <v>0.106017604038336</v>
      </c>
      <c r="AE37">
        <v>4.2344596682837701E-2</v>
      </c>
      <c r="AF37">
        <v>0.169947931050727</v>
      </c>
      <c r="AG37">
        <v>8.2312811993657295E-2</v>
      </c>
      <c r="AH37">
        <v>0.14606719613729199</v>
      </c>
      <c r="AI37">
        <v>0.103010351081431</v>
      </c>
      <c r="AJ37">
        <v>-1.7289958542728499E-2</v>
      </c>
      <c r="AK37">
        <v>0.11345342399858201</v>
      </c>
      <c r="AL37">
        <v>0.116066472843845</v>
      </c>
      <c r="AM37">
        <v>0.10479133583981901</v>
      </c>
      <c r="AN37">
        <v>4.3664290078054599E-2</v>
      </c>
      <c r="AP37">
        <f t="shared" si="38"/>
        <v>1.2083475401300954</v>
      </c>
      <c r="AQ37">
        <f t="shared" si="39"/>
        <v>1.0992486252573144</v>
      </c>
      <c r="AS37">
        <f t="shared" si="40"/>
        <v>4.6225754269522738E-2</v>
      </c>
      <c r="AT37">
        <f t="shared" si="0"/>
        <v>0.22706309427361748</v>
      </c>
      <c r="AU37">
        <f t="shared" si="1"/>
        <v>0.38738185830776101</v>
      </c>
      <c r="AV37">
        <f t="shared" si="2"/>
        <v>0.38600498891450818</v>
      </c>
      <c r="AW37">
        <f t="shared" si="3"/>
        <v>0.31126080377436099</v>
      </c>
      <c r="AX37">
        <f t="shared" si="4"/>
        <v>0.27446815922872081</v>
      </c>
      <c r="AY37">
        <f t="shared" si="5"/>
        <v>0.20126281493699863</v>
      </c>
      <c r="AZ37">
        <f t="shared" si="6"/>
        <v>0.16267192048504239</v>
      </c>
      <c r="BA37">
        <f t="shared" si="7"/>
        <v>0.12985803021322012</v>
      </c>
      <c r="BB37">
        <f t="shared" si="8"/>
        <v>0.12817548975048079</v>
      </c>
      <c r="BC37">
        <f t="shared" si="9"/>
        <v>5.3378811162226168E-2</v>
      </c>
      <c r="BD37">
        <f t="shared" si="10"/>
        <v>0.14591449573218351</v>
      </c>
      <c r="BE37">
        <f t="shared" si="11"/>
        <v>9.5672168585764827E-2</v>
      </c>
      <c r="BF37">
        <f t="shared" si="12"/>
        <v>0.16785673077738719</v>
      </c>
      <c r="BG37">
        <f t="shared" si="13"/>
        <v>5.9257665305916897E-2</v>
      </c>
      <c r="BH37">
        <f t="shared" si="14"/>
        <v>5.6360241988154682E-2</v>
      </c>
      <c r="BI37">
        <f t="shared" si="15"/>
        <v>0.11482648541988077</v>
      </c>
      <c r="BJ37">
        <f t="shared" si="16"/>
        <v>0.12666363486769303</v>
      </c>
      <c r="BK37">
        <f t="shared" si="17"/>
        <v>0.13391356408353763</v>
      </c>
      <c r="BL37">
        <f t="shared" si="18"/>
        <v>-4.5333478861122115E-3</v>
      </c>
      <c r="BM37">
        <f t="shared" si="19"/>
        <v>5.7946250402256719E-2</v>
      </c>
      <c r="BN37">
        <f t="shared" si="20"/>
        <v>0.25440902500378371</v>
      </c>
      <c r="BO37">
        <f t="shared" si="21"/>
        <v>0.11694754342309023</v>
      </c>
      <c r="BP37">
        <f t="shared" si="22"/>
        <v>0.14924440431127514</v>
      </c>
      <c r="BQ37">
        <f t="shared" si="23"/>
        <v>0.14740044130516128</v>
      </c>
      <c r="BR37">
        <f t="shared" si="24"/>
        <v>0.15618043864950437</v>
      </c>
      <c r="BS37">
        <f t="shared" si="25"/>
        <v>9.4044391882911874E-2</v>
      </c>
      <c r="BT37">
        <f t="shared" si="26"/>
        <v>3.1322286801606439E-2</v>
      </c>
      <c r="BU37">
        <f t="shared" si="27"/>
        <v>9.6445518877514347E-2</v>
      </c>
      <c r="BV37">
        <f t="shared" si="28"/>
        <v>3.8521400627565573E-2</v>
      </c>
      <c r="BW37">
        <f t="shared" si="29"/>
        <v>0.1546037239855044</v>
      </c>
      <c r="BX37">
        <f t="shared" si="30"/>
        <v>7.4880977881040645E-2</v>
      </c>
      <c r="BY37">
        <f t="shared" si="31"/>
        <v>0.13287912559645029</v>
      </c>
      <c r="BZ37">
        <f t="shared" si="32"/>
        <v>9.3709783860150955E-2</v>
      </c>
      <c r="CA37">
        <f t="shared" si="33"/>
        <v>-1.5728888029021851E-2</v>
      </c>
      <c r="CB37">
        <f t="shared" si="34"/>
        <v>0.10320997578871167</v>
      </c>
      <c r="CC37">
        <f t="shared" si="35"/>
        <v>0.10558709847526616</v>
      </c>
      <c r="CD37">
        <f t="shared" si="36"/>
        <v>9.5329967608819371E-2</v>
      </c>
      <c r="CE37">
        <f t="shared" si="37"/>
        <v>3.9721941947240165E-2</v>
      </c>
      <c r="CG37">
        <f t="shared" si="41"/>
        <v>0.99999999999999989</v>
      </c>
      <c r="CH37">
        <f t="shared" si="42"/>
        <v>1</v>
      </c>
      <c r="CJ37">
        <f>SUMPRODUCT(AS37:CE37,'PC1'!AS37:CE37)</f>
        <v>0.96391323763135039</v>
      </c>
      <c r="CK37" s="1" t="s">
        <v>38</v>
      </c>
      <c r="CM37">
        <f>SUMPRODUCT(AS37:CE37,'PC2'!AS37:CE37)</f>
        <v>9.5199029079978681E-2</v>
      </c>
      <c r="CN37">
        <f t="shared" si="43"/>
        <v>9.5199029079978681E-2</v>
      </c>
      <c r="CO37">
        <f t="shared" si="44"/>
        <v>9.5488194786267772E-2</v>
      </c>
      <c r="CS37" t="s">
        <v>116</v>
      </c>
      <c r="CT37">
        <f t="shared" si="45"/>
        <v>0.96391323763135039</v>
      </c>
      <c r="CU37">
        <f t="shared" si="46"/>
        <v>1.9983841034393288</v>
      </c>
      <c r="CV37">
        <f t="shared" si="47"/>
        <v>9.5199029079978681E-2</v>
      </c>
      <c r="CW37">
        <f t="shared" si="48"/>
        <v>9.5488194786267772E-2</v>
      </c>
      <c r="CX37">
        <v>9.2973070782338449E-2</v>
      </c>
      <c r="CY37">
        <v>9.3242354938832428E-2</v>
      </c>
      <c r="CZ37">
        <v>3.9774187253564457E-2</v>
      </c>
      <c r="DA37">
        <v>3.9795181253254638E-2</v>
      </c>
    </row>
    <row r="38" spans="1:105" x14ac:dyDescent="0.25">
      <c r="A38" s="1" t="s">
        <v>39</v>
      </c>
      <c r="B38">
        <v>4.3636791004689E-2</v>
      </c>
      <c r="C38">
        <v>0.114357483672302</v>
      </c>
      <c r="D38">
        <v>0.108259942429437</v>
      </c>
      <c r="E38">
        <v>9.2115296903016994E-2</v>
      </c>
      <c r="F38">
        <v>7.2116813934823595E-2</v>
      </c>
      <c r="G38">
        <v>7.5217989994849702E-2</v>
      </c>
      <c r="H38">
        <v>1.01809432472879E-2</v>
      </c>
      <c r="I38">
        <v>4.8023843708334402E-2</v>
      </c>
      <c r="J38">
        <v>4.7081022135427898E-2</v>
      </c>
      <c r="K38">
        <v>0.12764808329341201</v>
      </c>
      <c r="L38">
        <v>2.2873368490947801E-2</v>
      </c>
      <c r="M38">
        <v>5.3333757336512702E-2</v>
      </c>
      <c r="N38">
        <v>5.3975669259355097E-2</v>
      </c>
      <c r="O38">
        <v>3.4141592088787101E-2</v>
      </c>
      <c r="P38">
        <v>3.91428108021879E-2</v>
      </c>
      <c r="Q38">
        <v>-2.9484906710477302E-3</v>
      </c>
      <c r="R38">
        <v>4.2583716245067203E-2</v>
      </c>
      <c r="S38">
        <v>5.4632332182749897E-2</v>
      </c>
      <c r="T38">
        <v>5.8900498136697399E-2</v>
      </c>
      <c r="U38">
        <v>-2.9899737027724001E-3</v>
      </c>
      <c r="V38">
        <v>2.14606878128292E-3</v>
      </c>
      <c r="W38">
        <v>7.0973636763803402E-2</v>
      </c>
      <c r="X38">
        <v>2.3929161996917902E-3</v>
      </c>
      <c r="Y38">
        <v>7.8993534471240405E-3</v>
      </c>
      <c r="Z38">
        <v>2.57869350523935E-2</v>
      </c>
      <c r="AA38">
        <v>6.4140919823830796E-3</v>
      </c>
      <c r="AB38">
        <v>2.5845354496008E-2</v>
      </c>
      <c r="AC38">
        <v>2.12919500237773E-2</v>
      </c>
      <c r="AD38">
        <v>5.7914249366840503E-2</v>
      </c>
      <c r="AE38">
        <v>2.8075466812313401E-2</v>
      </c>
      <c r="AF38">
        <v>6.1441291510056097E-2</v>
      </c>
      <c r="AG38">
        <v>6.4668966694901006E-2</v>
      </c>
      <c r="AH38">
        <v>5.81895386443032E-2</v>
      </c>
      <c r="AI38">
        <v>3.2927313399849098E-2</v>
      </c>
      <c r="AJ38">
        <v>-3.81034669009329E-2</v>
      </c>
      <c r="AK38">
        <v>4.3038771959623003E-2</v>
      </c>
      <c r="AL38">
        <v>9.6588044003405801E-2</v>
      </c>
      <c r="AM38">
        <v>5.5896440901969997E-2</v>
      </c>
      <c r="AN38">
        <v>1.1016287514200499E-2</v>
      </c>
      <c r="AP38">
        <f t="shared" si="38"/>
        <v>0.12361653853091599</v>
      </c>
      <c r="AQ38">
        <f t="shared" si="39"/>
        <v>0.35159143694196532</v>
      </c>
      <c r="AS38">
        <f t="shared" si="40"/>
        <v>0.12411221212959124</v>
      </c>
      <c r="AT38">
        <f t="shared" si="0"/>
        <v>0.3252567373851547</v>
      </c>
      <c r="AU38">
        <f t="shared" si="1"/>
        <v>0.30791404754065921</v>
      </c>
      <c r="AV38">
        <f t="shared" si="2"/>
        <v>0.26199527981741433</v>
      </c>
      <c r="AW38">
        <f t="shared" si="3"/>
        <v>0.20511538779804642</v>
      </c>
      <c r="AX38">
        <f t="shared" si="4"/>
        <v>0.21393578481055384</v>
      </c>
      <c r="AY38">
        <f t="shared" si="5"/>
        <v>2.8956744043138898E-2</v>
      </c>
      <c r="AZ38">
        <f t="shared" si="6"/>
        <v>0.13658991278636104</v>
      </c>
      <c r="BA38">
        <f t="shared" si="7"/>
        <v>0.13390832992101348</v>
      </c>
      <c r="BB38">
        <f t="shared" si="8"/>
        <v>0.36305799823697632</v>
      </c>
      <c r="BC38">
        <f t="shared" si="9"/>
        <v>6.5056671146184214E-2</v>
      </c>
      <c r="BD38">
        <f t="shared" si="10"/>
        <v>0.15169242402600414</v>
      </c>
      <c r="BE38">
        <f t="shared" si="11"/>
        <v>0.15351815655358089</v>
      </c>
      <c r="BF38">
        <f t="shared" si="12"/>
        <v>9.7105869203585327E-2</v>
      </c>
      <c r="BG38">
        <f t="shared" si="13"/>
        <v>0.11133038717506911</v>
      </c>
      <c r="BH38">
        <f t="shared" si="14"/>
        <v>-8.3861276505844372E-3</v>
      </c>
      <c r="BI38">
        <f t="shared" si="15"/>
        <v>0.12111704601069734</v>
      </c>
      <c r="BJ38">
        <f t="shared" si="16"/>
        <v>0.15538584402943711</v>
      </c>
      <c r="BK38">
        <f t="shared" si="17"/>
        <v>0.16752540576356437</v>
      </c>
      <c r="BL38">
        <f t="shared" si="18"/>
        <v>-8.5041141183024131E-3</v>
      </c>
      <c r="BM38">
        <f t="shared" si="19"/>
        <v>6.1038710155991542E-3</v>
      </c>
      <c r="BN38">
        <f t="shared" si="20"/>
        <v>0.20186395146909825</v>
      </c>
      <c r="BO38">
        <f t="shared" si="21"/>
        <v>6.8059569951550661E-3</v>
      </c>
      <c r="BP38">
        <f t="shared" si="22"/>
        <v>2.2467422744507654E-2</v>
      </c>
      <c r="BQ38">
        <f t="shared" si="23"/>
        <v>7.3343467283163571E-2</v>
      </c>
      <c r="BR38">
        <f t="shared" si="24"/>
        <v>1.8243026730602109E-2</v>
      </c>
      <c r="BS38">
        <f t="shared" si="25"/>
        <v>7.3509624468681548E-2</v>
      </c>
      <c r="BT38">
        <f t="shared" si="26"/>
        <v>6.0558784391816146E-2</v>
      </c>
      <c r="BU38">
        <f t="shared" si="27"/>
        <v>0.16472030681566341</v>
      </c>
      <c r="BV38">
        <f t="shared" si="28"/>
        <v>7.9852532975504792E-2</v>
      </c>
      <c r="BW38">
        <f t="shared" si="29"/>
        <v>0.17475195654494216</v>
      </c>
      <c r="BX38">
        <f t="shared" si="30"/>
        <v>0.18393214367611418</v>
      </c>
      <c r="BY38">
        <f t="shared" si="31"/>
        <v>0.16550328742479622</v>
      </c>
      <c r="BZ38">
        <f t="shared" si="32"/>
        <v>9.3652205202267691E-2</v>
      </c>
      <c r="CA38">
        <f t="shared" si="33"/>
        <v>-0.1083742745055033</v>
      </c>
      <c r="CB38">
        <f t="shared" si="34"/>
        <v>0.12241132017878781</v>
      </c>
      <c r="CC38">
        <f t="shared" si="35"/>
        <v>0.27471671336338288</v>
      </c>
      <c r="CD38">
        <f t="shared" si="36"/>
        <v>0.15898123511806808</v>
      </c>
      <c r="CE38">
        <f t="shared" si="37"/>
        <v>3.1332638843587307E-2</v>
      </c>
      <c r="CG38">
        <f t="shared" si="41"/>
        <v>0.99999999999999978</v>
      </c>
      <c r="CH38">
        <f t="shared" si="42"/>
        <v>0.99999999999999989</v>
      </c>
      <c r="CJ38">
        <f>SUMPRODUCT(AS38:CE38,'PC1'!AS38:CE38)</f>
        <v>0.8612572183280669</v>
      </c>
      <c r="CK38" s="1" t="s">
        <v>39</v>
      </c>
      <c r="CM38">
        <f>SUMPRODUCT(AS38:CE38,'PC2'!AS38:CE38)</f>
        <v>-0.11505909108078197</v>
      </c>
      <c r="CN38">
        <f t="shared" si="43"/>
        <v>0.11505909108078197</v>
      </c>
      <c r="CO38">
        <f t="shared" si="44"/>
        <v>0.11557090288951206</v>
      </c>
      <c r="CS38" t="s">
        <v>116</v>
      </c>
      <c r="CT38">
        <f t="shared" si="45"/>
        <v>0.8612572183280669</v>
      </c>
      <c r="CU38">
        <f t="shared" si="46"/>
        <v>1.2981928674593655</v>
      </c>
      <c r="CV38">
        <f t="shared" si="47"/>
        <v>0.11505909108078197</v>
      </c>
      <c r="CW38">
        <f t="shared" si="48"/>
        <v>0.11557090288951206</v>
      </c>
      <c r="CX38">
        <v>0.25506558417395492</v>
      </c>
      <c r="CY38">
        <v>0.26082346322509609</v>
      </c>
      <c r="CZ38">
        <v>8.4613320015338764E-2</v>
      </c>
      <c r="DA38">
        <v>8.4816119144992611E-2</v>
      </c>
    </row>
    <row r="39" spans="1:105" x14ac:dyDescent="0.25">
      <c r="A39" s="1" t="s">
        <v>40</v>
      </c>
      <c r="B39">
        <v>2.2570116257431001E-2</v>
      </c>
      <c r="C39">
        <v>6.8130871577692695E-2</v>
      </c>
      <c r="D39">
        <v>0.11897521974297701</v>
      </c>
      <c r="E39">
        <v>5.8953174556298803E-2</v>
      </c>
      <c r="F39">
        <v>7.3093063456210999E-2</v>
      </c>
      <c r="G39">
        <v>9.1017685963569406E-2</v>
      </c>
      <c r="H39">
        <v>1.7857554869499501E-2</v>
      </c>
      <c r="I39">
        <v>2.72109762703521E-2</v>
      </c>
      <c r="J39">
        <v>6.3519748749839303E-2</v>
      </c>
      <c r="K39">
        <v>8.3266407059231606E-2</v>
      </c>
      <c r="L39">
        <v>1.8019967341765399E-2</v>
      </c>
      <c r="M39">
        <v>4.3056738166273797E-2</v>
      </c>
      <c r="N39">
        <v>6.9138314474760404E-2</v>
      </c>
      <c r="O39">
        <v>2.07393889642731E-2</v>
      </c>
      <c r="P39">
        <v>-1.0309156076308799E-2</v>
      </c>
      <c r="Q39">
        <v>6.5160916098793804E-3</v>
      </c>
      <c r="R39">
        <v>6.0253404585468601E-2</v>
      </c>
      <c r="S39">
        <v>9.5191627579766902E-2</v>
      </c>
      <c r="T39">
        <v>7.3859824679019498E-2</v>
      </c>
      <c r="U39">
        <v>8.8761345701307195E-3</v>
      </c>
      <c r="V39">
        <v>2.8495141287791799E-2</v>
      </c>
      <c r="W39">
        <v>7.6252834946992906E-2</v>
      </c>
      <c r="X39">
        <v>3.53079380785941E-2</v>
      </c>
      <c r="Y39">
        <v>3.7313931290610503E-2</v>
      </c>
      <c r="Z39">
        <v>6.3376884081825902E-2</v>
      </c>
      <c r="AA39">
        <v>5.63461852916598E-2</v>
      </c>
      <c r="AB39">
        <v>3.17737832736468E-2</v>
      </c>
      <c r="AC39">
        <v>9.54004902671317E-3</v>
      </c>
      <c r="AD39">
        <v>4.0508091617300401E-2</v>
      </c>
      <c r="AE39">
        <v>3.1581840561134798E-2</v>
      </c>
      <c r="AF39">
        <v>6.2179051640881097E-2</v>
      </c>
      <c r="AG39">
        <v>5.6008132334499902E-2</v>
      </c>
      <c r="AH39">
        <v>6.1283344831627201E-2</v>
      </c>
      <c r="AI39">
        <v>2.6984753464354E-2</v>
      </c>
      <c r="AJ39">
        <v>5.4146016128416704E-3</v>
      </c>
      <c r="AK39">
        <v>-1.6008994908184401E-2</v>
      </c>
      <c r="AL39">
        <v>0.15287343892052199</v>
      </c>
      <c r="AM39">
        <v>3.4573337361086101E-2</v>
      </c>
      <c r="AN39">
        <v>4.04168832138629E-2</v>
      </c>
      <c r="AP39">
        <f t="shared" si="38"/>
        <v>0.1323671289367212</v>
      </c>
      <c r="AQ39">
        <f t="shared" si="39"/>
        <v>0.36382293624333417</v>
      </c>
      <c r="AS39">
        <f t="shared" si="40"/>
        <v>6.2035990612575136E-2</v>
      </c>
      <c r="AT39">
        <f t="shared" si="0"/>
        <v>0.18726381651794766</v>
      </c>
      <c r="AU39">
        <f t="shared" si="1"/>
        <v>0.32701407165655799</v>
      </c>
      <c r="AV39">
        <f t="shared" si="2"/>
        <v>0.16203809238917635</v>
      </c>
      <c r="AW39">
        <f t="shared" si="3"/>
        <v>0.20090284634315764</v>
      </c>
      <c r="AX39">
        <f t="shared" si="4"/>
        <v>0.25017028036598116</v>
      </c>
      <c r="AY39">
        <f t="shared" si="5"/>
        <v>4.9083092599626288E-2</v>
      </c>
      <c r="AZ39">
        <f t="shared" si="6"/>
        <v>7.4791810959803529E-2</v>
      </c>
      <c r="BA39">
        <f t="shared" si="7"/>
        <v>0.17458973149333185</v>
      </c>
      <c r="BB39">
        <f t="shared" si="8"/>
        <v>0.22886519447894535</v>
      </c>
      <c r="BC39">
        <f t="shared" si="9"/>
        <v>4.9529497859126671E-2</v>
      </c>
      <c r="BD39">
        <f t="shared" si="10"/>
        <v>0.11834530997648905</v>
      </c>
      <c r="BE39">
        <f t="shared" si="11"/>
        <v>0.19003286375688783</v>
      </c>
      <c r="BF39">
        <f t="shared" si="12"/>
        <v>5.7004072306211233E-2</v>
      </c>
      <c r="BG39">
        <f t="shared" si="13"/>
        <v>-2.8335640910263474E-2</v>
      </c>
      <c r="BH39">
        <f t="shared" si="14"/>
        <v>1.7910062727659506E-2</v>
      </c>
      <c r="BI39">
        <f t="shared" si="15"/>
        <v>0.16561189134367704</v>
      </c>
      <c r="BJ39">
        <f t="shared" si="16"/>
        <v>0.2616427335853842</v>
      </c>
      <c r="BK39">
        <f t="shared" si="17"/>
        <v>0.20301035839483231</v>
      </c>
      <c r="BL39">
        <f t="shared" si="18"/>
        <v>2.4396852660751801E-2</v>
      </c>
      <c r="BM39">
        <f t="shared" si="19"/>
        <v>7.8321453787436629E-2</v>
      </c>
      <c r="BN39">
        <f t="shared" si="20"/>
        <v>0.20958776193261505</v>
      </c>
      <c r="BO39">
        <f t="shared" si="21"/>
        <v>9.7047037339556955E-2</v>
      </c>
      <c r="BP39">
        <f t="shared" si="22"/>
        <v>0.10256068975721196</v>
      </c>
      <c r="BQ39">
        <f t="shared" si="23"/>
        <v>0.17419705512859091</v>
      </c>
      <c r="BR39">
        <f t="shared" si="24"/>
        <v>0.15487254837054587</v>
      </c>
      <c r="BS39">
        <f t="shared" si="25"/>
        <v>8.7333095603394487E-2</v>
      </c>
      <c r="BT39">
        <f t="shared" si="26"/>
        <v>2.6221681143083677E-2</v>
      </c>
      <c r="BU39">
        <f t="shared" si="27"/>
        <v>0.11134012614918688</v>
      </c>
      <c r="BV39">
        <f t="shared" si="28"/>
        <v>8.6805523827700765E-2</v>
      </c>
      <c r="BW39">
        <f t="shared" si="29"/>
        <v>0.17090470513737524</v>
      </c>
      <c r="BX39">
        <f t="shared" si="30"/>
        <v>0.1539433794713817</v>
      </c>
      <c r="BY39">
        <f t="shared" si="31"/>
        <v>0.16844277456614037</v>
      </c>
      <c r="BZ39">
        <f t="shared" si="32"/>
        <v>7.4170017269900482E-2</v>
      </c>
      <c r="CA39">
        <f t="shared" si="33"/>
        <v>1.4882518592011597E-2</v>
      </c>
      <c r="CB39">
        <f t="shared" si="34"/>
        <v>-4.4002159604025551E-2</v>
      </c>
      <c r="CC39">
        <f t="shared" si="35"/>
        <v>0.42018637004863346</v>
      </c>
      <c r="CD39">
        <f t="shared" si="36"/>
        <v>9.5027921323691811E-2</v>
      </c>
      <c r="CE39">
        <f t="shared" si="37"/>
        <v>0.11108943166472343</v>
      </c>
      <c r="CG39">
        <f t="shared" si="41"/>
        <v>1</v>
      </c>
      <c r="CH39">
        <f t="shared" si="42"/>
        <v>1</v>
      </c>
      <c r="CJ39">
        <f>SUMPRODUCT(AS39:CE39,'PC1'!AS39:CE39)</f>
        <v>0.84015886877893731</v>
      </c>
      <c r="CK39" s="1" t="s">
        <v>40</v>
      </c>
      <c r="CM39">
        <f>SUMPRODUCT(AS39:CE39,'PC2'!AS39:CE39)</f>
        <v>-0.13665958258312191</v>
      </c>
      <c r="CN39">
        <f t="shared" si="43"/>
        <v>0.13665958258312191</v>
      </c>
      <c r="CO39">
        <f t="shared" si="44"/>
        <v>0.1375199888822416</v>
      </c>
      <c r="CS39" t="s">
        <v>116</v>
      </c>
      <c r="CT39">
        <f t="shared" si="45"/>
        <v>0.84015886877893731</v>
      </c>
      <c r="CU39">
        <f t="shared" si="46"/>
        <v>1.2217133982597157</v>
      </c>
      <c r="CV39">
        <f t="shared" si="47"/>
        <v>0.13665958258312191</v>
      </c>
      <c r="CW39">
        <f t="shared" si="48"/>
        <v>0.1375199888822416</v>
      </c>
      <c r="CX39">
        <v>3.1467688597660373E-2</v>
      </c>
      <c r="CY39">
        <v>3.1478081369896126E-2</v>
      </c>
      <c r="CZ39">
        <v>0.27121855258525074</v>
      </c>
      <c r="DA39">
        <v>0.27817866019269549</v>
      </c>
    </row>
    <row r="40" spans="1:105" x14ac:dyDescent="0.25">
      <c r="A40" s="1" t="s">
        <v>41</v>
      </c>
      <c r="B40">
        <v>4.3866766498791898E-2</v>
      </c>
      <c r="C40">
        <v>9.2460933208434196E-2</v>
      </c>
      <c r="D40">
        <v>9.9846089241372504E-2</v>
      </c>
      <c r="E40">
        <v>6.9176744323015099E-2</v>
      </c>
      <c r="F40">
        <v>8.0029961527773905E-2</v>
      </c>
      <c r="G40">
        <v>6.3280182072214794E-2</v>
      </c>
      <c r="H40">
        <v>2.01639315263605E-2</v>
      </c>
      <c r="I40">
        <v>3.6366224772116901E-2</v>
      </c>
      <c r="J40">
        <v>6.5747547149403396E-2</v>
      </c>
      <c r="K40">
        <v>0.13615447989784299</v>
      </c>
      <c r="L40">
        <v>3.9095631190777698E-2</v>
      </c>
      <c r="M40">
        <v>4.7406953519171999E-2</v>
      </c>
      <c r="N40">
        <v>2.2108620954876201E-2</v>
      </c>
      <c r="O40">
        <v>6.9241820174173199E-2</v>
      </c>
      <c r="P40">
        <v>8.7811056724166697E-2</v>
      </c>
      <c r="Q40">
        <v>6.2422154812569103E-2</v>
      </c>
      <c r="R40">
        <v>6.55478628336508E-2</v>
      </c>
      <c r="S40">
        <v>7.97993727627756E-2</v>
      </c>
      <c r="T40">
        <v>0.109388535006781</v>
      </c>
      <c r="U40">
        <v>4.54815148019624E-2</v>
      </c>
      <c r="V40">
        <v>4.9018093607243303E-2</v>
      </c>
      <c r="W40">
        <v>0.107099659862157</v>
      </c>
      <c r="X40">
        <v>2.4405310820708799E-2</v>
      </c>
      <c r="Y40">
        <v>1.5834597221996601E-2</v>
      </c>
      <c r="Z40">
        <v>7.8401436066822205E-2</v>
      </c>
      <c r="AA40">
        <v>5.3471586892520601E-2</v>
      </c>
      <c r="AB40">
        <v>5.3073202451196302E-2</v>
      </c>
      <c r="AC40">
        <v>7.7093962379952002E-2</v>
      </c>
      <c r="AD40">
        <v>1.9831907049693499E-2</v>
      </c>
      <c r="AE40">
        <v>5.2627754290033198E-2</v>
      </c>
      <c r="AF40">
        <v>4.8533486931531103E-2</v>
      </c>
      <c r="AG40">
        <v>7.51916976456692E-2</v>
      </c>
      <c r="AH40">
        <v>6.2251957610762097E-2</v>
      </c>
      <c r="AI40">
        <v>1.6417735742673599E-2</v>
      </c>
      <c r="AJ40">
        <v>-5.65297241669182E-3</v>
      </c>
      <c r="AK40">
        <v>2.5866653483520501E-2</v>
      </c>
      <c r="AL40">
        <v>8.9061667495691194E-2</v>
      </c>
      <c r="AM40">
        <v>5.3824016209729701E-2</v>
      </c>
      <c r="AN40">
        <v>3.5230062185908899E-2</v>
      </c>
      <c r="AP40">
        <f t="shared" si="38"/>
        <v>0.16616635383726608</v>
      </c>
      <c r="AQ40">
        <f t="shared" si="39"/>
        <v>0.4076350743462418</v>
      </c>
      <c r="AS40">
        <f t="shared" si="40"/>
        <v>0.10761283623384144</v>
      </c>
      <c r="AT40">
        <f t="shared" si="0"/>
        <v>0.22682281046772401</v>
      </c>
      <c r="AU40">
        <f t="shared" si="1"/>
        <v>0.24493988747534534</v>
      </c>
      <c r="AV40">
        <f t="shared" si="2"/>
        <v>0.16970263030962091</v>
      </c>
      <c r="AW40">
        <f t="shared" si="3"/>
        <v>0.19632746680624721</v>
      </c>
      <c r="AX40">
        <f t="shared" si="4"/>
        <v>0.15523733371987794</v>
      </c>
      <c r="AY40">
        <f t="shared" si="5"/>
        <v>4.9465644139428069E-2</v>
      </c>
      <c r="AZ40">
        <f t="shared" si="6"/>
        <v>8.9212697976101374E-2</v>
      </c>
      <c r="BA40">
        <f t="shared" si="7"/>
        <v>0.16129021099287935</v>
      </c>
      <c r="BB40">
        <f t="shared" si="8"/>
        <v>0.33401070826941287</v>
      </c>
      <c r="BC40">
        <f t="shared" si="9"/>
        <v>9.5908408405431272E-2</v>
      </c>
      <c r="BD40">
        <f t="shared" si="10"/>
        <v>0.11629753302068636</v>
      </c>
      <c r="BE40">
        <f t="shared" si="11"/>
        <v>5.4236306800472533E-2</v>
      </c>
      <c r="BF40">
        <f t="shared" si="12"/>
        <v>0.16986227273308621</v>
      </c>
      <c r="BG40">
        <f t="shared" si="13"/>
        <v>0.21541585170264502</v>
      </c>
      <c r="BH40">
        <f t="shared" si="14"/>
        <v>0.1531324430624148</v>
      </c>
      <c r="BI40">
        <f t="shared" si="15"/>
        <v>0.16080035050657834</v>
      </c>
      <c r="BJ40">
        <f t="shared" si="16"/>
        <v>0.1957617923108223</v>
      </c>
      <c r="BK40">
        <f t="shared" si="17"/>
        <v>0.26834917280417164</v>
      </c>
      <c r="BL40">
        <f t="shared" si="18"/>
        <v>0.11157409571515621</v>
      </c>
      <c r="BM40">
        <f t="shared" si="19"/>
        <v>0.120249940920461</v>
      </c>
      <c r="BN40">
        <f t="shared" si="20"/>
        <v>0.2627341624955154</v>
      </c>
      <c r="BO40">
        <f t="shared" si="21"/>
        <v>5.9870487984503347E-2</v>
      </c>
      <c r="BP40">
        <f t="shared" si="22"/>
        <v>3.88450313000957E-2</v>
      </c>
      <c r="BQ40">
        <f t="shared" si="23"/>
        <v>0.19233240955175679</v>
      </c>
      <c r="BR40">
        <f t="shared" si="24"/>
        <v>0.13117513741494749</v>
      </c>
      <c r="BS40">
        <f t="shared" si="25"/>
        <v>0.13019783083267356</v>
      </c>
      <c r="BT40">
        <f t="shared" si="26"/>
        <v>0.18912494834649346</v>
      </c>
      <c r="BU40">
        <f t="shared" si="27"/>
        <v>4.8651130135206284E-2</v>
      </c>
      <c r="BV40">
        <f t="shared" si="28"/>
        <v>0.12910506872951671</v>
      </c>
      <c r="BW40">
        <f t="shared" si="29"/>
        <v>0.11906111614504293</v>
      </c>
      <c r="BX40">
        <f t="shared" si="30"/>
        <v>0.18445836086666578</v>
      </c>
      <c r="BY40">
        <f t="shared" si="31"/>
        <v>0.15271491961431613</v>
      </c>
      <c r="BZ40">
        <f t="shared" si="32"/>
        <v>4.027557189234534E-2</v>
      </c>
      <c r="CA40">
        <f t="shared" si="33"/>
        <v>-1.3867728202137565E-2</v>
      </c>
      <c r="CB40">
        <f t="shared" si="34"/>
        <v>6.3455416649327828E-2</v>
      </c>
      <c r="CC40">
        <f t="shared" si="35"/>
        <v>0.21848381824975877</v>
      </c>
      <c r="CD40">
        <f t="shared" si="36"/>
        <v>0.13203970805518084</v>
      </c>
      <c r="CE40">
        <f t="shared" si="37"/>
        <v>8.6425492807286702E-2</v>
      </c>
      <c r="CG40">
        <f t="shared" si="41"/>
        <v>0.99999999999999989</v>
      </c>
      <c r="CH40">
        <f t="shared" si="42"/>
        <v>1</v>
      </c>
      <c r="CJ40">
        <f>SUMPRODUCT(AS40:CE40,'PC1'!AS40:CE40)</f>
        <v>0.88818787349282302</v>
      </c>
      <c r="CK40" s="1" t="s">
        <v>41</v>
      </c>
      <c r="CM40">
        <f>SUMPRODUCT(AS40:CE40,'PC2'!AS40:CE40)</f>
        <v>-0.1499854679865236</v>
      </c>
      <c r="CN40">
        <f t="shared" si="43"/>
        <v>0.1499854679865236</v>
      </c>
      <c r="CO40">
        <f t="shared" si="44"/>
        <v>0.15112556945966729</v>
      </c>
      <c r="CS40" t="s">
        <v>116</v>
      </c>
      <c r="CT40">
        <f t="shared" si="45"/>
        <v>0.88818787349282302</v>
      </c>
      <c r="CU40">
        <f t="shared" si="46"/>
        <v>1.4132764150530432</v>
      </c>
      <c r="CV40">
        <f t="shared" si="47"/>
        <v>0.1499854679865236</v>
      </c>
      <c r="CW40">
        <f t="shared" si="48"/>
        <v>0.15112556945966729</v>
      </c>
      <c r="CX40">
        <v>0.11505349875398263</v>
      </c>
      <c r="CY40">
        <v>0.11556523553859904</v>
      </c>
      <c r="CZ40">
        <v>0.26876973349783234</v>
      </c>
      <c r="DA40">
        <v>0.27553729198148746</v>
      </c>
    </row>
    <row r="41" spans="1:105" x14ac:dyDescent="0.25">
      <c r="A41" s="1" t="s">
        <v>42</v>
      </c>
      <c r="B41">
        <v>6.2413221662870597E-2</v>
      </c>
      <c r="C41">
        <v>0.19304337730318899</v>
      </c>
      <c r="D41">
        <v>0.32140315690646698</v>
      </c>
      <c r="E41">
        <v>0.26751482558607798</v>
      </c>
      <c r="F41">
        <v>0.28780118853730502</v>
      </c>
      <c r="G41">
        <v>0.199312407310868</v>
      </c>
      <c r="H41">
        <v>0.16771440617116101</v>
      </c>
      <c r="I41">
        <v>0.13267780071892701</v>
      </c>
      <c r="J41">
        <v>0.25284272077666697</v>
      </c>
      <c r="K41">
        <v>0.15384871931602601</v>
      </c>
      <c r="L41">
        <v>8.2750331464923305E-2</v>
      </c>
      <c r="M41">
        <v>0.13376734745302801</v>
      </c>
      <c r="N41">
        <v>7.5539245025819102E-2</v>
      </c>
      <c r="O41">
        <v>2.4515392238877798E-3</v>
      </c>
      <c r="P41">
        <v>8.4388310453812898E-2</v>
      </c>
      <c r="Q41">
        <v>0.10216394162537901</v>
      </c>
      <c r="R41">
        <v>0.26526255640245999</v>
      </c>
      <c r="S41">
        <v>0.21107664949471899</v>
      </c>
      <c r="T41">
        <v>0.201547120310438</v>
      </c>
      <c r="U41">
        <v>8.1278995902388906E-2</v>
      </c>
      <c r="V41">
        <v>7.5050918845709205E-2</v>
      </c>
      <c r="W41">
        <v>0.26868237759691099</v>
      </c>
      <c r="X41">
        <v>0.14282793113032299</v>
      </c>
      <c r="Y41">
        <v>0.13427085310148801</v>
      </c>
      <c r="Z41">
        <v>0.20132828693714699</v>
      </c>
      <c r="AA41">
        <v>0.26284116001027602</v>
      </c>
      <c r="AB41">
        <v>0.130868267293374</v>
      </c>
      <c r="AC41">
        <v>0.28367031413220301</v>
      </c>
      <c r="AD41">
        <v>0.14854916975797799</v>
      </c>
      <c r="AE41">
        <v>4.4617752382115003E-2</v>
      </c>
      <c r="AF41">
        <v>0.117653835324425</v>
      </c>
      <c r="AG41">
        <v>0.21614135146580199</v>
      </c>
      <c r="AH41">
        <v>0.19273958776580799</v>
      </c>
      <c r="AI41">
        <v>5.80888011170244E-2</v>
      </c>
      <c r="AJ41">
        <v>2.6311305465535301E-2</v>
      </c>
      <c r="AK41">
        <v>2.3988661072709101E-2</v>
      </c>
      <c r="AL41">
        <v>0.23963959318488001</v>
      </c>
      <c r="AM41">
        <v>6.9370759601792897E-2</v>
      </c>
      <c r="AN41">
        <v>3.5382804453600898E-4</v>
      </c>
      <c r="AP41">
        <f t="shared" si="38"/>
        <v>1.1941806503461614</v>
      </c>
      <c r="AQ41">
        <f t="shared" si="39"/>
        <v>1.0927857293843846</v>
      </c>
      <c r="AS41">
        <f t="shared" si="40"/>
        <v>5.7113869612875325E-2</v>
      </c>
      <c r="AT41">
        <f t="shared" si="0"/>
        <v>0.17665254231672572</v>
      </c>
      <c r="AU41">
        <f t="shared" si="1"/>
        <v>0.29411361098897937</v>
      </c>
      <c r="AV41">
        <f t="shared" si="2"/>
        <v>0.24480080439628465</v>
      </c>
      <c r="AW41">
        <f t="shared" si="3"/>
        <v>0.26336470251989508</v>
      </c>
      <c r="AX41">
        <f t="shared" si="4"/>
        <v>0.18238928451522665</v>
      </c>
      <c r="AY41">
        <f t="shared" si="5"/>
        <v>0.15347419138209473</v>
      </c>
      <c r="AZ41">
        <f t="shared" si="6"/>
        <v>0.12141245731097751</v>
      </c>
      <c r="BA41">
        <f t="shared" si="7"/>
        <v>0.23137447166253231</v>
      </c>
      <c r="BB41">
        <f t="shared" si="8"/>
        <v>0.14078580565166779</v>
      </c>
      <c r="BC41">
        <f t="shared" si="9"/>
        <v>7.5724205797910893E-2</v>
      </c>
      <c r="BD41">
        <f t="shared" si="10"/>
        <v>0.12240949333076044</v>
      </c>
      <c r="BE41">
        <f t="shared" si="11"/>
        <v>6.9125394846045213E-2</v>
      </c>
      <c r="BF41">
        <f t="shared" si="12"/>
        <v>2.243385101001312E-3</v>
      </c>
      <c r="BG41">
        <f t="shared" si="13"/>
        <v>7.722310804822885E-2</v>
      </c>
      <c r="BH41">
        <f t="shared" si="14"/>
        <v>9.3489454408351907E-2</v>
      </c>
      <c r="BI41">
        <f t="shared" si="15"/>
        <v>0.242739769810038</v>
      </c>
      <c r="BJ41">
        <f t="shared" si="16"/>
        <v>0.19315465403600024</v>
      </c>
      <c r="BK41">
        <f t="shared" si="17"/>
        <v>0.18443425356952509</v>
      </c>
      <c r="BL41">
        <f t="shared" si="18"/>
        <v>7.4377797693402373E-2</v>
      </c>
      <c r="BM41">
        <f t="shared" si="19"/>
        <v>6.8678531232274395E-2</v>
      </c>
      <c r="BN41">
        <f t="shared" si="20"/>
        <v>0.24586922245797616</v>
      </c>
      <c r="BO41">
        <f t="shared" si="21"/>
        <v>0.13070076529164085</v>
      </c>
      <c r="BP41">
        <f t="shared" si="22"/>
        <v>0.12287024756182424</v>
      </c>
      <c r="BQ41">
        <f t="shared" si="23"/>
        <v>0.18423400079589647</v>
      </c>
      <c r="BR41">
        <f t="shared" si="24"/>
        <v>0.24052396818756619</v>
      </c>
      <c r="BS41">
        <f t="shared" si="25"/>
        <v>0.11975656688626232</v>
      </c>
      <c r="BT41">
        <f t="shared" si="26"/>
        <v>0.25958457042809963</v>
      </c>
      <c r="BU41">
        <f t="shared" si="27"/>
        <v>0.13593622771928257</v>
      </c>
      <c r="BV41">
        <f t="shared" si="28"/>
        <v>4.0829369548273833E-2</v>
      </c>
      <c r="BW41">
        <f t="shared" si="29"/>
        <v>0.10766413960283386</v>
      </c>
      <c r="BX41">
        <f t="shared" si="30"/>
        <v>0.19778932470829771</v>
      </c>
      <c r="BY41">
        <f t="shared" si="31"/>
        <v>0.17637454679645834</v>
      </c>
      <c r="BZ41">
        <f t="shared" si="32"/>
        <v>5.3156624903720549E-2</v>
      </c>
      <c r="CA41">
        <f t="shared" si="33"/>
        <v>2.407727769318295E-2</v>
      </c>
      <c r="CB41">
        <f t="shared" si="34"/>
        <v>2.1951843282418223E-2</v>
      </c>
      <c r="CC41">
        <f t="shared" si="35"/>
        <v>0.21929238892960268</v>
      </c>
      <c r="CD41">
        <f t="shared" si="36"/>
        <v>6.3480660239654277E-2</v>
      </c>
      <c r="CE41">
        <f t="shared" si="37"/>
        <v>3.2378538172834326E-4</v>
      </c>
      <c r="CG41">
        <f t="shared" si="41"/>
        <v>1</v>
      </c>
      <c r="CH41">
        <f t="shared" si="42"/>
        <v>1</v>
      </c>
      <c r="CJ41">
        <f>SUMPRODUCT(AS41:CE41,'PC1'!AS41:CE41)</f>
        <v>0.9356106211301255</v>
      </c>
      <c r="CK41" s="1" t="s">
        <v>42</v>
      </c>
      <c r="CM41">
        <f>SUMPRODUCT(AS41:CE41,'PC2'!AS41:CE41)</f>
        <v>3.5565417403409023E-2</v>
      </c>
      <c r="CN41">
        <f t="shared" si="43"/>
        <v>3.5565417403409023E-2</v>
      </c>
      <c r="CO41">
        <f t="shared" si="44"/>
        <v>3.5580424347045829E-2</v>
      </c>
      <c r="CP41">
        <v>0.12694712588830834</v>
      </c>
      <c r="CQ41">
        <v>0.12694712588830834</v>
      </c>
      <c r="CR41">
        <v>0.12763573856817356</v>
      </c>
      <c r="CS41" t="s">
        <v>110</v>
      </c>
      <c r="CT41">
        <f t="shared" si="45"/>
        <v>0.9356106211301255</v>
      </c>
      <c r="CU41">
        <f t="shared" si="46"/>
        <v>1.7016147135154078</v>
      </c>
      <c r="CV41">
        <f t="shared" si="47"/>
        <v>3.5565417403409023E-2</v>
      </c>
      <c r="CW41">
        <f t="shared" si="48"/>
        <v>3.5580424347045829E-2</v>
      </c>
      <c r="CX41">
        <v>0.23291880549339219</v>
      </c>
      <c r="CY41">
        <v>0.23727349709902429</v>
      </c>
      <c r="CZ41">
        <v>8.4350705439390994E-2</v>
      </c>
      <c r="DA41">
        <v>8.4551616758276077E-2</v>
      </c>
    </row>
    <row r="42" spans="1:105" x14ac:dyDescent="0.25">
      <c r="A42" s="1" t="s">
        <v>43</v>
      </c>
      <c r="B42">
        <v>6.5697308040060701E-2</v>
      </c>
      <c r="C42">
        <v>0.13430707142561801</v>
      </c>
      <c r="D42">
        <v>0.24068013936206201</v>
      </c>
      <c r="E42">
        <v>0.19649972433336399</v>
      </c>
      <c r="F42">
        <v>0.211926281520536</v>
      </c>
      <c r="G42">
        <v>0.17081522831003099</v>
      </c>
      <c r="H42">
        <v>9.9772210264724506E-2</v>
      </c>
      <c r="I42">
        <v>0.145420181015088</v>
      </c>
      <c r="J42">
        <v>0.23182698247987499</v>
      </c>
      <c r="K42">
        <v>0.21125779417906401</v>
      </c>
      <c r="L42">
        <v>0.10810743172383799</v>
      </c>
      <c r="M42">
        <v>0.111874811184662</v>
      </c>
      <c r="N42">
        <v>0.115015848894805</v>
      </c>
      <c r="O42">
        <v>3.0749831693418401E-2</v>
      </c>
      <c r="P42">
        <v>9.7069151543904594E-2</v>
      </c>
      <c r="Q42">
        <v>8.7592909174507905E-2</v>
      </c>
      <c r="R42">
        <v>0.26845058431289598</v>
      </c>
      <c r="S42">
        <v>0.215671301618551</v>
      </c>
      <c r="T42">
        <v>0.17554558600273201</v>
      </c>
      <c r="U42">
        <v>3.1504216327571603E-2</v>
      </c>
      <c r="V42">
        <v>4.34370487083569E-2</v>
      </c>
      <c r="W42">
        <v>0.187039581609004</v>
      </c>
      <c r="X42">
        <v>0.111599830201531</v>
      </c>
      <c r="Y42">
        <v>0.111615656345144</v>
      </c>
      <c r="Z42">
        <v>0.19249345549454899</v>
      </c>
      <c r="AA42">
        <v>0.20034109441782699</v>
      </c>
      <c r="AB42">
        <v>8.2486756731251804E-2</v>
      </c>
      <c r="AC42">
        <v>0.232224809772445</v>
      </c>
      <c r="AD42">
        <v>0.18986464976679701</v>
      </c>
      <c r="AE42">
        <v>3.1388521774048301E-3</v>
      </c>
      <c r="AF42">
        <v>0.119029234146968</v>
      </c>
      <c r="AG42">
        <v>0.22107477624178201</v>
      </c>
      <c r="AH42">
        <v>0.20028849465524701</v>
      </c>
      <c r="AI42">
        <v>6.8561265352147599E-2</v>
      </c>
      <c r="AJ42">
        <v>6.2367314331099002E-2</v>
      </c>
      <c r="AK42">
        <v>-1.08318379617117E-2</v>
      </c>
      <c r="AL42">
        <v>0.264059674184213</v>
      </c>
      <c r="AM42">
        <v>6.8236519359627004E-2</v>
      </c>
      <c r="AN42">
        <v>2.01127225915089E-2</v>
      </c>
      <c r="AP42">
        <f t="shared" si="38"/>
        <v>0.95073795537062711</v>
      </c>
      <c r="AQ42">
        <f t="shared" si="39"/>
        <v>0.97505792411047409</v>
      </c>
      <c r="AS42">
        <f t="shared" si="40"/>
        <v>6.7377851526097848E-2</v>
      </c>
      <c r="AT42">
        <f t="shared" si="0"/>
        <v>0.13774265928677384</v>
      </c>
      <c r="AU42">
        <f t="shared" si="1"/>
        <v>0.24683676057669057</v>
      </c>
      <c r="AV42">
        <f t="shared" si="2"/>
        <v>0.201526206263722</v>
      </c>
      <c r="AW42">
        <f t="shared" si="3"/>
        <v>0.2173473762739502</v>
      </c>
      <c r="AX42">
        <f t="shared" si="4"/>
        <v>0.17518469835098496</v>
      </c>
      <c r="AY42">
        <f t="shared" si="5"/>
        <v>0.10232439304131055</v>
      </c>
      <c r="AZ42">
        <f t="shared" si="6"/>
        <v>0.14914004329307096</v>
      </c>
      <c r="BA42">
        <f t="shared" si="7"/>
        <v>0.23775713908624058</v>
      </c>
      <c r="BB42">
        <f t="shared" si="8"/>
        <v>0.21666178896170737</v>
      </c>
      <c r="BC42">
        <f t="shared" si="9"/>
        <v>0.11087283027053213</v>
      </c>
      <c r="BD42">
        <f t="shared" si="10"/>
        <v>0.11473657966189359</v>
      </c>
      <c r="BE42">
        <f t="shared" si="11"/>
        <v>0.11795796542008688</v>
      </c>
      <c r="BF42">
        <f t="shared" si="12"/>
        <v>3.1536415358575605E-2</v>
      </c>
      <c r="BG42">
        <f t="shared" si="13"/>
        <v>9.9552189817296077E-2</v>
      </c>
      <c r="BH42">
        <f t="shared" si="14"/>
        <v>8.9833544252683417E-2</v>
      </c>
      <c r="BI42">
        <f t="shared" si="15"/>
        <v>0.27531757619199709</v>
      </c>
      <c r="BJ42">
        <f t="shared" si="16"/>
        <v>0.22118819434784209</v>
      </c>
      <c r="BK42">
        <f t="shared" si="17"/>
        <v>0.18003605905041872</v>
      </c>
      <c r="BL42">
        <f t="shared" si="18"/>
        <v>3.2310097224544143E-2</v>
      </c>
      <c r="BM42">
        <f t="shared" si="19"/>
        <v>4.4548172610343793E-2</v>
      </c>
      <c r="BN42">
        <f t="shared" si="20"/>
        <v>0.1918240721746213</v>
      </c>
      <c r="BO42">
        <f t="shared" si="21"/>
        <v>0.11445456463865088</v>
      </c>
      <c r="BP42">
        <f t="shared" si="22"/>
        <v>0.11447079561654631</v>
      </c>
      <c r="BQ42">
        <f t="shared" si="23"/>
        <v>0.19741745668100377</v>
      </c>
      <c r="BR42">
        <f t="shared" si="24"/>
        <v>0.20546583896602263</v>
      </c>
      <c r="BS42">
        <f t="shared" si="25"/>
        <v>8.4596775936673529E-2</v>
      </c>
      <c r="BT42">
        <f t="shared" si="26"/>
        <v>0.23816514283938472</v>
      </c>
      <c r="BU42">
        <f t="shared" si="27"/>
        <v>0.19472140584879277</v>
      </c>
      <c r="BV42">
        <f t="shared" si="28"/>
        <v>3.2191443193165599E-3</v>
      </c>
      <c r="BW42">
        <f t="shared" si="29"/>
        <v>0.12207401345469399</v>
      </c>
      <c r="BX42">
        <f t="shared" si="30"/>
        <v>0.226729890373912</v>
      </c>
      <c r="BY42">
        <f t="shared" si="31"/>
        <v>0.2054118936964347</v>
      </c>
      <c r="BZ42">
        <f t="shared" si="32"/>
        <v>7.0315069142886738E-2</v>
      </c>
      <c r="CA42">
        <f t="shared" si="33"/>
        <v>6.3962676256382883E-2</v>
      </c>
      <c r="CB42">
        <f t="shared" si="34"/>
        <v>-1.1108917423129883E-2</v>
      </c>
      <c r="CC42">
        <f t="shared" si="35"/>
        <v>0.27081434615805966</v>
      </c>
      <c r="CD42">
        <f t="shared" si="36"/>
        <v>6.9982016116506951E-2</v>
      </c>
      <c r="CE42">
        <f t="shared" si="37"/>
        <v>2.0627207978292508E-2</v>
      </c>
      <c r="CG42">
        <f t="shared" si="41"/>
        <v>1.0000000000000002</v>
      </c>
      <c r="CH42">
        <f t="shared" si="42"/>
        <v>1</v>
      </c>
      <c r="CJ42">
        <f>SUMPRODUCT(AS42:CE42,'PC1'!AS42:CE42)</f>
        <v>0.95050518135193973</v>
      </c>
      <c r="CK42" s="1" t="s">
        <v>43</v>
      </c>
      <c r="CM42">
        <f>SUMPRODUCT(AS42:CE42,'PC2'!AS42:CE42)</f>
        <v>6.4846342603076534E-2</v>
      </c>
      <c r="CN42">
        <f t="shared" si="43"/>
        <v>6.4846342603076534E-2</v>
      </c>
      <c r="CO42">
        <f t="shared" si="44"/>
        <v>6.4937466619974585E-2</v>
      </c>
      <c r="CP42">
        <v>7.2092292789223827E-3</v>
      </c>
      <c r="CQ42">
        <v>7.2092292789223827E-3</v>
      </c>
      <c r="CR42">
        <v>7.2093541778765757E-3</v>
      </c>
      <c r="CS42" t="s">
        <v>110</v>
      </c>
      <c r="CT42">
        <f t="shared" si="45"/>
        <v>0.95050518135193973</v>
      </c>
      <c r="CU42">
        <f t="shared" si="46"/>
        <v>1.8369878475231027</v>
      </c>
      <c r="CV42">
        <f t="shared" si="47"/>
        <v>6.4846342603076534E-2</v>
      </c>
      <c r="CW42">
        <f t="shared" si="48"/>
        <v>6.4937466619974585E-2</v>
      </c>
      <c r="CX42">
        <v>0.20576937290267033</v>
      </c>
      <c r="CY42">
        <v>0.20874962225353355</v>
      </c>
      <c r="CZ42">
        <v>5.6982104718630806E-2</v>
      </c>
      <c r="DA42">
        <v>5.7043898024104311E-2</v>
      </c>
    </row>
    <row r="43" spans="1:105" x14ac:dyDescent="0.25">
      <c r="A43" s="1" t="s">
        <v>44</v>
      </c>
      <c r="B43">
        <v>4.1911087909569801E-2</v>
      </c>
      <c r="C43">
        <v>8.7335063190042306E-2</v>
      </c>
      <c r="D43">
        <v>0.190519065942719</v>
      </c>
      <c r="E43">
        <v>0.11377224009997899</v>
      </c>
      <c r="F43">
        <v>0.116343298642506</v>
      </c>
      <c r="G43">
        <v>0.11182294321769801</v>
      </c>
      <c r="H43">
        <v>5.7101398341973801E-2</v>
      </c>
      <c r="I43">
        <v>0.105427874577095</v>
      </c>
      <c r="J43">
        <v>0.12441022332139801</v>
      </c>
      <c r="K43">
        <v>0.13682255892075099</v>
      </c>
      <c r="L43">
        <v>6.4906267699204406E-2</v>
      </c>
      <c r="M43">
        <v>9.8997976323989295E-2</v>
      </c>
      <c r="N43">
        <v>5.4369862741857497E-2</v>
      </c>
      <c r="O43">
        <v>2.4116371036981402E-2</v>
      </c>
      <c r="P43">
        <v>3.3115753040421803E-2</v>
      </c>
      <c r="Q43">
        <v>0.121560942365874</v>
      </c>
      <c r="R43">
        <v>0.199822980560563</v>
      </c>
      <c r="S43">
        <v>0.14815956342782999</v>
      </c>
      <c r="T43">
        <v>0.18499076215214999</v>
      </c>
      <c r="U43">
        <v>0.113337456097113</v>
      </c>
      <c r="V43">
        <v>6.7642834301034599E-2</v>
      </c>
      <c r="W43">
        <v>0.19887520114648</v>
      </c>
      <c r="X43">
        <v>2.5377649277002898E-2</v>
      </c>
      <c r="Y43">
        <v>0.107993718234696</v>
      </c>
      <c r="Z43">
        <v>0.190873750530129</v>
      </c>
      <c r="AA43">
        <v>0.2023633680611</v>
      </c>
      <c r="AB43">
        <v>8.3243159630125602E-2</v>
      </c>
      <c r="AC43">
        <v>0.14697144524980099</v>
      </c>
      <c r="AD43">
        <v>7.7906198478029806E-2</v>
      </c>
      <c r="AE43">
        <v>5.1456897552611701E-2</v>
      </c>
      <c r="AF43">
        <v>0.110599854918652</v>
      </c>
      <c r="AG43">
        <v>0.145241803654512</v>
      </c>
      <c r="AH43">
        <v>0.15944667791717401</v>
      </c>
      <c r="AI43">
        <v>5.4175172570718202E-2</v>
      </c>
      <c r="AJ43">
        <v>2.2252795547712399E-3</v>
      </c>
      <c r="AK43">
        <v>5.2922901745053999E-2</v>
      </c>
      <c r="AL43">
        <v>0.14557452228227899</v>
      </c>
      <c r="AM43">
        <v>4.7220154926964901E-2</v>
      </c>
      <c r="AN43">
        <v>-1.55015156338279E-2</v>
      </c>
      <c r="AP43">
        <f t="shared" si="38"/>
        <v>0.53482988154503475</v>
      </c>
      <c r="AQ43">
        <f t="shared" si="39"/>
        <v>0.73132064208870429</v>
      </c>
      <c r="AS43">
        <f t="shared" si="40"/>
        <v>5.7308771963373993E-2</v>
      </c>
      <c r="AT43">
        <f t="shared" si="0"/>
        <v>0.11942102842961891</v>
      </c>
      <c r="AU43">
        <f t="shared" si="1"/>
        <v>0.2605137267814332</v>
      </c>
      <c r="AV43">
        <f t="shared" si="2"/>
        <v>0.15557094050434198</v>
      </c>
      <c r="AW43">
        <f t="shared" si="3"/>
        <v>0.15908657837172652</v>
      </c>
      <c r="AX43">
        <f t="shared" si="4"/>
        <v>0.1529054928605921</v>
      </c>
      <c r="AY43">
        <f t="shared" si="5"/>
        <v>7.8079839479011703E-2</v>
      </c>
      <c r="AZ43">
        <f t="shared" si="6"/>
        <v>0.144160944611088</v>
      </c>
      <c r="BA43">
        <f t="shared" si="7"/>
        <v>0.17011720463143701</v>
      </c>
      <c r="BB43">
        <f t="shared" si="8"/>
        <v>0.18708969916393434</v>
      </c>
      <c r="BC43">
        <f t="shared" si="9"/>
        <v>8.8752134103349589E-2</v>
      </c>
      <c r="BD43">
        <f t="shared" si="10"/>
        <v>0.13536877072311806</v>
      </c>
      <c r="BE43">
        <f t="shared" si="11"/>
        <v>7.434476700476178E-2</v>
      </c>
      <c r="BF43">
        <f t="shared" si="12"/>
        <v>3.2976467022868813E-2</v>
      </c>
      <c r="BG43">
        <f t="shared" si="13"/>
        <v>4.5282125424274684E-2</v>
      </c>
      <c r="BH43">
        <f t="shared" si="14"/>
        <v>0.16622112842143663</v>
      </c>
      <c r="BI43">
        <f t="shared" si="15"/>
        <v>0.27323579981258866</v>
      </c>
      <c r="BJ43">
        <f t="shared" si="16"/>
        <v>0.20259179749757319</v>
      </c>
      <c r="BK43">
        <f t="shared" si="17"/>
        <v>0.25295438348875682</v>
      </c>
      <c r="BL43">
        <f t="shared" si="18"/>
        <v>0.15497642152341426</v>
      </c>
      <c r="BM43">
        <f t="shared" si="19"/>
        <v>9.2494085915367855E-2</v>
      </c>
      <c r="BN43">
        <f t="shared" si="20"/>
        <v>0.27193981641004711</v>
      </c>
      <c r="BO43">
        <f t="shared" si="21"/>
        <v>3.4701125356618553E-2</v>
      </c>
      <c r="BP43">
        <f t="shared" si="22"/>
        <v>0.1476694517007727</v>
      </c>
      <c r="BQ43">
        <f t="shared" si="23"/>
        <v>0.26099871868101504</v>
      </c>
      <c r="BR43">
        <f t="shared" si="24"/>
        <v>0.27670949842621106</v>
      </c>
      <c r="BS43">
        <f t="shared" si="25"/>
        <v>0.11382580340188013</v>
      </c>
      <c r="BT43">
        <f t="shared" si="26"/>
        <v>0.20096717744769241</v>
      </c>
      <c r="BU43">
        <f t="shared" si="27"/>
        <v>0.10652809998022769</v>
      </c>
      <c r="BV43">
        <f t="shared" si="28"/>
        <v>7.0361609656808141E-2</v>
      </c>
      <c r="BW43">
        <f t="shared" si="29"/>
        <v>0.1512330550424105</v>
      </c>
      <c r="BX43">
        <f t="shared" si="30"/>
        <v>0.19860208408679808</v>
      </c>
      <c r="BY43">
        <f t="shared" si="31"/>
        <v>0.21802567675620757</v>
      </c>
      <c r="BZ43">
        <f t="shared" si="32"/>
        <v>7.4078549753484352E-2</v>
      </c>
      <c r="CA43">
        <f t="shared" si="33"/>
        <v>3.0428233892259376E-3</v>
      </c>
      <c r="CB43">
        <f t="shared" si="34"/>
        <v>7.2366208061490495E-2</v>
      </c>
      <c r="CC43">
        <f t="shared" si="35"/>
        <v>0.1990570399688264</v>
      </c>
      <c r="CD43">
        <f t="shared" si="36"/>
        <v>6.4568333244499634E-2</v>
      </c>
      <c r="CE43">
        <f t="shared" si="37"/>
        <v>-2.1196606169291841E-2</v>
      </c>
      <c r="CG43">
        <f t="shared" si="41"/>
        <v>0.99999999999999989</v>
      </c>
      <c r="CH43">
        <f t="shared" si="42"/>
        <v>1</v>
      </c>
      <c r="CJ43">
        <f>SUMPRODUCT(AS43:CE43,'PC1'!AS43:CE43)</f>
        <v>0.96409681803813074</v>
      </c>
      <c r="CK43" s="1" t="s">
        <v>44</v>
      </c>
      <c r="CM43">
        <f>SUMPRODUCT(AS43:CE43,'PC2'!AS43:CE43)</f>
        <v>3.370265010806716E-2</v>
      </c>
      <c r="CN43">
        <f t="shared" si="43"/>
        <v>3.370265010806716E-2</v>
      </c>
      <c r="CO43">
        <f t="shared" si="44"/>
        <v>3.3715419406015662E-2</v>
      </c>
      <c r="CP43">
        <v>2.0357275784915734E-3</v>
      </c>
      <c r="CQ43">
        <v>2.0357275784915734E-3</v>
      </c>
      <c r="CR43">
        <v>2.035730390643635E-3</v>
      </c>
      <c r="CS43" t="s">
        <v>110</v>
      </c>
      <c r="CT43">
        <f t="shared" si="45"/>
        <v>0.96409681803813074</v>
      </c>
      <c r="CU43">
        <f t="shared" si="46"/>
        <v>2.0009809292254941</v>
      </c>
      <c r="CV43">
        <f t="shared" si="47"/>
        <v>3.370265010806716E-2</v>
      </c>
      <c r="CW43">
        <f t="shared" si="48"/>
        <v>3.3715419406015662E-2</v>
      </c>
      <c r="CX43">
        <v>8.3984341063011794E-2</v>
      </c>
      <c r="CY43">
        <v>8.4182638472018803E-2</v>
      </c>
      <c r="CZ43">
        <v>0.14935699496824034</v>
      </c>
      <c r="DA43">
        <v>0.15048269508236536</v>
      </c>
    </row>
    <row r="44" spans="1:105" x14ac:dyDescent="0.25">
      <c r="A44" s="1" t="s">
        <v>45</v>
      </c>
      <c r="B44">
        <v>5.2375145759395003E-2</v>
      </c>
      <c r="C44">
        <v>0.20327525411084901</v>
      </c>
      <c r="D44">
        <v>0.30761650964897602</v>
      </c>
      <c r="E44">
        <v>0.23818611543531401</v>
      </c>
      <c r="F44">
        <v>0.28384169560512001</v>
      </c>
      <c r="G44">
        <v>0.193296710262189</v>
      </c>
      <c r="H44">
        <v>8.7297571728455398E-2</v>
      </c>
      <c r="I44">
        <v>9.5213945041079995E-2</v>
      </c>
      <c r="J44">
        <v>0.21368310424919201</v>
      </c>
      <c r="K44">
        <v>0.145896802658876</v>
      </c>
      <c r="L44">
        <v>8.7676675505685406E-2</v>
      </c>
      <c r="M44">
        <v>9.4576117591116005E-2</v>
      </c>
      <c r="N44">
        <v>3.9145929652842401E-2</v>
      </c>
      <c r="O44">
        <v>-8.4843948917279698E-4</v>
      </c>
      <c r="P44">
        <v>0.11937950461404701</v>
      </c>
      <c r="Q44">
        <v>3.9927422022623497E-2</v>
      </c>
      <c r="R44">
        <v>0.202049025802543</v>
      </c>
      <c r="S44">
        <v>0.134926289276209</v>
      </c>
      <c r="T44">
        <v>0.123638676265156</v>
      </c>
      <c r="U44">
        <v>-4.7184228768276902E-2</v>
      </c>
      <c r="V44">
        <v>7.3111153427367695E-2</v>
      </c>
      <c r="W44">
        <v>0.22600044708523201</v>
      </c>
      <c r="X44">
        <v>0.11658991244712701</v>
      </c>
      <c r="Y44">
        <v>0.135977207314642</v>
      </c>
      <c r="Z44">
        <v>0.17519509358263399</v>
      </c>
      <c r="AA44">
        <v>0.21198920972388599</v>
      </c>
      <c r="AB44">
        <v>0.14397366155071301</v>
      </c>
      <c r="AC44">
        <v>0.274652458485869</v>
      </c>
      <c r="AD44">
        <v>0.15771470861679199</v>
      </c>
      <c r="AE44">
        <v>5.7078357448216002E-2</v>
      </c>
      <c r="AF44">
        <v>0.113328400353577</v>
      </c>
      <c r="AG44">
        <v>0.22864094651052899</v>
      </c>
      <c r="AH44">
        <v>0.16945052288607801</v>
      </c>
      <c r="AI44">
        <v>4.0904393330846202E-2</v>
      </c>
      <c r="AJ44">
        <v>3.9388448216125103E-2</v>
      </c>
      <c r="AK44">
        <v>-5.4669760521188797E-3</v>
      </c>
      <c r="AL44">
        <v>0.163102638895323</v>
      </c>
      <c r="AM44">
        <v>5.1428341147715301E-2</v>
      </c>
      <c r="AN44">
        <v>1.80562964445499E-2</v>
      </c>
      <c r="AP44">
        <f t="shared" si="38"/>
        <v>0.92263240166538207</v>
      </c>
      <c r="AQ44">
        <f t="shared" si="39"/>
        <v>0.96053755869584923</v>
      </c>
      <c r="AS44">
        <f t="shared" si="40"/>
        <v>5.4526910775364493E-2</v>
      </c>
      <c r="AT44">
        <f t="shared" si="0"/>
        <v>0.21162655460015739</v>
      </c>
      <c r="AU44">
        <f t="shared" si="1"/>
        <v>0.32025453545682919</v>
      </c>
      <c r="AV44">
        <f t="shared" si="2"/>
        <v>0.24797168343808074</v>
      </c>
      <c r="AW44">
        <f t="shared" si="3"/>
        <v>0.29550296397623477</v>
      </c>
      <c r="AX44">
        <f t="shared" si="4"/>
        <v>0.20123805520383167</v>
      </c>
      <c r="AY44">
        <f t="shared" si="5"/>
        <v>9.0884079376325422E-2</v>
      </c>
      <c r="AZ44">
        <f t="shared" si="6"/>
        <v>9.9125686631509585E-2</v>
      </c>
      <c r="BA44">
        <f t="shared" si="7"/>
        <v>0.22246199777894787</v>
      </c>
      <c r="BB44">
        <f t="shared" si="8"/>
        <v>0.1518907837991931</v>
      </c>
      <c r="BC44">
        <f t="shared" si="9"/>
        <v>9.1278758141146166E-2</v>
      </c>
      <c r="BD44">
        <f t="shared" si="10"/>
        <v>9.8461654867015136E-2</v>
      </c>
      <c r="BE44">
        <f t="shared" si="11"/>
        <v>4.0754189462400628E-2</v>
      </c>
      <c r="BF44">
        <f t="shared" si="12"/>
        <v>-8.8329652650412632E-4</v>
      </c>
      <c r="BG44">
        <f t="shared" si="13"/>
        <v>0.12428405691510092</v>
      </c>
      <c r="BH44">
        <f t="shared" si="14"/>
        <v>4.1567788433837155E-2</v>
      </c>
      <c r="BI44">
        <f t="shared" si="15"/>
        <v>0.21034994829027928</v>
      </c>
      <c r="BJ44">
        <f t="shared" si="16"/>
        <v>0.14046956108556805</v>
      </c>
      <c r="BK44">
        <f t="shared" si="17"/>
        <v>0.12871821111610041</v>
      </c>
      <c r="BL44">
        <f t="shared" si="18"/>
        <v>-4.9122731684058611E-2</v>
      </c>
      <c r="BM44">
        <f t="shared" si="19"/>
        <v>7.6114830456638166E-2</v>
      </c>
      <c r="BN44">
        <f t="shared" si="20"/>
        <v>0.23528538268933452</v>
      </c>
      <c r="BO44">
        <f t="shared" si="21"/>
        <v>0.12137985796768284</v>
      </c>
      <c r="BP44">
        <f t="shared" si="22"/>
        <v>0.14156365473023497</v>
      </c>
      <c r="BQ44">
        <f t="shared" si="23"/>
        <v>0.18239275705210492</v>
      </c>
      <c r="BR44">
        <f t="shared" si="24"/>
        <v>0.22069851179136621</v>
      </c>
      <c r="BS44">
        <f t="shared" si="25"/>
        <v>0.14988863292986729</v>
      </c>
      <c r="BT44">
        <f t="shared" si="26"/>
        <v>0.28593619895381595</v>
      </c>
      <c r="BU44">
        <f t="shared" si="27"/>
        <v>0.16419421311429613</v>
      </c>
      <c r="BV44">
        <f t="shared" si="28"/>
        <v>5.942334782380921E-2</v>
      </c>
      <c r="BW44">
        <f t="shared" si="29"/>
        <v>0.11798435087478139</v>
      </c>
      <c r="BX44">
        <f t="shared" si="30"/>
        <v>0.23803436361297697</v>
      </c>
      <c r="BY44">
        <f t="shared" si="31"/>
        <v>0.17641217811008461</v>
      </c>
      <c r="BZ44">
        <f t="shared" si="32"/>
        <v>4.2584897342674795E-2</v>
      </c>
      <c r="CA44">
        <f t="shared" si="33"/>
        <v>4.1006671586693584E-2</v>
      </c>
      <c r="CB44">
        <f t="shared" si="34"/>
        <v>-5.6915796812167943E-3</v>
      </c>
      <c r="CC44">
        <f t="shared" si="35"/>
        <v>0.16980349952871429</v>
      </c>
      <c r="CD44">
        <f t="shared" si="36"/>
        <v>5.3541207922718929E-2</v>
      </c>
      <c r="CE44">
        <f t="shared" si="37"/>
        <v>1.8798115993574969E-2</v>
      </c>
      <c r="CG44">
        <f t="shared" si="41"/>
        <v>1</v>
      </c>
      <c r="CH44">
        <f t="shared" si="42"/>
        <v>1</v>
      </c>
      <c r="CJ44">
        <f>SUMPRODUCT(AS44:CE44,'PC1'!AS44:CE44)</f>
        <v>0.86987917060462205</v>
      </c>
      <c r="CK44" s="1" t="s">
        <v>45</v>
      </c>
      <c r="CM44">
        <f>SUMPRODUCT(AS44:CE44,'PC2'!AS44:CE44)</f>
        <v>8.2516365703012295E-2</v>
      </c>
      <c r="CN44">
        <f t="shared" si="43"/>
        <v>8.2516365703012295E-2</v>
      </c>
      <c r="CO44">
        <f t="shared" si="44"/>
        <v>8.2704417851777498E-2</v>
      </c>
      <c r="CP44">
        <v>-8.8532620532919742E-2</v>
      </c>
      <c r="CQ44">
        <v>8.8532620532919742E-2</v>
      </c>
      <c r="CR44">
        <v>8.876502141558372E-2</v>
      </c>
      <c r="CS44" t="s">
        <v>110</v>
      </c>
      <c r="CT44">
        <f t="shared" si="45"/>
        <v>0.86987917060462205</v>
      </c>
      <c r="CU44">
        <f t="shared" si="46"/>
        <v>1.3325828087227829</v>
      </c>
      <c r="CV44">
        <f t="shared" si="47"/>
        <v>8.2516365703012295E-2</v>
      </c>
      <c r="CW44">
        <f t="shared" si="48"/>
        <v>8.2704417851777498E-2</v>
      </c>
      <c r="CX44">
        <v>0.37956176409165376</v>
      </c>
      <c r="CY44">
        <v>0.39954755250202373</v>
      </c>
      <c r="CZ44">
        <v>0.10590429454336274</v>
      </c>
      <c r="DA44">
        <v>0.10630291142412863</v>
      </c>
    </row>
    <row r="45" spans="1:105" x14ac:dyDescent="0.25">
      <c r="A45" s="1" t="s">
        <v>46</v>
      </c>
      <c r="B45">
        <v>4.88981371065651E-3</v>
      </c>
      <c r="C45">
        <v>1.0469005434804101E-2</v>
      </c>
      <c r="D45">
        <v>3.65398690805862E-2</v>
      </c>
      <c r="E45">
        <v>2.5205378444956299E-3</v>
      </c>
      <c r="F45">
        <v>2.14042607845837E-3</v>
      </c>
      <c r="G45">
        <v>3.3810240860770398E-2</v>
      </c>
      <c r="H45">
        <v>-3.7929372029501598E-3</v>
      </c>
      <c r="I45">
        <v>1.41875506712369E-2</v>
      </c>
      <c r="J45">
        <v>6.5249972146923102E-3</v>
      </c>
      <c r="K45">
        <v>-1.00256463931247E-2</v>
      </c>
      <c r="L45">
        <v>1.3517637752587099E-2</v>
      </c>
      <c r="M45">
        <v>1.53152657715004E-2</v>
      </c>
      <c r="N45">
        <v>-1.6593247357165601E-2</v>
      </c>
      <c r="O45">
        <v>1.10671030469153E-2</v>
      </c>
      <c r="P45">
        <v>-3.2934621591893101E-2</v>
      </c>
      <c r="Q45">
        <v>5.8167067444957497E-2</v>
      </c>
      <c r="R45">
        <v>6.7062905420399097E-2</v>
      </c>
      <c r="S45">
        <v>3.6284097142163498E-2</v>
      </c>
      <c r="T45">
        <v>5.3797962465621699E-2</v>
      </c>
      <c r="U45">
        <v>6.3410739437993593E-2</v>
      </c>
      <c r="V45">
        <v>-2.31217472874561E-3</v>
      </c>
      <c r="W45">
        <v>2.1346617705818399E-2</v>
      </c>
      <c r="X45">
        <v>-4.7589301208240797E-3</v>
      </c>
      <c r="Y45">
        <v>1.8109342612524299E-2</v>
      </c>
      <c r="Z45">
        <v>3.8065281485517903E-2</v>
      </c>
      <c r="AA45">
        <v>1.27591510146828E-2</v>
      </c>
      <c r="AB45">
        <v>4.7543857297580603E-3</v>
      </c>
      <c r="AC45">
        <v>-2.6738259672592201E-2</v>
      </c>
      <c r="AD45">
        <v>2.0228320430953801E-2</v>
      </c>
      <c r="AE45">
        <v>4.2680615409044602E-3</v>
      </c>
      <c r="AF45">
        <v>1.6409354382658801E-2</v>
      </c>
      <c r="AG45">
        <v>3.65530142267917E-3</v>
      </c>
      <c r="AH45">
        <v>1.8106988677149698E-2</v>
      </c>
      <c r="AI45">
        <v>1.34157209059969E-2</v>
      </c>
      <c r="AJ45">
        <v>5.6966031375330697E-2</v>
      </c>
      <c r="AK45">
        <v>-4.7930367167203199E-3</v>
      </c>
      <c r="AL45">
        <v>2.4641782962470399E-2</v>
      </c>
      <c r="AM45">
        <v>1.1193750974618701E-2</v>
      </c>
      <c r="AN45">
        <v>1.97460875551826E-2</v>
      </c>
      <c r="AP45">
        <f t="shared" si="38"/>
        <v>2.976313236194154E-2</v>
      </c>
      <c r="AQ45">
        <f t="shared" si="39"/>
        <v>0.17251994772182588</v>
      </c>
      <c r="AS45">
        <f t="shared" si="40"/>
        <v>2.8343468539307286E-2</v>
      </c>
      <c r="AT45">
        <f t="shared" si="0"/>
        <v>6.068286927425056E-2</v>
      </c>
      <c r="AU45">
        <f t="shared" si="1"/>
        <v>0.21180083557354024</v>
      </c>
      <c r="AV45">
        <f t="shared" si="2"/>
        <v>1.4610124091619761E-2</v>
      </c>
      <c r="AW45">
        <f t="shared" si="3"/>
        <v>1.2406832408213046E-2</v>
      </c>
      <c r="AX45">
        <f t="shared" si="4"/>
        <v>0.19597873351600251</v>
      </c>
      <c r="AY45">
        <f t="shared" si="5"/>
        <v>-2.1985499375793673E-2</v>
      </c>
      <c r="AZ45">
        <f t="shared" si="6"/>
        <v>8.2237160737569606E-2</v>
      </c>
      <c r="BA45">
        <f t="shared" si="7"/>
        <v>3.7821697147818099E-2</v>
      </c>
      <c r="BB45">
        <f t="shared" si="8"/>
        <v>-5.8112969111781924E-2</v>
      </c>
      <c r="BC45">
        <f t="shared" si="9"/>
        <v>7.8354056624125396E-2</v>
      </c>
      <c r="BD45">
        <f t="shared" si="10"/>
        <v>8.8773883679787544E-2</v>
      </c>
      <c r="BE45">
        <f t="shared" si="11"/>
        <v>-9.6181615959685066E-2</v>
      </c>
      <c r="BF45">
        <f t="shared" si="12"/>
        <v>6.414970090739934E-2</v>
      </c>
      <c r="BG45">
        <f t="shared" si="13"/>
        <v>-0.19090326670512009</v>
      </c>
      <c r="BH45">
        <f t="shared" si="14"/>
        <v>0.33716140198898664</v>
      </c>
      <c r="BI45">
        <f t="shared" si="15"/>
        <v>0.38872551438824032</v>
      </c>
      <c r="BJ45">
        <f t="shared" si="16"/>
        <v>0.21031827114084567</v>
      </c>
      <c r="BK45">
        <f t="shared" si="17"/>
        <v>0.31183618576308902</v>
      </c>
      <c r="BL45">
        <f t="shared" si="18"/>
        <v>0.36755598570107473</v>
      </c>
      <c r="BM45">
        <f t="shared" si="19"/>
        <v>-1.3402361635732699E-2</v>
      </c>
      <c r="BN45">
        <f t="shared" si="20"/>
        <v>0.12373419994444962</v>
      </c>
      <c r="BO45">
        <f t="shared" si="21"/>
        <v>-2.7584810821398232E-2</v>
      </c>
      <c r="BP45">
        <f t="shared" si="22"/>
        <v>0.10496955773325478</v>
      </c>
      <c r="BQ45">
        <f t="shared" si="23"/>
        <v>0.22064278356317968</v>
      </c>
      <c r="BR45">
        <f t="shared" si="24"/>
        <v>7.3957540465151739E-2</v>
      </c>
      <c r="BS45">
        <f t="shared" si="25"/>
        <v>2.7558469571438274E-2</v>
      </c>
      <c r="BT45">
        <f t="shared" si="26"/>
        <v>-0.15498648142245805</v>
      </c>
      <c r="BU45">
        <f t="shared" si="27"/>
        <v>0.11725206677879529</v>
      </c>
      <c r="BV45">
        <f t="shared" si="28"/>
        <v>2.4739524891268547E-2</v>
      </c>
      <c r="BW45">
        <f t="shared" si="29"/>
        <v>9.5115692992891035E-2</v>
      </c>
      <c r="BX45">
        <f t="shared" si="30"/>
        <v>2.1187703050855548E-2</v>
      </c>
      <c r="BY45">
        <f t="shared" si="31"/>
        <v>0.10495591330891033</v>
      </c>
      <c r="BZ45">
        <f t="shared" si="32"/>
        <v>7.7763302639232409E-2</v>
      </c>
      <c r="CA45">
        <f t="shared" si="33"/>
        <v>0.3301996790955658</v>
      </c>
      <c r="CB45">
        <f t="shared" si="34"/>
        <v>-2.7782507356475056E-2</v>
      </c>
      <c r="CC45">
        <f t="shared" si="35"/>
        <v>0.14283439850215601</v>
      </c>
      <c r="CD45">
        <f t="shared" si="36"/>
        <v>6.4883806901377544E-2</v>
      </c>
      <c r="CE45">
        <f t="shared" si="37"/>
        <v>0.11445683711324518</v>
      </c>
      <c r="CG45">
        <f t="shared" si="41"/>
        <v>1.0000000000000002</v>
      </c>
      <c r="CH45">
        <f t="shared" si="42"/>
        <v>1</v>
      </c>
      <c r="CJ45">
        <f>SUMPRODUCT(AS45:CE45,'PC1'!AS45:CE45)</f>
        <v>0.68533419217117386</v>
      </c>
      <c r="CK45" s="1" t="s">
        <v>46</v>
      </c>
      <c r="CM45">
        <f>SUMPRODUCT(AS45:CE45,'PC2'!AS45:CE45)</f>
        <v>-0.51336461261267108</v>
      </c>
      <c r="CN45">
        <f t="shared" si="43"/>
        <v>0.51336461261267108</v>
      </c>
      <c r="CO45">
        <f t="shared" si="44"/>
        <v>0.56728775990203939</v>
      </c>
      <c r="CP45">
        <v>0.14922029534449499</v>
      </c>
      <c r="CQ45">
        <v>0.14922029534449499</v>
      </c>
      <c r="CR45">
        <v>0.15034287937171745</v>
      </c>
      <c r="CS45" t="s">
        <v>110</v>
      </c>
      <c r="CT45">
        <f t="shared" si="45"/>
        <v>0.68533419217117386</v>
      </c>
      <c r="CU45">
        <f t="shared" si="46"/>
        <v>0.83910400431878451</v>
      </c>
      <c r="CV45">
        <f t="shared" si="47"/>
        <v>0.51336461261267108</v>
      </c>
      <c r="CW45">
        <f t="shared" si="48"/>
        <v>0.56728775990203939</v>
      </c>
      <c r="CX45">
        <v>0.23791786993160419</v>
      </c>
      <c r="CY45">
        <v>0.24256588899785803</v>
      </c>
      <c r="CZ45">
        <v>4.9768690858921799E-2</v>
      </c>
      <c r="DA45">
        <v>4.9809843099689832E-2</v>
      </c>
    </row>
    <row r="46" spans="1:105" x14ac:dyDescent="0.25">
      <c r="A46" s="1" t="s">
        <v>47</v>
      </c>
      <c r="B46">
        <v>1.4550439219858101E-2</v>
      </c>
      <c r="C46">
        <v>3.5474423638098301E-2</v>
      </c>
      <c r="D46">
        <v>4.8928454412114901E-2</v>
      </c>
      <c r="E46">
        <v>1.6256188452385901E-2</v>
      </c>
      <c r="F46">
        <v>2.6165606550230602E-2</v>
      </c>
      <c r="G46">
        <v>3.4471446030625401E-2</v>
      </c>
      <c r="H46">
        <v>-1.39780911479408E-2</v>
      </c>
      <c r="I46">
        <v>3.0776470469872402E-2</v>
      </c>
      <c r="J46">
        <v>3.44248446135791E-2</v>
      </c>
      <c r="K46">
        <v>2.33223007569201E-2</v>
      </c>
      <c r="L46">
        <v>2.8125982389646802E-2</v>
      </c>
      <c r="M46">
        <v>3.7819582596983703E-2</v>
      </c>
      <c r="N46">
        <v>3.21957933326531E-2</v>
      </c>
      <c r="O46">
        <v>3.0334294824344198E-2</v>
      </c>
      <c r="P46">
        <v>2.6570477698608399E-2</v>
      </c>
      <c r="Q46">
        <v>-2.4182234325715701E-2</v>
      </c>
      <c r="R46">
        <v>-7.8534336965222894E-3</v>
      </c>
      <c r="S46">
        <v>-2.4402342645731101E-2</v>
      </c>
      <c r="T46">
        <v>-2.8260356794496899E-2</v>
      </c>
      <c r="U46">
        <v>-3.6899806559245303E-2</v>
      </c>
      <c r="V46">
        <v>-1.8000615515019299E-2</v>
      </c>
      <c r="W46">
        <v>2.01358515374058E-2</v>
      </c>
      <c r="X46">
        <v>1.8540970836320701E-2</v>
      </c>
      <c r="Y46">
        <v>1.7177487260893999E-2</v>
      </c>
      <c r="Z46">
        <v>2.4500965459946099E-3</v>
      </c>
      <c r="AA46">
        <v>2.5061931568072598E-2</v>
      </c>
      <c r="AB46">
        <v>1.9408453295787899E-3</v>
      </c>
      <c r="AC46">
        <v>-1.6699738676660601E-2</v>
      </c>
      <c r="AD46">
        <v>2.4387232969328598E-2</v>
      </c>
      <c r="AE46">
        <v>4.3214829215787599E-2</v>
      </c>
      <c r="AF46">
        <v>4.6505611832351801E-2</v>
      </c>
      <c r="AG46">
        <v>3.4409855586528898E-2</v>
      </c>
      <c r="AH46">
        <v>2.5451051735819599E-2</v>
      </c>
      <c r="AI46">
        <v>5.0361772529545499E-3</v>
      </c>
      <c r="AJ46">
        <v>4.8539241463123703E-2</v>
      </c>
      <c r="AK46">
        <v>-1.4697377675010601E-2</v>
      </c>
      <c r="AL46">
        <v>2.15257866871577E-2</v>
      </c>
      <c r="AM46">
        <v>2.3305837467276502E-2</v>
      </c>
      <c r="AN46">
        <v>3.5524102222740002E-2</v>
      </c>
      <c r="AP46">
        <f t="shared" si="38"/>
        <v>3.0767001887999291E-2</v>
      </c>
      <c r="AQ46">
        <f t="shared" si="39"/>
        <v>0.17540525045733177</v>
      </c>
      <c r="AS46">
        <f t="shared" si="40"/>
        <v>8.2953270679873806E-2</v>
      </c>
      <c r="AT46">
        <f t="shared" si="0"/>
        <v>0.20224265548269685</v>
      </c>
      <c r="AU46">
        <f t="shared" si="1"/>
        <v>0.27894520993268102</v>
      </c>
      <c r="AV46">
        <f t="shared" si="2"/>
        <v>9.2677889686889975E-2</v>
      </c>
      <c r="AW46">
        <f t="shared" si="3"/>
        <v>0.14917231087444283</v>
      </c>
      <c r="AX46">
        <f t="shared" si="4"/>
        <v>0.19652459627490318</v>
      </c>
      <c r="AY46">
        <f t="shared" si="5"/>
        <v>-7.9690266462924625E-2</v>
      </c>
      <c r="AZ46">
        <f t="shared" si="6"/>
        <v>0.17545923163434002</v>
      </c>
      <c r="BA46">
        <f t="shared" si="7"/>
        <v>0.19625891769957662</v>
      </c>
      <c r="BB46">
        <f t="shared" si="8"/>
        <v>0.13296238679350919</v>
      </c>
      <c r="BC46">
        <f t="shared" si="9"/>
        <v>0.16034857745885203</v>
      </c>
      <c r="BD46">
        <f t="shared" si="10"/>
        <v>0.21561260280622849</v>
      </c>
      <c r="BE46">
        <f t="shared" si="11"/>
        <v>0.18355090995685383</v>
      </c>
      <c r="BF46">
        <f t="shared" si="12"/>
        <v>0.1729383513050721</v>
      </c>
      <c r="BG46">
        <f t="shared" si="13"/>
        <v>0.15148051514610622</v>
      </c>
      <c r="BH46">
        <f t="shared" si="14"/>
        <v>-0.13786493997566027</v>
      </c>
      <c r="BI46">
        <f t="shared" si="15"/>
        <v>-4.4773082197061588E-2</v>
      </c>
      <c r="BJ46">
        <f t="shared" si="16"/>
        <v>-0.13911979591321924</v>
      </c>
      <c r="BK46">
        <f t="shared" si="17"/>
        <v>-0.16111465717710302</v>
      </c>
      <c r="BL46">
        <f t="shared" si="18"/>
        <v>-0.21036888270469059</v>
      </c>
      <c r="BM46">
        <f t="shared" si="19"/>
        <v>-0.10262301423752444</v>
      </c>
      <c r="BN46">
        <f t="shared" si="20"/>
        <v>0.11479617334661228</v>
      </c>
      <c r="BO46">
        <f t="shared" si="21"/>
        <v>0.10570362510802313</v>
      </c>
      <c r="BP46">
        <f t="shared" si="22"/>
        <v>9.793029123191789E-2</v>
      </c>
      <c r="BQ46">
        <f t="shared" si="23"/>
        <v>1.396820528237613E-2</v>
      </c>
      <c r="BR46">
        <f t="shared" si="24"/>
        <v>0.14288016751339516</v>
      </c>
      <c r="BS46">
        <f t="shared" si="25"/>
        <v>1.1064921514712073E-2</v>
      </c>
      <c r="BT46">
        <f t="shared" si="26"/>
        <v>-9.5206606604532049E-2</v>
      </c>
      <c r="BU46">
        <f t="shared" si="27"/>
        <v>0.13903365438459847</v>
      </c>
      <c r="BV46">
        <f t="shared" si="28"/>
        <v>0.24637135492303766</v>
      </c>
      <c r="BW46">
        <f t="shared" si="29"/>
        <v>0.2651323817907294</v>
      </c>
      <c r="BX46">
        <f t="shared" si="30"/>
        <v>0.19617346400300184</v>
      </c>
      <c r="BY46">
        <f t="shared" si="31"/>
        <v>0.14509857412740731</v>
      </c>
      <c r="BZ46">
        <f t="shared" si="32"/>
        <v>2.8711667637221761E-2</v>
      </c>
      <c r="CA46">
        <f t="shared" si="33"/>
        <v>0.27672627436503744</v>
      </c>
      <c r="CB46">
        <f t="shared" si="34"/>
        <v>-8.3790979099487184E-2</v>
      </c>
      <c r="CC46">
        <f t="shared" si="35"/>
        <v>0.12272030985978928</v>
      </c>
      <c r="CD46">
        <f t="shared" si="36"/>
        <v>0.13286852820261369</v>
      </c>
      <c r="CE46">
        <f t="shared" si="37"/>
        <v>0.20252587724779322</v>
      </c>
      <c r="CG46">
        <f t="shared" si="41"/>
        <v>1.0000000000000002</v>
      </c>
      <c r="CH46">
        <f t="shared" si="42"/>
        <v>1</v>
      </c>
      <c r="CJ46">
        <f>SUMPRODUCT(AS46:CE46,'PC1'!AS46:CE46)</f>
        <v>0.42716444022006034</v>
      </c>
      <c r="CK46" s="1" t="s">
        <v>47</v>
      </c>
      <c r="CM46">
        <f>SUMPRODUCT(AS46:CE46,'PC2'!AS46:CE46)</f>
        <v>0.18666135832273237</v>
      </c>
      <c r="CN46">
        <f t="shared" si="43"/>
        <v>0.18666135832273237</v>
      </c>
      <c r="CO46">
        <f t="shared" si="44"/>
        <v>0.1888757527971017</v>
      </c>
      <c r="CP46">
        <v>-0.53311102697663304</v>
      </c>
      <c r="CQ46">
        <v>0.53311102697663304</v>
      </c>
      <c r="CR46">
        <v>0.59448140831025065</v>
      </c>
      <c r="CS46" t="s">
        <v>110</v>
      </c>
      <c r="CT46">
        <f t="shared" si="45"/>
        <v>0.42716444022006034</v>
      </c>
      <c r="CU46">
        <f t="shared" si="46"/>
        <v>0.45642307570466639</v>
      </c>
      <c r="CV46">
        <f t="shared" si="47"/>
        <v>0.18666135832273237</v>
      </c>
      <c r="CW46">
        <f t="shared" si="48"/>
        <v>0.1888757527971017</v>
      </c>
      <c r="CX46">
        <v>0.64244599469384311</v>
      </c>
      <c r="CY46">
        <v>0.76232772767841028</v>
      </c>
      <c r="CZ46">
        <v>0.23084661525592845</v>
      </c>
      <c r="DA46">
        <v>0.2350835535289218</v>
      </c>
    </row>
    <row r="47" spans="1:105" x14ac:dyDescent="0.25">
      <c r="A47" s="1" t="s">
        <v>48</v>
      </c>
      <c r="B47">
        <v>-4.74089662780204E-3</v>
      </c>
      <c r="C47">
        <v>4.2280840672211599E-2</v>
      </c>
      <c r="D47">
        <v>2.4619043709313299E-2</v>
      </c>
      <c r="E47">
        <v>1.18446134019763E-2</v>
      </c>
      <c r="F47">
        <v>2.19142998733096E-2</v>
      </c>
      <c r="G47">
        <v>2.11127178938533E-2</v>
      </c>
      <c r="H47">
        <v>-1.7446804530167E-2</v>
      </c>
      <c r="I47">
        <v>-1.99092596249861E-2</v>
      </c>
      <c r="J47">
        <v>7.6685302145199398E-3</v>
      </c>
      <c r="K47">
        <v>-4.2768164456915697E-3</v>
      </c>
      <c r="L47">
        <v>-1.1371359836625799E-2</v>
      </c>
      <c r="M47">
        <v>2.6925879345305301E-2</v>
      </c>
      <c r="N47">
        <v>-1.9656761965144799E-2</v>
      </c>
      <c r="O47">
        <v>-6.64341814336138E-3</v>
      </c>
      <c r="P47">
        <v>-1.86206810542851E-3</v>
      </c>
      <c r="Q47">
        <v>2.62787976294655E-2</v>
      </c>
      <c r="R47">
        <v>2.3824208671053101E-2</v>
      </c>
      <c r="S47">
        <v>3.8432906111175398E-2</v>
      </c>
      <c r="T47">
        <v>4.7599986245011203E-2</v>
      </c>
      <c r="U47">
        <v>1.9085712798119801E-2</v>
      </c>
      <c r="V47">
        <v>6.5944047458165603E-3</v>
      </c>
      <c r="W47">
        <v>3.5219212252205902E-2</v>
      </c>
      <c r="X47">
        <v>2.7557176481639099E-2</v>
      </c>
      <c r="Y47">
        <v>5.01586875660988E-2</v>
      </c>
      <c r="Z47">
        <v>1.77190419156774E-2</v>
      </c>
      <c r="AA47">
        <v>1.41648045216399E-3</v>
      </c>
      <c r="AB47">
        <v>-1.9290174998818702E-2</v>
      </c>
      <c r="AC47">
        <v>-8.4783864181615098E-3</v>
      </c>
      <c r="AD47">
        <v>-1.15013365621241E-2</v>
      </c>
      <c r="AE47">
        <v>-8.1880508532219303E-4</v>
      </c>
      <c r="AF47">
        <v>1.2936617075658701E-2</v>
      </c>
      <c r="AG47">
        <v>1.4397419251363599E-3</v>
      </c>
      <c r="AH47">
        <v>2.03363040528695E-2</v>
      </c>
      <c r="AI47">
        <v>-1.7853361415079701E-2</v>
      </c>
      <c r="AJ47">
        <v>-4.0166042486811299E-2</v>
      </c>
      <c r="AK47">
        <v>8.5386605792126691E-3</v>
      </c>
      <c r="AL47">
        <v>2.9979805053723399E-2</v>
      </c>
      <c r="AM47">
        <v>5.5973481678479996E-3</v>
      </c>
      <c r="AN47">
        <v>1.3284094727505099E-2</v>
      </c>
      <c r="AP47">
        <f t="shared" si="38"/>
        <v>2.006059871516145E-2</v>
      </c>
      <c r="AQ47">
        <f t="shared" si="39"/>
        <v>0.14163544300478412</v>
      </c>
      <c r="AS47">
        <f t="shared" si="40"/>
        <v>-3.3472530090098304E-2</v>
      </c>
      <c r="AT47">
        <f t="shared" si="0"/>
        <v>0.29851878721333508</v>
      </c>
      <c r="AU47">
        <f t="shared" si="1"/>
        <v>0.17381979529291777</v>
      </c>
      <c r="AV47">
        <f t="shared" si="2"/>
        <v>8.3627467466432223E-2</v>
      </c>
      <c r="AW47">
        <f t="shared" si="3"/>
        <v>0.15472327694537155</v>
      </c>
      <c r="AX47">
        <f t="shared" si="4"/>
        <v>0.1490638038470368</v>
      </c>
      <c r="AY47">
        <f t="shared" si="5"/>
        <v>-0.12318106372271302</v>
      </c>
      <c r="AZ47">
        <f t="shared" si="6"/>
        <v>-0.14056693157173669</v>
      </c>
      <c r="BA47">
        <f t="shared" si="7"/>
        <v>5.4142734698552214E-2</v>
      </c>
      <c r="BB47">
        <f t="shared" si="8"/>
        <v>-3.0195947814750781E-2</v>
      </c>
      <c r="BC47">
        <f t="shared" si="9"/>
        <v>-8.0286117622703393E-2</v>
      </c>
      <c r="BD47">
        <f t="shared" si="10"/>
        <v>0.19010693068115589</v>
      </c>
      <c r="BE47">
        <f t="shared" si="11"/>
        <v>-0.1387842022316465</v>
      </c>
      <c r="BF47">
        <f t="shared" si="12"/>
        <v>-4.6905054288826423E-2</v>
      </c>
      <c r="BG47">
        <f t="shared" si="13"/>
        <v>-1.314690776492727E-2</v>
      </c>
      <c r="BH47">
        <f t="shared" si="14"/>
        <v>0.18553828810051354</v>
      </c>
      <c r="BI47">
        <f t="shared" si="15"/>
        <v>0.1682079581609271</v>
      </c>
      <c r="BJ47">
        <f t="shared" si="16"/>
        <v>0.27135090833074332</v>
      </c>
      <c r="BK47">
        <f t="shared" si="17"/>
        <v>0.33607397438932984</v>
      </c>
      <c r="BL47">
        <f t="shared" si="18"/>
        <v>0.13475237831165698</v>
      </c>
      <c r="BM47">
        <f t="shared" si="19"/>
        <v>4.6559001094053955E-2</v>
      </c>
      <c r="BN47">
        <f t="shared" si="20"/>
        <v>0.24866100959642057</v>
      </c>
      <c r="BO47">
        <f t="shared" si="21"/>
        <v>0.19456412813781562</v>
      </c>
      <c r="BP47">
        <f t="shared" si="22"/>
        <v>0.35413937713602206</v>
      </c>
      <c r="BQ47">
        <f t="shared" si="23"/>
        <v>0.12510316302028224</v>
      </c>
      <c r="BR47">
        <f t="shared" si="24"/>
        <v>1.0000889763984742E-2</v>
      </c>
      <c r="BS47">
        <f t="shared" si="25"/>
        <v>-0.13619595907337348</v>
      </c>
      <c r="BT47">
        <f t="shared" si="26"/>
        <v>-5.9860626960972822E-2</v>
      </c>
      <c r="BU47">
        <f t="shared" si="27"/>
        <v>-8.1203802650835155E-2</v>
      </c>
      <c r="BV47">
        <f t="shared" si="28"/>
        <v>-5.781074764559713E-3</v>
      </c>
      <c r="BW47">
        <f t="shared" si="29"/>
        <v>9.1337427985604791E-2</v>
      </c>
      <c r="BX47">
        <f t="shared" si="30"/>
        <v>1.0165124594468411E-2</v>
      </c>
      <c r="BY47">
        <f t="shared" si="31"/>
        <v>0.14358202736148878</v>
      </c>
      <c r="BZ47">
        <f t="shared" si="32"/>
        <v>-0.12605150968092538</v>
      </c>
      <c r="CA47">
        <f t="shared" si="33"/>
        <v>-0.28358750913395725</v>
      </c>
      <c r="CB47">
        <f t="shared" si="34"/>
        <v>6.0286185421287899E-2</v>
      </c>
      <c r="CC47">
        <f t="shared" si="35"/>
        <v>0.21166880561605439</v>
      </c>
      <c r="CD47">
        <f t="shared" si="36"/>
        <v>3.9519403117614663E-2</v>
      </c>
      <c r="CE47">
        <f t="shared" si="37"/>
        <v>9.3790752128733723E-2</v>
      </c>
      <c r="CG47">
        <f t="shared" si="41"/>
        <v>0.99999999999999967</v>
      </c>
      <c r="CH47">
        <f t="shared" si="42"/>
        <v>0.99999999999999978</v>
      </c>
      <c r="CJ47">
        <f>SUMPRODUCT(AS47:CE47,'PC1'!AS47:CE47)</f>
        <v>0.58132957522761097</v>
      </c>
      <c r="CK47" s="1" t="s">
        <v>48</v>
      </c>
      <c r="CM47">
        <f>SUMPRODUCT(AS47:CE47,'PC2'!AS47:CE47)</f>
        <v>-6.784807401236527E-2</v>
      </c>
      <c r="CN47">
        <f t="shared" si="43"/>
        <v>6.784807401236527E-2</v>
      </c>
      <c r="CO47">
        <f t="shared" si="44"/>
        <v>6.7952472243353101E-2</v>
      </c>
      <c r="CP47">
        <v>0.39636444529334036</v>
      </c>
      <c r="CQ47">
        <v>0.39636444529334036</v>
      </c>
      <c r="CR47">
        <v>0.41932834181896994</v>
      </c>
      <c r="CS47" t="s">
        <v>110</v>
      </c>
      <c r="CT47">
        <f t="shared" si="45"/>
        <v>0.58132957522761097</v>
      </c>
      <c r="CU47">
        <f t="shared" si="46"/>
        <v>0.66446862038865251</v>
      </c>
      <c r="CV47">
        <f t="shared" si="47"/>
        <v>6.784807401236527E-2</v>
      </c>
      <c r="CW47">
        <f t="shared" si="48"/>
        <v>6.7952472243353101E-2</v>
      </c>
      <c r="CX47">
        <v>0.19223190592959022</v>
      </c>
      <c r="CY47">
        <v>0.19465368781039166</v>
      </c>
      <c r="CZ47">
        <v>0.22757668992827323</v>
      </c>
      <c r="DA47">
        <v>0.23163230269066021</v>
      </c>
    </row>
    <row r="48" spans="1:105" x14ac:dyDescent="0.25">
      <c r="A48" s="1" t="s">
        <v>49</v>
      </c>
      <c r="B48">
        <v>1.90199911574187E-2</v>
      </c>
      <c r="C48">
        <v>4.2040120227899901E-2</v>
      </c>
      <c r="D48">
        <v>6.9838735849659397E-2</v>
      </c>
      <c r="E48">
        <v>1.0435321707383E-2</v>
      </c>
      <c r="F48">
        <v>2.0250334892916701E-2</v>
      </c>
      <c r="G48">
        <v>2.6001509367032799E-2</v>
      </c>
      <c r="H48">
        <v>-2.6636067080792001E-2</v>
      </c>
      <c r="I48">
        <v>1.00548834938611E-2</v>
      </c>
      <c r="J48">
        <v>3.9527973207953697E-2</v>
      </c>
      <c r="K48">
        <v>4.0352974228854803E-2</v>
      </c>
      <c r="L48">
        <v>2.25590034919252E-2</v>
      </c>
      <c r="M48">
        <v>4.4268314688224099E-2</v>
      </c>
      <c r="N48">
        <v>2.0222207537670501E-2</v>
      </c>
      <c r="O48">
        <v>4.0850789194898103E-2</v>
      </c>
      <c r="P48">
        <v>2.2688498617756299E-2</v>
      </c>
      <c r="Q48">
        <v>1.3913339374743001E-2</v>
      </c>
      <c r="R48">
        <v>3.0693873090678701E-2</v>
      </c>
      <c r="S48">
        <v>2.0756497942961E-2</v>
      </c>
      <c r="T48">
        <v>-2.4141046767910401E-3</v>
      </c>
      <c r="U48">
        <v>3.1503104592155003E-2</v>
      </c>
      <c r="V48">
        <v>5.0595379840385696E-3</v>
      </c>
      <c r="W48">
        <v>5.04224536433324E-2</v>
      </c>
      <c r="X48">
        <v>-1.0379967634837201E-2</v>
      </c>
      <c r="Y48">
        <v>3.13174656473727E-2</v>
      </c>
      <c r="Z48">
        <v>-2.23887001961214E-3</v>
      </c>
      <c r="AA48">
        <v>1.28031423222735E-2</v>
      </c>
      <c r="AB48">
        <v>9.6931875391333203E-3</v>
      </c>
      <c r="AC48">
        <v>8.2261850300429408E-3</v>
      </c>
      <c r="AD48">
        <v>2.0331261380955701E-2</v>
      </c>
      <c r="AE48">
        <v>-5.1685873986503997E-3</v>
      </c>
      <c r="AF48">
        <v>2.35345005440061E-2</v>
      </c>
      <c r="AG48">
        <v>6.7128242108751804E-2</v>
      </c>
      <c r="AH48">
        <v>1.07463365329844E-2</v>
      </c>
      <c r="AI48">
        <v>1.29896553033559E-2</v>
      </c>
      <c r="AJ48">
        <v>-3.7521417865261199E-3</v>
      </c>
      <c r="AK48">
        <v>2.7698509332600402E-2</v>
      </c>
      <c r="AL48">
        <v>9.5512291201679707E-3</v>
      </c>
      <c r="AM48">
        <v>-4.3275091009485102E-3</v>
      </c>
      <c r="AN48">
        <v>-2.7971185234304001E-3</v>
      </c>
      <c r="AP48">
        <f t="shared" si="38"/>
        <v>3.0499458041004571E-2</v>
      </c>
      <c r="AQ48">
        <f t="shared" si="39"/>
        <v>0.17464094033474675</v>
      </c>
      <c r="AS48">
        <f t="shared" si="40"/>
        <v>0.10890912016942719</v>
      </c>
      <c r="AT48">
        <f t="shared" si="0"/>
        <v>0.24072316690071985</v>
      </c>
      <c r="AU48">
        <f t="shared" si="1"/>
        <v>0.39989899112885274</v>
      </c>
      <c r="AV48">
        <f t="shared" si="2"/>
        <v>5.9753009159140315E-2</v>
      </c>
      <c r="AW48">
        <f t="shared" si="3"/>
        <v>0.11595411049723758</v>
      </c>
      <c r="AX48">
        <f t="shared" si="4"/>
        <v>0.14888553232245458</v>
      </c>
      <c r="AY48">
        <f t="shared" si="5"/>
        <v>-0.15251903150393459</v>
      </c>
      <c r="AZ48">
        <f t="shared" si="6"/>
        <v>5.7574606931159372E-2</v>
      </c>
      <c r="BA48">
        <f t="shared" si="7"/>
        <v>0.22633852710703234</v>
      </c>
      <c r="BB48">
        <f t="shared" si="8"/>
        <v>0.23106251118155557</v>
      </c>
      <c r="BC48">
        <f t="shared" si="9"/>
        <v>0.12917362589026804</v>
      </c>
      <c r="BD48">
        <f t="shared" si="10"/>
        <v>0.25348188462208154</v>
      </c>
      <c r="BE48">
        <f t="shared" si="11"/>
        <v>0.11579305229867151</v>
      </c>
      <c r="BF48">
        <f t="shared" si="12"/>
        <v>0.23391301671072362</v>
      </c>
      <c r="BG48">
        <f t="shared" si="13"/>
        <v>0.12991511941167766</v>
      </c>
      <c r="BH48">
        <f t="shared" si="14"/>
        <v>7.9668257328861777E-2</v>
      </c>
      <c r="BI48">
        <f t="shared" si="15"/>
        <v>0.17575416756142956</v>
      </c>
      <c r="BJ48">
        <f t="shared" si="16"/>
        <v>0.11885241744103954</v>
      </c>
      <c r="BK48">
        <f t="shared" si="17"/>
        <v>-1.3823245982091904E-2</v>
      </c>
      <c r="BL48">
        <f t="shared" si="18"/>
        <v>0.18038785482814484</v>
      </c>
      <c r="BM48">
        <f t="shared" si="19"/>
        <v>2.897108761748873E-2</v>
      </c>
      <c r="BN48">
        <f t="shared" si="20"/>
        <v>0.28872069485358981</v>
      </c>
      <c r="BO48">
        <f t="shared" si="21"/>
        <v>-5.9436049845707287E-2</v>
      </c>
      <c r="BP48">
        <f t="shared" si="22"/>
        <v>0.17932487987836229</v>
      </c>
      <c r="BQ48">
        <f t="shared" si="23"/>
        <v>-1.2819846339127229E-2</v>
      </c>
      <c r="BR48">
        <f t="shared" si="24"/>
        <v>7.3311231019100115E-2</v>
      </c>
      <c r="BS48">
        <f t="shared" si="25"/>
        <v>5.5503523518332508E-2</v>
      </c>
      <c r="BT48">
        <f t="shared" si="26"/>
        <v>4.7103416955240993E-2</v>
      </c>
      <c r="BU48">
        <f t="shared" si="27"/>
        <v>0.11641749833678931</v>
      </c>
      <c r="BV48">
        <f t="shared" si="28"/>
        <v>-2.9595508296871281E-2</v>
      </c>
      <c r="BW48">
        <f t="shared" si="29"/>
        <v>0.13475935538881001</v>
      </c>
      <c r="BX48">
        <f t="shared" si="30"/>
        <v>0.38437861122416261</v>
      </c>
      <c r="BY48">
        <f t="shared" si="31"/>
        <v>6.1533890692446629E-2</v>
      </c>
      <c r="BZ48">
        <f t="shared" si="32"/>
        <v>7.4379210730643686E-2</v>
      </c>
      <c r="CA48">
        <f t="shared" si="33"/>
        <v>-2.1484892255699734E-2</v>
      </c>
      <c r="CB48">
        <f t="shared" si="34"/>
        <v>0.15860261219109731</v>
      </c>
      <c r="CC48">
        <f t="shared" si="35"/>
        <v>5.4690664753982932E-2</v>
      </c>
      <c r="CD48">
        <f t="shared" si="36"/>
        <v>-2.4779465185274796E-2</v>
      </c>
      <c r="CE48">
        <f t="shared" si="37"/>
        <v>-1.6016396373433189E-2</v>
      </c>
      <c r="CG48">
        <f t="shared" si="41"/>
        <v>0.99999999999999922</v>
      </c>
      <c r="CH48">
        <f t="shared" si="42"/>
        <v>0.99999999999999956</v>
      </c>
      <c r="CJ48">
        <f>SUMPRODUCT(AS48:CE48,'PC1'!AS48:CE48)</f>
        <v>0.72263351468424109</v>
      </c>
      <c r="CK48" s="1" t="s">
        <v>49</v>
      </c>
      <c r="CM48">
        <f>SUMPRODUCT(AS48:CE48,'PC2'!AS48:CE48)</f>
        <v>0.2376169085876419</v>
      </c>
      <c r="CN48">
        <f t="shared" si="43"/>
        <v>0.2376169085876419</v>
      </c>
      <c r="CO48">
        <f t="shared" si="44"/>
        <v>0.24224689378905806</v>
      </c>
      <c r="CP48">
        <v>-0.55143426380991822</v>
      </c>
      <c r="CQ48">
        <v>0.55143426380991822</v>
      </c>
      <c r="CR48">
        <v>0.62043993690197052</v>
      </c>
      <c r="CS48" t="s">
        <v>110</v>
      </c>
      <c r="CT48">
        <f t="shared" si="45"/>
        <v>0.72263351468424109</v>
      </c>
      <c r="CU48">
        <f t="shared" si="46"/>
        <v>0.91313491431509219</v>
      </c>
      <c r="CV48">
        <f t="shared" si="47"/>
        <v>0.2376169085876419</v>
      </c>
      <c r="CW48">
        <f t="shared" si="48"/>
        <v>0.24224689378905806</v>
      </c>
      <c r="CX48">
        <v>0.18172170997960316</v>
      </c>
      <c r="CY48">
        <v>0.18376262185102918</v>
      </c>
      <c r="CZ48">
        <v>0.1305211448233855</v>
      </c>
      <c r="DA48">
        <v>0.13126999018611746</v>
      </c>
    </row>
    <row r="49" spans="1:105" x14ac:dyDescent="0.25">
      <c r="A49" s="1" t="s">
        <v>50</v>
      </c>
      <c r="B49">
        <v>2.6017682858695298E-3</v>
      </c>
      <c r="C49">
        <v>-1.02054697750429E-2</v>
      </c>
      <c r="D49">
        <v>7.8039247027045996E-3</v>
      </c>
      <c r="E49">
        <v>1.3568377725512301E-2</v>
      </c>
      <c r="F49">
        <v>1.43267010958377E-2</v>
      </c>
      <c r="G49">
        <v>4.0289466360460997E-3</v>
      </c>
      <c r="H49">
        <v>6.91194140044639E-3</v>
      </c>
      <c r="I49">
        <v>-1.08052594932035E-2</v>
      </c>
      <c r="J49">
        <v>-1.4268538181759501E-2</v>
      </c>
      <c r="K49">
        <v>-1.89646678987745E-2</v>
      </c>
      <c r="L49">
        <v>-1.8951909483915199E-2</v>
      </c>
      <c r="M49">
        <v>-1.56082270267152E-2</v>
      </c>
      <c r="N49">
        <v>-1.20329528536086E-2</v>
      </c>
      <c r="O49">
        <v>4.7856828377289199E-5</v>
      </c>
      <c r="P49">
        <v>1.8148329120869399E-2</v>
      </c>
      <c r="Q49">
        <v>-1.59254378959422E-2</v>
      </c>
      <c r="R49">
        <v>-3.0632536610989601E-2</v>
      </c>
      <c r="S49">
        <v>-2.6349603300155002E-3</v>
      </c>
      <c r="T49">
        <v>1.24619409889585E-3</v>
      </c>
      <c r="U49">
        <v>-2.8841825126032599E-2</v>
      </c>
      <c r="V49">
        <v>-1.92724883460095E-2</v>
      </c>
      <c r="W49">
        <v>1.2249697265922401E-2</v>
      </c>
      <c r="X49">
        <v>7.4446670613058999E-3</v>
      </c>
      <c r="Y49">
        <v>-3.3881943006175397E-4</v>
      </c>
      <c r="Z49">
        <v>1.7435224765878599E-2</v>
      </c>
      <c r="AA49">
        <v>-1.72734295239808E-2</v>
      </c>
      <c r="AB49">
        <v>4.9713337002400496E-3</v>
      </c>
      <c r="AC49">
        <v>1.61156111277715E-2</v>
      </c>
      <c r="AD49">
        <v>-2.80046830079815E-2</v>
      </c>
      <c r="AE49">
        <v>-2.0043627670851601E-3</v>
      </c>
      <c r="AF49">
        <v>-1.9637021489651602E-2</v>
      </c>
      <c r="AG49">
        <v>-3.4794354823954203E-2</v>
      </c>
      <c r="AH49">
        <v>7.9311079659281705E-3</v>
      </c>
      <c r="AI49">
        <v>-6.4941614880824703E-3</v>
      </c>
      <c r="AJ49">
        <v>4.2608535638294198E-2</v>
      </c>
      <c r="AK49">
        <v>1.11446812979662E-2</v>
      </c>
      <c r="AL49">
        <v>-1.1045534737172001E-3</v>
      </c>
      <c r="AM49">
        <v>6.5735695492534097E-3</v>
      </c>
      <c r="AN49">
        <v>-8.5412361975358304E-3</v>
      </c>
      <c r="AP49">
        <f t="shared" si="38"/>
        <v>1.0424953717582655E-2</v>
      </c>
      <c r="AQ49">
        <f t="shared" si="39"/>
        <v>0.10210266263708628</v>
      </c>
      <c r="AS49">
        <f t="shared" si="40"/>
        <v>2.5481884788031976E-2</v>
      </c>
      <c r="AT49">
        <f t="shared" si="0"/>
        <v>-9.9953022883616877E-2</v>
      </c>
      <c r="AU49">
        <f t="shared" si="1"/>
        <v>7.6432137038804471E-2</v>
      </c>
      <c r="AV49">
        <f t="shared" si="2"/>
        <v>0.13288955816695736</v>
      </c>
      <c r="AW49">
        <f t="shared" si="3"/>
        <v>0.1403166256962419</v>
      </c>
      <c r="AX49">
        <f t="shared" si="4"/>
        <v>3.945976071521845E-2</v>
      </c>
      <c r="AY49">
        <f t="shared" si="5"/>
        <v>6.7695995598216624E-2</v>
      </c>
      <c r="AZ49">
        <f t="shared" si="6"/>
        <v>-0.10582740169675806</v>
      </c>
      <c r="BA49">
        <f t="shared" si="7"/>
        <v>-0.13974697440041886</v>
      </c>
      <c r="BB49">
        <f t="shared" si="8"/>
        <v>-0.18574116882908839</v>
      </c>
      <c r="BC49">
        <f t="shared" si="9"/>
        <v>-0.18561621209897208</v>
      </c>
      <c r="BD49">
        <f t="shared" si="10"/>
        <v>-0.15286797252480167</v>
      </c>
      <c r="BE49">
        <f t="shared" si="11"/>
        <v>-0.11785150889138445</v>
      </c>
      <c r="BF49">
        <f t="shared" si="12"/>
        <v>4.6871283413432138E-4</v>
      </c>
      <c r="BG49">
        <f t="shared" si="13"/>
        <v>0.17774589469204954</v>
      </c>
      <c r="BH49">
        <f t="shared" si="14"/>
        <v>-0.15597475604086425</v>
      </c>
      <c r="BI49">
        <f t="shared" si="15"/>
        <v>-0.30001702031875399</v>
      </c>
      <c r="BJ49">
        <f t="shared" si="16"/>
        <v>-2.5806969788645016E-2</v>
      </c>
      <c r="BK49">
        <f t="shared" si="17"/>
        <v>1.2205304609198317E-2</v>
      </c>
      <c r="BL49">
        <f t="shared" si="18"/>
        <v>-0.28247867764769258</v>
      </c>
      <c r="BM49">
        <f t="shared" si="19"/>
        <v>-0.18875598195231827</v>
      </c>
      <c r="BN49">
        <f t="shared" si="20"/>
        <v>0.11997431751082463</v>
      </c>
      <c r="BO49">
        <f t="shared" si="21"/>
        <v>7.291354475022091E-2</v>
      </c>
      <c r="BP49">
        <f t="shared" si="22"/>
        <v>-3.3184191411937394E-3</v>
      </c>
      <c r="BQ49">
        <f t="shared" si="23"/>
        <v>0.1707617050874605</v>
      </c>
      <c r="BR49">
        <f t="shared" si="24"/>
        <v>-0.16917707215312769</v>
      </c>
      <c r="BS49">
        <f t="shared" si="25"/>
        <v>4.8689559819905567E-2</v>
      </c>
      <c r="BT49">
        <f t="shared" si="26"/>
        <v>0.15783732482132057</v>
      </c>
      <c r="BU49">
        <f t="shared" si="27"/>
        <v>-0.27427965426838424</v>
      </c>
      <c r="BV49">
        <f t="shared" si="28"/>
        <v>-1.9630856975879928E-2</v>
      </c>
      <c r="BW49">
        <f t="shared" si="29"/>
        <v>-0.1923262428468632</v>
      </c>
      <c r="BX49">
        <f t="shared" si="30"/>
        <v>-0.34077813374590693</v>
      </c>
      <c r="BY49">
        <f t="shared" si="31"/>
        <v>7.7677778043051648E-2</v>
      </c>
      <c r="BZ49">
        <f t="shared" si="32"/>
        <v>-6.3604232449503487E-2</v>
      </c>
      <c r="CA49">
        <f t="shared" si="33"/>
        <v>0.41731071979721024</v>
      </c>
      <c r="CB49">
        <f t="shared" si="34"/>
        <v>0.10915172053425146</v>
      </c>
      <c r="CC49">
        <f t="shared" si="35"/>
        <v>-1.081806727845311E-2</v>
      </c>
      <c r="CD49">
        <f t="shared" si="36"/>
        <v>6.4381960073054176E-2</v>
      </c>
      <c r="CE49">
        <f t="shared" si="37"/>
        <v>-8.3653412917298747E-2</v>
      </c>
      <c r="CG49">
        <f t="shared" si="41"/>
        <v>1.0000000000000004</v>
      </c>
      <c r="CH49">
        <f t="shared" si="42"/>
        <v>1.0000000000000002</v>
      </c>
      <c r="CJ49">
        <f>SUMPRODUCT(AS49:CE49,'PC1'!AS49:CE49)</f>
        <v>-0.26625227135771579</v>
      </c>
      <c r="CK49" s="1" t="s">
        <v>50</v>
      </c>
      <c r="CM49">
        <f>SUMPRODUCT(AS49:CE49,'PC2'!AS49:CE49)</f>
        <v>-0.24524582596980665</v>
      </c>
      <c r="CN49">
        <f t="shared" si="43"/>
        <v>0.24524582596980665</v>
      </c>
      <c r="CO49">
        <f t="shared" si="44"/>
        <v>0.25034807053322844</v>
      </c>
      <c r="CP49">
        <v>-1.2792902969000727E-2</v>
      </c>
      <c r="CQ49">
        <v>1.2792902969000727E-2</v>
      </c>
      <c r="CR49">
        <v>1.2793600926071657E-2</v>
      </c>
      <c r="CS49" t="s">
        <v>110</v>
      </c>
      <c r="CT49">
        <f t="shared" si="45"/>
        <v>0.26625227135771579</v>
      </c>
      <c r="CU49">
        <f t="shared" si="46"/>
        <v>0.2728257868690554</v>
      </c>
      <c r="CV49">
        <f t="shared" si="47"/>
        <v>0.24524582596980665</v>
      </c>
      <c r="CW49">
        <f t="shared" si="48"/>
        <v>0.25034807053322844</v>
      </c>
      <c r="CX49">
        <v>0.42736655987869038</v>
      </c>
      <c r="CY49">
        <v>0.45667033375859395</v>
      </c>
      <c r="CZ49">
        <v>0.11406931266973121</v>
      </c>
      <c r="DA49">
        <v>0.11456796082135944</v>
      </c>
    </row>
    <row r="50" spans="1:105" x14ac:dyDescent="0.25">
      <c r="A50" s="1" t="s">
        <v>51</v>
      </c>
      <c r="B50">
        <v>-6.0845950311971403E-3</v>
      </c>
      <c r="C50">
        <v>-2.4785436961009901E-2</v>
      </c>
      <c r="D50">
        <v>9.90127447252735E-4</v>
      </c>
      <c r="E50">
        <v>-8.1983555395979991E-3</v>
      </c>
      <c r="F50">
        <v>3.0192238474144499E-3</v>
      </c>
      <c r="G50">
        <v>7.8478317973475695E-3</v>
      </c>
      <c r="H50">
        <v>2.17914836062033E-2</v>
      </c>
      <c r="I50">
        <v>-9.1366570917602308E-3</v>
      </c>
      <c r="J50">
        <v>3.3350782110575297E-4</v>
      </c>
      <c r="K50">
        <v>1.0219666157814399E-2</v>
      </c>
      <c r="L50">
        <v>2.4773832996253802E-3</v>
      </c>
      <c r="M50">
        <v>4.1496609961766701E-3</v>
      </c>
      <c r="N50">
        <v>-1.23684668092635E-2</v>
      </c>
      <c r="O50">
        <v>-2.0383662969462299E-2</v>
      </c>
      <c r="P50">
        <v>1.30676139084241E-2</v>
      </c>
      <c r="Q50">
        <v>-1.0437779996273801E-2</v>
      </c>
      <c r="R50">
        <v>3.6225814441114999E-4</v>
      </c>
      <c r="S50">
        <v>6.7650749808496396E-3</v>
      </c>
      <c r="T50">
        <v>1.2355008215943901E-2</v>
      </c>
      <c r="U50">
        <v>5.5480846519647504E-4</v>
      </c>
      <c r="V50">
        <v>1.07611853914805E-2</v>
      </c>
      <c r="W50">
        <v>-1.72867123410974E-3</v>
      </c>
      <c r="X50">
        <v>9.8789436890550295E-3</v>
      </c>
      <c r="Y50">
        <v>-9.4857352410455797E-3</v>
      </c>
      <c r="Z50">
        <v>2.1645442285135302E-2</v>
      </c>
      <c r="AA50">
        <v>9.3901879573313803E-3</v>
      </c>
      <c r="AB50">
        <v>4.1129354152431999E-3</v>
      </c>
      <c r="AC50">
        <v>-1.6213669606012799E-2</v>
      </c>
      <c r="AD50">
        <v>1.95785948056066E-2</v>
      </c>
      <c r="AE50">
        <v>1.6825948815185301E-2</v>
      </c>
      <c r="AF50">
        <v>-4.7677753049377601E-3</v>
      </c>
      <c r="AG50">
        <v>7.58392865194156E-3</v>
      </c>
      <c r="AH50">
        <v>1.49654085300243E-2</v>
      </c>
      <c r="AI50">
        <v>-2.1322712784147501E-2</v>
      </c>
      <c r="AJ50">
        <v>4.1719978573095798E-2</v>
      </c>
      <c r="AK50">
        <v>-1.7235855959815201E-2</v>
      </c>
      <c r="AL50">
        <v>-4.2446858548846897E-3</v>
      </c>
      <c r="AM50">
        <v>-1.1032301774058499E-2</v>
      </c>
      <c r="AN50">
        <v>-3.5088809208931898E-2</v>
      </c>
      <c r="AP50">
        <f t="shared" si="38"/>
        <v>8.5002811753132467E-3</v>
      </c>
      <c r="AQ50">
        <f t="shared" si="39"/>
        <v>9.219696944755422E-2</v>
      </c>
      <c r="AS50">
        <f t="shared" si="40"/>
        <v>-6.5995607747804899E-2</v>
      </c>
      <c r="AT50">
        <f t="shared" si="0"/>
        <v>-0.26883136299950694</v>
      </c>
      <c r="AU50">
        <f t="shared" si="1"/>
        <v>1.0739262398597212E-2</v>
      </c>
      <c r="AV50">
        <f t="shared" si="2"/>
        <v>-8.8922180292071232E-2</v>
      </c>
      <c r="AW50">
        <f t="shared" si="3"/>
        <v>3.274753894304433E-2</v>
      </c>
      <c r="AX50">
        <f t="shared" si="4"/>
        <v>8.5120279379809427E-2</v>
      </c>
      <c r="AY50">
        <f t="shared" si="5"/>
        <v>0.23635791649962284</v>
      </c>
      <c r="AZ50">
        <f t="shared" si="6"/>
        <v>-9.9099321230483303E-2</v>
      </c>
      <c r="BA50">
        <f t="shared" si="7"/>
        <v>3.6173403866107249E-3</v>
      </c>
      <c r="BB50">
        <f t="shared" si="8"/>
        <v>0.11084600957114761</v>
      </c>
      <c r="BC50">
        <f t="shared" si="9"/>
        <v>2.6870550241183656E-2</v>
      </c>
      <c r="BD50">
        <f t="shared" si="10"/>
        <v>4.5008648560158841E-2</v>
      </c>
      <c r="BE50">
        <f t="shared" si="11"/>
        <v>-0.13415263954309517</v>
      </c>
      <c r="BF50">
        <f t="shared" si="12"/>
        <v>-0.22108821029152637</v>
      </c>
      <c r="BG50">
        <f t="shared" si="13"/>
        <v>0.14173582913544189</v>
      </c>
      <c r="BH50">
        <f t="shared" si="14"/>
        <v>-0.1132117471845024</v>
      </c>
      <c r="BI50">
        <f t="shared" si="15"/>
        <v>3.9291762688275639E-3</v>
      </c>
      <c r="BJ50">
        <f t="shared" si="16"/>
        <v>7.3376327024479021E-2</v>
      </c>
      <c r="BK50">
        <f t="shared" si="17"/>
        <v>0.13400666301696593</v>
      </c>
      <c r="BL50">
        <f t="shared" si="18"/>
        <v>6.017643188500627E-3</v>
      </c>
      <c r="BM50">
        <f t="shared" si="19"/>
        <v>0.11671951318966017</v>
      </c>
      <c r="BN50">
        <f t="shared" si="20"/>
        <v>-1.8749761998338631E-2</v>
      </c>
      <c r="BO50">
        <f t="shared" si="21"/>
        <v>0.10715041663787676</v>
      </c>
      <c r="BP50">
        <f t="shared" si="22"/>
        <v>-0.10288554274488916</v>
      </c>
      <c r="BQ50">
        <f t="shared" si="23"/>
        <v>0.23477390216658045</v>
      </c>
      <c r="BR50">
        <f t="shared" si="24"/>
        <v>0.10184920408553061</v>
      </c>
      <c r="BS50">
        <f t="shared" si="25"/>
        <v>4.4610310294231771E-2</v>
      </c>
      <c r="BT50">
        <f t="shared" si="26"/>
        <v>-0.17585902989182159</v>
      </c>
      <c r="BU50">
        <f t="shared" si="27"/>
        <v>0.21235616444794084</v>
      </c>
      <c r="BV50">
        <f t="shared" si="28"/>
        <v>0.18250002051050776</v>
      </c>
      <c r="BW50">
        <f t="shared" si="29"/>
        <v>-5.1712928673321362E-2</v>
      </c>
      <c r="BX50">
        <f t="shared" si="30"/>
        <v>8.2257895214827417E-2</v>
      </c>
      <c r="BY50">
        <f t="shared" si="31"/>
        <v>0.16231996148785885</v>
      </c>
      <c r="BZ50">
        <f t="shared" si="32"/>
        <v>-0.23127346714228844</v>
      </c>
      <c r="CA50">
        <f t="shared" si="33"/>
        <v>0.45250921828648605</v>
      </c>
      <c r="CB50">
        <f t="shared" si="34"/>
        <v>-0.18694601420299103</v>
      </c>
      <c r="CC50">
        <f t="shared" si="35"/>
        <v>-4.6039320818449005E-2</v>
      </c>
      <c r="CD50">
        <f t="shared" si="36"/>
        <v>-0.11966013460273407</v>
      </c>
      <c r="CE50">
        <f t="shared" si="37"/>
        <v>-0.38058527757674282</v>
      </c>
      <c r="CG50">
        <f t="shared" si="41"/>
        <v>1.0000000000000002</v>
      </c>
      <c r="CH50">
        <f t="shared" si="42"/>
        <v>1</v>
      </c>
      <c r="CJ50">
        <f>SUMPRODUCT(AS50:CE50,'PC1'!AS50:CE50)</f>
        <v>9.5933471390790739E-2</v>
      </c>
      <c r="CK50" s="1" t="s">
        <v>51</v>
      </c>
      <c r="CM50">
        <f>SUMPRODUCT(AS50:CE50,'PC2'!AS50:CE50)</f>
        <v>-0.33756702006462325</v>
      </c>
      <c r="CN50">
        <f t="shared" si="43"/>
        <v>0.33756702006462325</v>
      </c>
      <c r="CO50">
        <f t="shared" si="44"/>
        <v>0.35134409779644049</v>
      </c>
      <c r="CP50">
        <v>-0.4420352447977467</v>
      </c>
      <c r="CQ50">
        <v>0.4420352447977467</v>
      </c>
      <c r="CR50">
        <v>0.47475748074351543</v>
      </c>
      <c r="CS50" t="s">
        <v>110</v>
      </c>
      <c r="CT50">
        <f t="shared" si="45"/>
        <v>9.5933471390790739E-2</v>
      </c>
      <c r="CU50">
        <f t="shared" si="46"/>
        <v>9.6229406550614752E-2</v>
      </c>
      <c r="CV50">
        <f t="shared" si="47"/>
        <v>0.33756702006462325</v>
      </c>
      <c r="CW50">
        <f t="shared" si="48"/>
        <v>0.35134409779644049</v>
      </c>
      <c r="CX50">
        <v>0.24265700567929432</v>
      </c>
      <c r="CY50">
        <v>0.24759543251521754</v>
      </c>
      <c r="CZ50">
        <v>0.17709623943971559</v>
      </c>
      <c r="DA50">
        <v>0.17898330707886703</v>
      </c>
    </row>
    <row r="51" spans="1:105" x14ac:dyDescent="0.25">
      <c r="A51" s="1" t="s">
        <v>52</v>
      </c>
      <c r="B51">
        <v>1.4624832102695499E-3</v>
      </c>
      <c r="C51">
        <v>-1.5167698847469799E-2</v>
      </c>
      <c r="D51">
        <v>-5.2225105134531304E-3</v>
      </c>
      <c r="E51">
        <v>-7.0469771960954899E-3</v>
      </c>
      <c r="F51">
        <v>-1.4140030059818599E-2</v>
      </c>
      <c r="G51">
        <v>-2.2736446991586001E-2</v>
      </c>
      <c r="H51">
        <v>-1.1448301896619601E-2</v>
      </c>
      <c r="I51">
        <v>1.5366826744511301E-3</v>
      </c>
      <c r="J51">
        <v>-1.57580452908203E-2</v>
      </c>
      <c r="K51">
        <v>2.2230700888681899E-3</v>
      </c>
      <c r="L51">
        <v>-1.3077050442718801E-2</v>
      </c>
      <c r="M51">
        <v>-5.5385610729346496E-3</v>
      </c>
      <c r="N51">
        <v>-3.4471846377978399E-2</v>
      </c>
      <c r="O51">
        <v>-2.65993512861777E-2</v>
      </c>
      <c r="P51">
        <v>-2.1282352188111399E-2</v>
      </c>
      <c r="Q51">
        <v>5.6056217785149997E-3</v>
      </c>
      <c r="R51">
        <v>1.33983171769695E-2</v>
      </c>
      <c r="S51">
        <v>1.4237416103774599E-2</v>
      </c>
      <c r="T51">
        <v>1.7646043972525501E-2</v>
      </c>
      <c r="U51">
        <v>3.2226417871233301E-2</v>
      </c>
      <c r="V51">
        <v>-2.5362340733925898E-3</v>
      </c>
      <c r="W51">
        <v>-2.1173099517335899E-3</v>
      </c>
      <c r="X51">
        <v>-1.94765978281136E-2</v>
      </c>
      <c r="Y51">
        <v>-1.39348838886549E-2</v>
      </c>
      <c r="Z51">
        <v>1.1560547603575199E-2</v>
      </c>
      <c r="AA51">
        <v>-9.7109464009448292E-3</v>
      </c>
      <c r="AB51">
        <v>-1.2899709363150399E-3</v>
      </c>
      <c r="AC51">
        <v>-1.55238067036228E-2</v>
      </c>
      <c r="AD51">
        <v>4.4988155669344497E-3</v>
      </c>
      <c r="AE51">
        <v>5.9843033885261399E-3</v>
      </c>
      <c r="AF51">
        <v>-6.1884441554107203E-3</v>
      </c>
      <c r="AG51">
        <v>-2.3453546964256201E-2</v>
      </c>
      <c r="AH51">
        <v>-2.1347194051579799E-2</v>
      </c>
      <c r="AI51">
        <v>-3.5415099716946299E-2</v>
      </c>
      <c r="AJ51">
        <v>-3.4831517226829499E-2</v>
      </c>
      <c r="AK51">
        <v>-3.1483993450203002E-2</v>
      </c>
      <c r="AL51">
        <v>1.1521427367854799E-2</v>
      </c>
      <c r="AM51">
        <v>3.0554321738789402E-3</v>
      </c>
      <c r="AN51">
        <v>-1.02840549103286E-2</v>
      </c>
      <c r="AP51">
        <f t="shared" si="38"/>
        <v>1.1588427628399161E-2</v>
      </c>
      <c r="AQ51">
        <f t="shared" si="39"/>
        <v>0.10764955935069666</v>
      </c>
      <c r="AS51">
        <f t="shared" si="40"/>
        <v>1.3585594024636251E-2</v>
      </c>
      <c r="AT51">
        <f t="shared" si="0"/>
        <v>-0.14089884750997489</v>
      </c>
      <c r="AU51">
        <f t="shared" si="1"/>
        <v>-4.8513998059568769E-2</v>
      </c>
      <c r="AV51">
        <f t="shared" si="2"/>
        <v>-6.5462201969058831E-2</v>
      </c>
      <c r="AW51">
        <f t="shared" si="3"/>
        <v>-0.13135241932346184</v>
      </c>
      <c r="AX51">
        <f t="shared" si="4"/>
        <v>-0.21120798941234925</v>
      </c>
      <c r="AY51">
        <f t="shared" si="5"/>
        <v>-0.10634787513921684</v>
      </c>
      <c r="AZ51">
        <f t="shared" si="6"/>
        <v>1.4274862653594182E-2</v>
      </c>
      <c r="BA51">
        <f t="shared" si="7"/>
        <v>-0.14638281276641679</v>
      </c>
      <c r="BB51">
        <f t="shared" si="8"/>
        <v>2.0650991070255628E-2</v>
      </c>
      <c r="BC51">
        <f t="shared" si="9"/>
        <v>-0.12147797465772137</v>
      </c>
      <c r="BD51">
        <f t="shared" si="10"/>
        <v>-5.1449918665169223E-2</v>
      </c>
      <c r="BE51">
        <f t="shared" si="11"/>
        <v>-0.32022282846209638</v>
      </c>
      <c r="BF51">
        <f t="shared" si="12"/>
        <v>-0.2470920591465065</v>
      </c>
      <c r="BG51">
        <f t="shared" si="13"/>
        <v>-0.19770031866808258</v>
      </c>
      <c r="BH51">
        <f t="shared" si="14"/>
        <v>5.2072872497816898E-2</v>
      </c>
      <c r="BI51">
        <f t="shared" si="15"/>
        <v>0.12446235040610774</v>
      </c>
      <c r="BJ51">
        <f t="shared" si="16"/>
        <v>0.1322570774060717</v>
      </c>
      <c r="BK51">
        <f t="shared" si="17"/>
        <v>0.16392119093622007</v>
      </c>
      <c r="BL51">
        <f t="shared" si="18"/>
        <v>0.2993641410667302</v>
      </c>
      <c r="BM51">
        <f t="shared" si="19"/>
        <v>-2.3560097121532494E-2</v>
      </c>
      <c r="BN51">
        <f t="shared" si="20"/>
        <v>-1.9668542672208231E-2</v>
      </c>
      <c r="BO51">
        <f t="shared" si="21"/>
        <v>-0.18092594104044102</v>
      </c>
      <c r="BP51">
        <f t="shared" si="22"/>
        <v>-0.12944673413161278</v>
      </c>
      <c r="BQ51">
        <f t="shared" si="23"/>
        <v>0.10739057060060678</v>
      </c>
      <c r="BR51">
        <f t="shared" si="24"/>
        <v>-9.0208882038326568E-2</v>
      </c>
      <c r="BS51">
        <f t="shared" si="25"/>
        <v>-1.1983058213110019E-2</v>
      </c>
      <c r="BT51">
        <f t="shared" si="26"/>
        <v>-0.14420687643550803</v>
      </c>
      <c r="BU51">
        <f t="shared" si="27"/>
        <v>4.1791304990653783E-2</v>
      </c>
      <c r="BV51">
        <f t="shared" si="28"/>
        <v>5.5590598090891417E-2</v>
      </c>
      <c r="BW51">
        <f t="shared" si="29"/>
        <v>-5.7486943678517449E-2</v>
      </c>
      <c r="BX51">
        <f t="shared" si="30"/>
        <v>-0.21786941911996244</v>
      </c>
      <c r="BY51">
        <f t="shared" si="31"/>
        <v>-0.198302660785036</v>
      </c>
      <c r="BZ51">
        <f t="shared" si="32"/>
        <v>-0.32898508763581957</v>
      </c>
      <c r="CA51">
        <f t="shared" si="33"/>
        <v>-0.32356395545806838</v>
      </c>
      <c r="CB51">
        <f t="shared" si="34"/>
        <v>-0.29246746238538368</v>
      </c>
      <c r="CC51">
        <f t="shared" si="35"/>
        <v>0.10702716701626924</v>
      </c>
      <c r="CD51">
        <f t="shared" si="36"/>
        <v>2.83831368405798E-2</v>
      </c>
      <c r="CE51">
        <f t="shared" si="37"/>
        <v>-9.5532717201615241E-2</v>
      </c>
      <c r="CG51">
        <f t="shared" si="41"/>
        <v>0.99999999999999956</v>
      </c>
      <c r="CH51">
        <f t="shared" si="42"/>
        <v>0.99999999999999978</v>
      </c>
      <c r="CJ51">
        <f>SUMPRODUCT(AS51:CE51,'PC1'!AS51:CE51)</f>
        <v>-0.19195524573060793</v>
      </c>
      <c r="CK51" s="4" t="s">
        <v>52</v>
      </c>
      <c r="CM51">
        <f>SUMPRODUCT(AS51:CE51,'PC2'!AS51:CE51)</f>
        <v>-0.23880932986801112</v>
      </c>
      <c r="CN51">
        <f t="shared" si="43"/>
        <v>0.23880932986801112</v>
      </c>
      <c r="CO51">
        <f t="shared" si="44"/>
        <v>0.24351105044431812</v>
      </c>
      <c r="CP51">
        <v>0.18868452639245348</v>
      </c>
      <c r="CQ51">
        <v>0.18868452639245348</v>
      </c>
      <c r="CR51">
        <v>0.19097278141090077</v>
      </c>
      <c r="CS51" t="s">
        <v>110</v>
      </c>
      <c r="CT51">
        <f t="shared" si="45"/>
        <v>0.19195524573060793</v>
      </c>
      <c r="CU51">
        <f t="shared" si="46"/>
        <v>0.19436642772898949</v>
      </c>
      <c r="CV51">
        <f t="shared" si="47"/>
        <v>0.23880932986801112</v>
      </c>
      <c r="CW51">
        <f t="shared" si="48"/>
        <v>0.24351105044431812</v>
      </c>
      <c r="CX51">
        <v>0.60268811847783121</v>
      </c>
      <c r="CY51">
        <v>0.69735800224440159</v>
      </c>
      <c r="CZ51">
        <v>0.48251148272030636</v>
      </c>
      <c r="DA51">
        <v>0.52625277014560667</v>
      </c>
    </row>
    <row r="52" spans="1:105" x14ac:dyDescent="0.25">
      <c r="A52" s="1" t="s">
        <v>53</v>
      </c>
      <c r="B52">
        <v>3.12655420393949E-3</v>
      </c>
      <c r="C52">
        <v>9.2333099931241596E-3</v>
      </c>
      <c r="D52">
        <v>-3.3859210925772298E-3</v>
      </c>
      <c r="E52">
        <v>-1.22321073511497E-2</v>
      </c>
      <c r="F52">
        <v>7.1065123073527896E-3</v>
      </c>
      <c r="G52">
        <v>-3.4871794196787301E-3</v>
      </c>
      <c r="H52">
        <v>-1.46912097334918E-2</v>
      </c>
      <c r="I52">
        <v>-1.3630822255060401E-2</v>
      </c>
      <c r="J52">
        <v>-3.4367213158029799E-3</v>
      </c>
      <c r="K52">
        <v>1.7541943245731901E-2</v>
      </c>
      <c r="L52">
        <v>1.5900684928655699E-2</v>
      </c>
      <c r="M52">
        <v>8.5556094871167103E-3</v>
      </c>
      <c r="N52">
        <v>-1.83136248083644E-2</v>
      </c>
      <c r="O52">
        <v>6.9646032186838703E-3</v>
      </c>
      <c r="P52">
        <v>7.0043219042025097E-3</v>
      </c>
      <c r="Q52">
        <v>-1.7326827340263501E-2</v>
      </c>
      <c r="R52">
        <v>-3.0316516282744201E-2</v>
      </c>
      <c r="S52">
        <v>-1.86243362048161E-2</v>
      </c>
      <c r="T52">
        <v>-2.0525786323141299E-2</v>
      </c>
      <c r="U52">
        <v>-2.8559038103345299E-2</v>
      </c>
      <c r="V52">
        <v>3.24797024380944E-2</v>
      </c>
      <c r="W52">
        <v>7.64802972362156E-3</v>
      </c>
      <c r="X52">
        <v>-2.7002292888653199E-3</v>
      </c>
      <c r="Y52">
        <v>1.3040404383376201E-2</v>
      </c>
      <c r="Z52">
        <v>7.1097660320470297E-4</v>
      </c>
      <c r="AA52">
        <v>8.9651288179042304E-4</v>
      </c>
      <c r="AB52">
        <v>-2.93650168197624E-3</v>
      </c>
      <c r="AC52">
        <v>1.2278211577782E-2</v>
      </c>
      <c r="AD52">
        <v>-1.7933461819471599E-2</v>
      </c>
      <c r="AE52">
        <v>-1.62087096501554E-2</v>
      </c>
      <c r="AF52">
        <v>-1.83007159879229E-3</v>
      </c>
      <c r="AG52">
        <v>9.2546816303390508E-3</v>
      </c>
      <c r="AH52">
        <v>1.87894516483454E-2</v>
      </c>
      <c r="AI52">
        <v>-1.25689040534246E-3</v>
      </c>
      <c r="AJ52">
        <v>-4.93618598425091E-3</v>
      </c>
      <c r="AK52">
        <v>5.01525469722489E-3</v>
      </c>
      <c r="AL52">
        <v>-2.2782167149296099E-2</v>
      </c>
      <c r="AM52">
        <v>-9.5312356244481207E-3</v>
      </c>
      <c r="AN52">
        <v>2.70534832995798E-3</v>
      </c>
      <c r="AP52">
        <f t="shared" si="38"/>
        <v>7.7481465213856994E-3</v>
      </c>
      <c r="AQ52">
        <f t="shared" si="39"/>
        <v>8.8023556627676094E-2</v>
      </c>
      <c r="AS52">
        <f t="shared" si="40"/>
        <v>3.5519516862562772E-2</v>
      </c>
      <c r="AT52">
        <f t="shared" si="0"/>
        <v>0.10489589772178157</v>
      </c>
      <c r="AU52">
        <f t="shared" si="1"/>
        <v>-3.8466079107653768E-2</v>
      </c>
      <c r="AV52">
        <f t="shared" si="2"/>
        <v>-0.13896402076650149</v>
      </c>
      <c r="AW52">
        <f t="shared" si="3"/>
        <v>8.0734210018484784E-2</v>
      </c>
      <c r="AX52">
        <f t="shared" si="4"/>
        <v>-3.9616433978336904E-2</v>
      </c>
      <c r="AY52">
        <f t="shared" si="5"/>
        <v>-0.1669008876298079</v>
      </c>
      <c r="AZ52">
        <f t="shared" si="6"/>
        <v>-0.15485425467089839</v>
      </c>
      <c r="BA52">
        <f t="shared" si="7"/>
        <v>-3.9043199882727947E-2</v>
      </c>
      <c r="BB52">
        <f t="shared" si="8"/>
        <v>0.19928691725024456</v>
      </c>
      <c r="BC52">
        <f t="shared" si="9"/>
        <v>0.18064124579642643</v>
      </c>
      <c r="BD52">
        <f t="shared" si="10"/>
        <v>9.7196816567017494E-2</v>
      </c>
      <c r="BE52">
        <f t="shared" si="11"/>
        <v>-0.20805367915122719</v>
      </c>
      <c r="BF52">
        <f t="shared" si="12"/>
        <v>7.9122038298712435E-2</v>
      </c>
      <c r="BG52">
        <f t="shared" si="13"/>
        <v>7.9573266209061952E-2</v>
      </c>
      <c r="BH52">
        <f t="shared" si="14"/>
        <v>-0.19684307251470062</v>
      </c>
      <c r="BI52">
        <f t="shared" si="15"/>
        <v>-0.34441367111508164</v>
      </c>
      <c r="BJ52">
        <f t="shared" si="16"/>
        <v>-0.21158354556830408</v>
      </c>
      <c r="BK52">
        <f t="shared" si="17"/>
        <v>-0.23318515076551274</v>
      </c>
      <c r="BL52">
        <f t="shared" si="18"/>
        <v>-0.32444767284449688</v>
      </c>
      <c r="BM52">
        <f t="shared" si="19"/>
        <v>0.36898875349331467</v>
      </c>
      <c r="BN52">
        <f t="shared" si="20"/>
        <v>8.6886170209769617E-2</v>
      </c>
      <c r="BO52">
        <f t="shared" si="21"/>
        <v>-3.0676212054084648E-2</v>
      </c>
      <c r="BP52">
        <f t="shared" si="22"/>
        <v>0.14814675619771625</v>
      </c>
      <c r="BQ52">
        <f t="shared" si="23"/>
        <v>8.0771174267816378E-3</v>
      </c>
      <c r="BR52">
        <f t="shared" si="24"/>
        <v>1.0184919993434396E-2</v>
      </c>
      <c r="BS52">
        <f t="shared" si="25"/>
        <v>-3.3360407082812127E-2</v>
      </c>
      <c r="BT52">
        <f t="shared" si="26"/>
        <v>0.13948779222494542</v>
      </c>
      <c r="BU52">
        <f t="shared" si="27"/>
        <v>-0.20373480130241653</v>
      </c>
      <c r="BV52">
        <f t="shared" si="28"/>
        <v>-0.18414058998678437</v>
      </c>
      <c r="BW52">
        <f t="shared" si="29"/>
        <v>-2.0790702726693557E-2</v>
      </c>
      <c r="BX52">
        <f t="shared" si="30"/>
        <v>0.10513869224217672</v>
      </c>
      <c r="BY52">
        <f t="shared" si="31"/>
        <v>0.21345935529305435</v>
      </c>
      <c r="BZ52">
        <f t="shared" si="32"/>
        <v>-1.4279023178521196E-2</v>
      </c>
      <c r="CA52">
        <f t="shared" si="33"/>
        <v>-5.6078011084352043E-2</v>
      </c>
      <c r="CB52">
        <f t="shared" si="34"/>
        <v>5.6976278730005429E-2</v>
      </c>
      <c r="CC52">
        <f t="shared" si="35"/>
        <v>-0.25881898007894172</v>
      </c>
      <c r="CD52">
        <f t="shared" si="36"/>
        <v>-0.10828051023618079</v>
      </c>
      <c r="CE52">
        <f t="shared" si="37"/>
        <v>3.073436740804646E-2</v>
      </c>
      <c r="CG52">
        <f t="shared" si="41"/>
        <v>1</v>
      </c>
      <c r="CH52">
        <f t="shared" si="42"/>
        <v>1</v>
      </c>
      <c r="CJ52">
        <f>SUMPRODUCT(AS52:CE52,'PC1'!AS52:CE52)</f>
        <v>-0.29391315912969268</v>
      </c>
      <c r="CK52" s="1" t="s">
        <v>53</v>
      </c>
      <c r="CM52">
        <f>SUMPRODUCT(AS52:CE52,'PC2'!AS52:CE52)</f>
        <v>0.32237819043598914</v>
      </c>
      <c r="CN52">
        <f t="shared" si="43"/>
        <v>0.32237819043598914</v>
      </c>
      <c r="CO52">
        <f t="shared" si="44"/>
        <v>0.33429886232627332</v>
      </c>
      <c r="CP52">
        <v>0.12289410956476277</v>
      </c>
      <c r="CQ52">
        <v>0.12289410956476277</v>
      </c>
      <c r="CR52">
        <v>0.12351846554371607</v>
      </c>
      <c r="CS52" t="s">
        <v>110</v>
      </c>
      <c r="CT52">
        <f t="shared" si="45"/>
        <v>0.29391315912969268</v>
      </c>
      <c r="CU52">
        <f t="shared" si="46"/>
        <v>0.30284406420228394</v>
      </c>
      <c r="CV52">
        <f t="shared" si="47"/>
        <v>0.32237819043598914</v>
      </c>
      <c r="CW52">
        <f t="shared" si="48"/>
        <v>0.33429886232627332</v>
      </c>
      <c r="CX52">
        <v>0.45469175459286021</v>
      </c>
      <c r="CY52">
        <v>0.49059904098324153</v>
      </c>
      <c r="CZ52">
        <v>0.18373015138513696</v>
      </c>
      <c r="DA52">
        <v>0.18584043982926748</v>
      </c>
    </row>
    <row r="53" spans="1:105" x14ac:dyDescent="0.25">
      <c r="A53" s="1" t="s">
        <v>54</v>
      </c>
      <c r="B53">
        <v>1.0614682511837999E-2</v>
      </c>
      <c r="C53">
        <v>4.1111877083488201E-2</v>
      </c>
      <c r="D53">
        <v>6.7771964407973506E-2</v>
      </c>
      <c r="E53">
        <v>3.2174177454380899E-2</v>
      </c>
      <c r="F53">
        <v>7.09789812107086E-2</v>
      </c>
      <c r="G53">
        <v>0.115870467983509</v>
      </c>
      <c r="H53">
        <v>-2.02929154194383E-3</v>
      </c>
      <c r="I53">
        <v>2.5531748747485102E-2</v>
      </c>
      <c r="J53">
        <v>8.0527589000703406E-2</v>
      </c>
      <c r="K53">
        <v>0.120851182442389</v>
      </c>
      <c r="L53">
        <v>4.5047241131780998E-2</v>
      </c>
      <c r="M53">
        <v>0.117707271717293</v>
      </c>
      <c r="N53">
        <v>6.7536191198089901E-2</v>
      </c>
      <c r="O53">
        <v>9.6829515559524598E-2</v>
      </c>
      <c r="P53">
        <v>2.5615007072166199E-2</v>
      </c>
      <c r="Q53">
        <v>3.2584614737721E-2</v>
      </c>
      <c r="R53">
        <v>9.0476711435479501E-2</v>
      </c>
      <c r="S53">
        <v>5.95051735683335E-2</v>
      </c>
      <c r="T53">
        <v>3.8363210470979597E-2</v>
      </c>
      <c r="U53">
        <v>1.4787684734455599E-2</v>
      </c>
      <c r="V53">
        <v>6.5785754221035896E-3</v>
      </c>
      <c r="W53">
        <v>7.3244064982620899E-2</v>
      </c>
      <c r="X53">
        <v>6.3033464407655795E-2</v>
      </c>
      <c r="Y53">
        <v>4.28756882789635E-2</v>
      </c>
      <c r="Z53">
        <v>5.6159696126953998E-2</v>
      </c>
      <c r="AA53">
        <v>5.1155745167205099E-2</v>
      </c>
      <c r="AB53">
        <v>1.1501089128348701E-2</v>
      </c>
      <c r="AC53">
        <v>3.9565030043898802E-2</v>
      </c>
      <c r="AD53">
        <v>8.4325614636122606E-2</v>
      </c>
      <c r="AE53">
        <v>2.7586362283400001E-2</v>
      </c>
      <c r="AF53">
        <v>3.2999349076197802E-2</v>
      </c>
      <c r="AG53">
        <v>9.4554267817293897E-2</v>
      </c>
      <c r="AH53">
        <v>3.4422553114323601E-2</v>
      </c>
      <c r="AI53">
        <v>5.0868351608695503E-2</v>
      </c>
      <c r="AJ53">
        <v>-8.7970194156907502E-2</v>
      </c>
      <c r="AK53">
        <v>7.1968804683852902E-2</v>
      </c>
      <c r="AL53">
        <v>8.1245691734373696E-2</v>
      </c>
      <c r="AM53">
        <v>5.6129923053216402E-3</v>
      </c>
      <c r="AN53">
        <v>6.2387909084897601E-2</v>
      </c>
      <c r="AP53">
        <f t="shared" si="38"/>
        <v>0.15640196041732352</v>
      </c>
      <c r="AQ53">
        <f t="shared" si="39"/>
        <v>0.39547687722207414</v>
      </c>
      <c r="AS53">
        <f t="shared" si="40"/>
        <v>2.6840210194836456E-2</v>
      </c>
      <c r="AT53">
        <f t="shared" si="0"/>
        <v>0.10395519801882738</v>
      </c>
      <c r="AU53">
        <f t="shared" si="1"/>
        <v>0.17136770393257952</v>
      </c>
      <c r="AV53">
        <f t="shared" si="2"/>
        <v>8.1355394733518063E-2</v>
      </c>
      <c r="AW53">
        <f t="shared" si="3"/>
        <v>0.17947694365668668</v>
      </c>
      <c r="AX53">
        <f t="shared" si="4"/>
        <v>0.29298923567266782</v>
      </c>
      <c r="AY53">
        <f t="shared" si="5"/>
        <v>-5.1312520625682789E-3</v>
      </c>
      <c r="AZ53">
        <f t="shared" si="6"/>
        <v>6.4559397067222538E-2</v>
      </c>
      <c r="BA53">
        <f t="shared" si="7"/>
        <v>0.203621484943314</v>
      </c>
      <c r="BB53">
        <f t="shared" si="8"/>
        <v>0.30558343458984788</v>
      </c>
      <c r="BC53">
        <f t="shared" si="9"/>
        <v>0.11390613137284734</v>
      </c>
      <c r="BD53">
        <f t="shared" si="10"/>
        <v>0.29763376444179879</v>
      </c>
      <c r="BE53">
        <f t="shared" si="11"/>
        <v>0.17077152948228111</v>
      </c>
      <c r="BF53">
        <f t="shared" si="12"/>
        <v>0.24484241971282542</v>
      </c>
      <c r="BG53">
        <f t="shared" si="13"/>
        <v>6.4769923470854335E-2</v>
      </c>
      <c r="BH53">
        <f t="shared" si="14"/>
        <v>8.2393223509306709E-2</v>
      </c>
      <c r="BI53">
        <f t="shared" si="15"/>
        <v>0.22877876469291947</v>
      </c>
      <c r="BJ53">
        <f t="shared" si="16"/>
        <v>0.15046435580839093</v>
      </c>
      <c r="BK53">
        <f t="shared" si="17"/>
        <v>9.7004939303789714E-2</v>
      </c>
      <c r="BL53">
        <f t="shared" si="18"/>
        <v>3.7392033734887101E-2</v>
      </c>
      <c r="BM53">
        <f t="shared" si="19"/>
        <v>1.6634538707580339E-2</v>
      </c>
      <c r="BN53">
        <f t="shared" si="20"/>
        <v>0.18520441826360379</v>
      </c>
      <c r="BO53">
        <f t="shared" si="21"/>
        <v>0.15938596676098535</v>
      </c>
      <c r="BP53">
        <f t="shared" si="22"/>
        <v>0.10841515837824141</v>
      </c>
      <c r="BQ53">
        <f t="shared" si="23"/>
        <v>0.14200500550483097</v>
      </c>
      <c r="BR53">
        <f t="shared" si="24"/>
        <v>0.12935205093793475</v>
      </c>
      <c r="BS53">
        <f t="shared" si="25"/>
        <v>2.908157161838424E-2</v>
      </c>
      <c r="BT53">
        <f t="shared" si="26"/>
        <v>0.10004385167045216</v>
      </c>
      <c r="BU53">
        <f t="shared" si="27"/>
        <v>0.21322514536992973</v>
      </c>
      <c r="BV53">
        <f t="shared" si="28"/>
        <v>6.9754678142432303E-2</v>
      </c>
      <c r="BW53">
        <f t="shared" si="29"/>
        <v>8.3441917787945685E-2</v>
      </c>
      <c r="BX53">
        <f t="shared" si="30"/>
        <v>0.23908924456333855</v>
      </c>
      <c r="BY53">
        <f t="shared" si="31"/>
        <v>8.7040621328144371E-2</v>
      </c>
      <c r="BZ53">
        <f t="shared" si="32"/>
        <v>0.12862534964371922</v>
      </c>
      <c r="CA53">
        <f t="shared" si="33"/>
        <v>-0.22244080304980549</v>
      </c>
      <c r="CB53">
        <f t="shared" si="34"/>
        <v>0.18197980420341969</v>
      </c>
      <c r="CC53">
        <f t="shared" si="35"/>
        <v>0.20543727437382234</v>
      </c>
      <c r="CD53">
        <f t="shared" si="36"/>
        <v>1.4192972152376302E-2</v>
      </c>
      <c r="CE53">
        <f t="shared" si="37"/>
        <v>0.15775362019424616</v>
      </c>
      <c r="CG53">
        <f t="shared" si="41"/>
        <v>1</v>
      </c>
      <c r="CH53">
        <f t="shared" si="42"/>
        <v>1</v>
      </c>
      <c r="CJ53">
        <f>SUMPRODUCT(AS53:CE53,'PC1'!AS53:CE53)</f>
        <v>0.82269461338243577</v>
      </c>
      <c r="CK53" s="4" t="s">
        <v>54</v>
      </c>
      <c r="CM53">
        <f>SUMPRODUCT(AS53:CE53,'PC2'!AS53:CE53)</f>
        <v>0.39443296125420024</v>
      </c>
      <c r="CN53">
        <f t="shared" ref="CN53" si="49">ABS(CM53)</f>
        <v>0.39443296125420024</v>
      </c>
      <c r="CO53">
        <f t="shared" ref="CO53" si="50">FISHER(CN53)</f>
        <v>0.41703892951246196</v>
      </c>
      <c r="CS53" t="s">
        <v>110</v>
      </c>
      <c r="CT53">
        <f t="shared" si="45"/>
        <v>0.82269461338243577</v>
      </c>
      <c r="CU53">
        <f t="shared" si="46"/>
        <v>1.165098823969186</v>
      </c>
      <c r="CV53">
        <f t="shared" si="47"/>
        <v>0.39443296125420024</v>
      </c>
      <c r="CW53">
        <f t="shared" si="48"/>
        <v>0.41703892951246196</v>
      </c>
      <c r="CX53">
        <v>3.3047014993575992E-2</v>
      </c>
      <c r="CY53">
        <v>3.3059053155030521E-2</v>
      </c>
      <c r="CZ53">
        <v>9.8350412717335231E-2</v>
      </c>
      <c r="DA53">
        <v>9.8669374001901136E-2</v>
      </c>
    </row>
    <row r="54" spans="1:105" x14ac:dyDescent="0.25">
      <c r="A54" s="1" t="s">
        <v>55</v>
      </c>
      <c r="B54">
        <v>2.7214536152890802E-2</v>
      </c>
      <c r="C54">
        <v>8.07420649758923E-2</v>
      </c>
      <c r="D54">
        <v>0.116171659825772</v>
      </c>
      <c r="E54">
        <v>8.2401149841955901E-2</v>
      </c>
      <c r="F54">
        <v>0.131080448087185</v>
      </c>
      <c r="G54">
        <v>8.54391511709824E-2</v>
      </c>
      <c r="H54">
        <v>3.8206784769237702E-2</v>
      </c>
      <c r="I54">
        <v>6.98929281370681E-2</v>
      </c>
      <c r="J54">
        <v>0.14064418863328201</v>
      </c>
      <c r="K54">
        <v>0.111362860968612</v>
      </c>
      <c r="L54">
        <v>5.7149719273800199E-2</v>
      </c>
      <c r="M54">
        <v>0.13444573630015699</v>
      </c>
      <c r="N54">
        <v>6.2668282589639204E-2</v>
      </c>
      <c r="O54">
        <v>7.6936345772811596E-2</v>
      </c>
      <c r="P54">
        <v>4.76067601661707E-2</v>
      </c>
      <c r="Q54">
        <v>8.3070051982378698E-2</v>
      </c>
      <c r="R54">
        <v>0.15306685464692699</v>
      </c>
      <c r="S54">
        <v>0.13664907121546299</v>
      </c>
      <c r="T54">
        <v>0.13918320885637001</v>
      </c>
      <c r="U54">
        <v>8.6131091652671798E-2</v>
      </c>
      <c r="V54">
        <v>1.5220989739883501E-2</v>
      </c>
      <c r="W54">
        <v>0.12237810349877</v>
      </c>
      <c r="X54">
        <v>5.6636465954169102E-2</v>
      </c>
      <c r="Y54">
        <v>0.119734746393358</v>
      </c>
      <c r="Z54">
        <v>0.125183271981123</v>
      </c>
      <c r="AA54">
        <v>0.13330379538154899</v>
      </c>
      <c r="AB54">
        <v>3.07221956369415E-2</v>
      </c>
      <c r="AC54">
        <v>8.1557630259191702E-2</v>
      </c>
      <c r="AD54">
        <v>7.9468653647627299E-2</v>
      </c>
      <c r="AE54">
        <v>3.6499517724461999E-2</v>
      </c>
      <c r="AF54">
        <v>6.4159128126046905E-2</v>
      </c>
      <c r="AG54">
        <v>8.3599946271544698E-2</v>
      </c>
      <c r="AH54">
        <v>8.1285248941705607E-2</v>
      </c>
      <c r="AI54">
        <v>-3.4538114526340202E-2</v>
      </c>
      <c r="AJ54">
        <v>3.1598313356534097E-2</v>
      </c>
      <c r="AK54">
        <v>2.2292138276496998E-2</v>
      </c>
      <c r="AL54">
        <v>0.171792117973497</v>
      </c>
      <c r="AM54">
        <v>5.8671702283338602E-2</v>
      </c>
      <c r="AN54">
        <v>-7.5355259259522603E-4</v>
      </c>
      <c r="AP54">
        <f t="shared" si="38"/>
        <v>0.33459545459309392</v>
      </c>
      <c r="AQ54">
        <f t="shared" si="39"/>
        <v>0.57844226556597156</v>
      </c>
      <c r="AS54">
        <f t="shared" si="40"/>
        <v>4.7047973104563837E-2</v>
      </c>
      <c r="AT54">
        <f t="shared" si="0"/>
        <v>0.1395853480673494</v>
      </c>
      <c r="AU54">
        <f t="shared" si="1"/>
        <v>0.20083535858519069</v>
      </c>
      <c r="AV54">
        <f t="shared" si="2"/>
        <v>0.14245354246604239</v>
      </c>
      <c r="AW54">
        <f t="shared" si="3"/>
        <v>0.22660938850816947</v>
      </c>
      <c r="AX54">
        <f t="shared" si="4"/>
        <v>0.14770558145052773</v>
      </c>
      <c r="AY54">
        <f t="shared" si="5"/>
        <v>6.605116369194533E-2</v>
      </c>
      <c r="AZ54">
        <f t="shared" si="6"/>
        <v>0.12082956640224414</v>
      </c>
      <c r="BA54">
        <f t="shared" si="7"/>
        <v>0.24314300148117632</v>
      </c>
      <c r="BB54">
        <f t="shared" si="8"/>
        <v>0.19252199847403964</v>
      </c>
      <c r="BC54">
        <f t="shared" si="9"/>
        <v>9.8799349003106773E-2</v>
      </c>
      <c r="BD54">
        <f t="shared" si="10"/>
        <v>0.23242723484012667</v>
      </c>
      <c r="BE54">
        <f t="shared" si="11"/>
        <v>0.10833973642697425</v>
      </c>
      <c r="BF54">
        <f t="shared" si="12"/>
        <v>0.13300609300659233</v>
      </c>
      <c r="BG54">
        <f t="shared" si="13"/>
        <v>8.2301662586136054E-2</v>
      </c>
      <c r="BH54">
        <f t="shared" si="14"/>
        <v>0.14360992777922194</v>
      </c>
      <c r="BI54">
        <f t="shared" si="15"/>
        <v>0.26461907049126177</v>
      </c>
      <c r="BJ54">
        <f t="shared" si="16"/>
        <v>0.23623631838479153</v>
      </c>
      <c r="BK54">
        <f t="shared" si="17"/>
        <v>0.2406172873971916</v>
      </c>
      <c r="BL54">
        <f t="shared" si="18"/>
        <v>0.14890179501042791</v>
      </c>
      <c r="BM54">
        <f t="shared" si="19"/>
        <v>2.631375790804405E-2</v>
      </c>
      <c r="BN54">
        <f t="shared" si="20"/>
        <v>0.21156494050280067</v>
      </c>
      <c r="BO54">
        <f t="shared" si="21"/>
        <v>9.7912046414439763E-2</v>
      </c>
      <c r="BP54">
        <f t="shared" si="22"/>
        <v>0.20699515495501461</v>
      </c>
      <c r="BQ54">
        <f t="shared" si="23"/>
        <v>0.21641446248509966</v>
      </c>
      <c r="BR54">
        <f t="shared" si="24"/>
        <v>0.23045306907357316</v>
      </c>
      <c r="BS54">
        <f t="shared" si="25"/>
        <v>5.3111948185324338E-2</v>
      </c>
      <c r="BT54">
        <f t="shared" si="26"/>
        <v>0.14099528183576349</v>
      </c>
      <c r="BU54">
        <f t="shared" si="27"/>
        <v>0.13738389875413395</v>
      </c>
      <c r="BV54">
        <f t="shared" si="28"/>
        <v>6.3099672858015279E-2</v>
      </c>
      <c r="BW54">
        <f t="shared" si="29"/>
        <v>0.1109170818686131</v>
      </c>
      <c r="BX54">
        <f t="shared" si="30"/>
        <v>0.14452599895989118</v>
      </c>
      <c r="BY54">
        <f t="shared" si="31"/>
        <v>0.14052439418854151</v>
      </c>
      <c r="BZ54">
        <f t="shared" si="32"/>
        <v>-5.9708836270023768E-2</v>
      </c>
      <c r="CA54">
        <f t="shared" si="33"/>
        <v>5.4626563855282972E-2</v>
      </c>
      <c r="CB54">
        <f t="shared" si="34"/>
        <v>3.8538225167010332E-2</v>
      </c>
      <c r="CC54">
        <f t="shared" si="35"/>
        <v>0.29699095000502523</v>
      </c>
      <c r="CD54">
        <f t="shared" si="36"/>
        <v>0.1014305243167731</v>
      </c>
      <c r="CE54">
        <f t="shared" si="37"/>
        <v>-1.3027274067843563E-3</v>
      </c>
      <c r="CG54">
        <f t="shared" si="41"/>
        <v>0.99999999999999956</v>
      </c>
      <c r="CH54">
        <f t="shared" si="42"/>
        <v>0.99999999999999978</v>
      </c>
      <c r="CJ54">
        <f>SUMPRODUCT(AS54:CE54,'PC1'!AS54:CE54)</f>
        <v>0.97566062995142644</v>
      </c>
      <c r="CK54" s="1" t="s">
        <v>55</v>
      </c>
      <c r="CM54">
        <f>SUMPRODUCT(AS54:CE54,'PC2'!AS54:CE54)</f>
        <v>1.375445549919271E-2</v>
      </c>
      <c r="CN54">
        <f t="shared" si="43"/>
        <v>1.375445549919271E-2</v>
      </c>
      <c r="CO54">
        <f t="shared" si="44"/>
        <v>1.3755322976762243E-2</v>
      </c>
      <c r="CP54">
        <v>-0.17265812897918439</v>
      </c>
      <c r="CQ54">
        <v>0.17265812897918439</v>
      </c>
      <c r="CR54">
        <v>0.17440517972962261</v>
      </c>
      <c r="CS54" t="s">
        <v>110</v>
      </c>
      <c r="CT54">
        <f t="shared" si="45"/>
        <v>0.97566062995142644</v>
      </c>
      <c r="CU54">
        <f t="shared" si="46"/>
        <v>2.1982814558406716</v>
      </c>
      <c r="CV54">
        <f t="shared" si="47"/>
        <v>1.375445549919271E-2</v>
      </c>
      <c r="CW54">
        <f t="shared" si="48"/>
        <v>1.3755322976762243E-2</v>
      </c>
      <c r="CX54">
        <v>8.5762507163224269E-2</v>
      </c>
      <c r="CY54">
        <v>8.5973707016751971E-2</v>
      </c>
      <c r="CZ54">
        <v>3.8215886304919101E-2</v>
      </c>
      <c r="DA54">
        <v>3.8234506805181576E-2</v>
      </c>
    </row>
    <row r="55" spans="1:105" x14ac:dyDescent="0.25">
      <c r="A55" s="1" t="s">
        <v>56</v>
      </c>
      <c r="B55">
        <v>2.3416207387637802E-2</v>
      </c>
      <c r="C55">
        <v>9.5537140923608502E-2</v>
      </c>
      <c r="D55">
        <v>0.12545247848559599</v>
      </c>
      <c r="E55">
        <v>6.8043415269924801E-2</v>
      </c>
      <c r="F55">
        <v>0.102666746013794</v>
      </c>
      <c r="G55">
        <v>9.0504572826962906E-2</v>
      </c>
      <c r="H55">
        <v>3.05756840371719E-2</v>
      </c>
      <c r="I55">
        <v>3.4477772608886098E-2</v>
      </c>
      <c r="J55">
        <v>0.10507759152773601</v>
      </c>
      <c r="K55">
        <v>0.15335529573106499</v>
      </c>
      <c r="L55">
        <v>5.7547330945959499E-2</v>
      </c>
      <c r="M55">
        <v>0.121375657571422</v>
      </c>
      <c r="N55">
        <v>0.100418414483107</v>
      </c>
      <c r="O55">
        <v>3.2825062555987203E-2</v>
      </c>
      <c r="P55">
        <v>3.8481974094615103E-2</v>
      </c>
      <c r="Q55">
        <v>6.6397757669791002E-2</v>
      </c>
      <c r="R55">
        <v>0.111332029440737</v>
      </c>
      <c r="S55">
        <v>0.10235778092692301</v>
      </c>
      <c r="T55">
        <v>0.13744969088243</v>
      </c>
      <c r="U55">
        <v>6.7716532572772201E-2</v>
      </c>
      <c r="V55">
        <v>4.2557938904517797E-2</v>
      </c>
      <c r="W55">
        <v>0.12863600064846101</v>
      </c>
      <c r="X55">
        <v>4.2444064906510599E-2</v>
      </c>
      <c r="Y55">
        <v>0.13472325437168101</v>
      </c>
      <c r="Z55">
        <v>0.165183352993753</v>
      </c>
      <c r="AA55">
        <v>0.143611074869746</v>
      </c>
      <c r="AB55">
        <v>3.1290957682268902E-2</v>
      </c>
      <c r="AC55">
        <v>8.8961748114822201E-2</v>
      </c>
      <c r="AD55">
        <v>5.0185754183049498E-2</v>
      </c>
      <c r="AE55">
        <v>4.1394298396211704E-3</v>
      </c>
      <c r="AF55">
        <v>6.84406314603309E-2</v>
      </c>
      <c r="AG55">
        <v>7.54318906128668E-2</v>
      </c>
      <c r="AH55">
        <v>7.9754085547552395E-2</v>
      </c>
      <c r="AI55">
        <v>1.06199901652254E-2</v>
      </c>
      <c r="AJ55">
        <v>-8.5328055890021501E-2</v>
      </c>
      <c r="AK55">
        <v>1.8327028357974499E-2</v>
      </c>
      <c r="AL55">
        <v>0.127680830492539</v>
      </c>
      <c r="AM55">
        <v>5.1422203544723898E-2</v>
      </c>
      <c r="AN55">
        <v>5.7672998569804398E-3</v>
      </c>
      <c r="AP55">
        <f t="shared" si="38"/>
        <v>0.30799590463249571</v>
      </c>
      <c r="AQ55">
        <f t="shared" si="39"/>
        <v>0.55497378733819103</v>
      </c>
      <c r="AS55">
        <f t="shared" si="40"/>
        <v>4.2193357455580845E-2</v>
      </c>
      <c r="AT55">
        <f t="shared" si="0"/>
        <v>0.17214712316744049</v>
      </c>
      <c r="AU55">
        <f t="shared" si="1"/>
        <v>0.22605117817780376</v>
      </c>
      <c r="AV55">
        <f t="shared" si="2"/>
        <v>0.1226065389435418</v>
      </c>
      <c r="AW55">
        <f t="shared" si="3"/>
        <v>0.18499386521697236</v>
      </c>
      <c r="AX55">
        <f t="shared" si="4"/>
        <v>0.16307900461578206</v>
      </c>
      <c r="AY55">
        <f t="shared" si="5"/>
        <v>5.5093924676733658E-2</v>
      </c>
      <c r="AZ55">
        <f t="shared" si="6"/>
        <v>6.212504697609432E-2</v>
      </c>
      <c r="BA55">
        <f t="shared" si="7"/>
        <v>0.18933793617842282</v>
      </c>
      <c r="BB55">
        <f t="shared" si="8"/>
        <v>0.2763288991838691</v>
      </c>
      <c r="BC55">
        <f t="shared" si="9"/>
        <v>0.10369378204684682</v>
      </c>
      <c r="BD55">
        <f t="shared" si="10"/>
        <v>0.21870520795869205</v>
      </c>
      <c r="BE55">
        <f t="shared" si="11"/>
        <v>0.18094262607382181</v>
      </c>
      <c r="BF55">
        <f t="shared" si="12"/>
        <v>5.9147050374082265E-2</v>
      </c>
      <c r="BG55">
        <f t="shared" si="13"/>
        <v>6.9340165198045436E-2</v>
      </c>
      <c r="BH55">
        <f t="shared" si="14"/>
        <v>0.119641250063815</v>
      </c>
      <c r="BI55">
        <f t="shared" si="15"/>
        <v>0.20060772595173629</v>
      </c>
      <c r="BJ55">
        <f t="shared" si="16"/>
        <v>0.18443714507285011</v>
      </c>
      <c r="BK55">
        <f t="shared" si="17"/>
        <v>0.2476687980916667</v>
      </c>
      <c r="BL55">
        <f t="shared" si="18"/>
        <v>0.12201753329208495</v>
      </c>
      <c r="BM55">
        <f t="shared" si="19"/>
        <v>7.6684592814081423E-2</v>
      </c>
      <c r="BN55">
        <f t="shared" si="20"/>
        <v>0.23178752507471592</v>
      </c>
      <c r="BO55">
        <f t="shared" si="21"/>
        <v>7.6479404748256971E-2</v>
      </c>
      <c r="BP55">
        <f t="shared" si="22"/>
        <v>0.24275606784574688</v>
      </c>
      <c r="BQ55">
        <f t="shared" si="23"/>
        <v>0.29764172067660782</v>
      </c>
      <c r="BR55">
        <f t="shared" si="24"/>
        <v>0.25877091521483336</v>
      </c>
      <c r="BS55">
        <f t="shared" si="25"/>
        <v>5.6382766891295996E-2</v>
      </c>
      <c r="BT55">
        <f t="shared" si="26"/>
        <v>0.16029900897032912</v>
      </c>
      <c r="BU55">
        <f t="shared" si="27"/>
        <v>9.0429053277911314E-2</v>
      </c>
      <c r="BV55">
        <f t="shared" si="28"/>
        <v>7.4587844220085232E-3</v>
      </c>
      <c r="BW55">
        <f t="shared" si="29"/>
        <v>0.12332227759547211</v>
      </c>
      <c r="BX55">
        <f t="shared" si="30"/>
        <v>0.13591973591159895</v>
      </c>
      <c r="BY55">
        <f t="shared" si="31"/>
        <v>0.14370784236508757</v>
      </c>
      <c r="BZ55">
        <f t="shared" si="32"/>
        <v>1.913602120950943E-2</v>
      </c>
      <c r="CA55">
        <f t="shared" si="33"/>
        <v>-0.15375150653381062</v>
      </c>
      <c r="CB55">
        <f t="shared" si="34"/>
        <v>3.3023232405040306E-2</v>
      </c>
      <c r="CC55">
        <f t="shared" si="35"/>
        <v>0.23006641647875273</v>
      </c>
      <c r="CD55">
        <f t="shared" si="36"/>
        <v>9.2656995191356908E-2</v>
      </c>
      <c r="CE55">
        <f t="shared" si="37"/>
        <v>1.0392022089263021E-2</v>
      </c>
      <c r="CG55">
        <f t="shared" si="41"/>
        <v>1</v>
      </c>
      <c r="CH55">
        <f t="shared" si="42"/>
        <v>1</v>
      </c>
      <c r="CJ55">
        <f>SUMPRODUCT(AS55:CE55,'PC1'!AS55:CE55)</f>
        <v>0.92817320062605679</v>
      </c>
      <c r="CK55" s="1" t="s">
        <v>56</v>
      </c>
      <c r="CM55">
        <f>SUMPRODUCT(AS55:CE55,'PC2'!AS55:CE55)</f>
        <v>0.23397119849751108</v>
      </c>
      <c r="CN55">
        <f t="shared" si="43"/>
        <v>0.23397119849751108</v>
      </c>
      <c r="CO55">
        <f t="shared" si="44"/>
        <v>0.23838654766656137</v>
      </c>
      <c r="CP55">
        <v>-0.16708106067625617</v>
      </c>
      <c r="CQ55">
        <v>0.16708106067625617</v>
      </c>
      <c r="CR55">
        <v>0.1686623824562242</v>
      </c>
      <c r="CS55" t="s">
        <v>110</v>
      </c>
      <c r="CT55">
        <f t="shared" si="45"/>
        <v>0.92817320062605679</v>
      </c>
      <c r="CU55">
        <f t="shared" si="46"/>
        <v>1.645035324369085</v>
      </c>
      <c r="CV55">
        <f t="shared" si="47"/>
        <v>0.23397119849751108</v>
      </c>
      <c r="CW55">
        <f t="shared" si="48"/>
        <v>0.23838654766656137</v>
      </c>
      <c r="CX55">
        <v>4.018744765518429E-2</v>
      </c>
      <c r="CY55">
        <v>4.0209103301025728E-2</v>
      </c>
      <c r="CZ55">
        <v>0.18345262601779086</v>
      </c>
      <c r="DA55">
        <v>0.1855532339566939</v>
      </c>
    </row>
    <row r="56" spans="1:105" x14ac:dyDescent="0.25">
      <c r="A56" s="1" t="s">
        <v>57</v>
      </c>
      <c r="B56">
        <v>3.0000212817129401E-2</v>
      </c>
      <c r="C56">
        <v>8.0438378273200606E-2</v>
      </c>
      <c r="D56">
        <v>0.128044528058186</v>
      </c>
      <c r="E56">
        <v>9.3584755667169894E-2</v>
      </c>
      <c r="F56">
        <v>0.14868867786515799</v>
      </c>
      <c r="G56">
        <v>8.4833996204383796E-2</v>
      </c>
      <c r="H56">
        <v>5.7798349414123797E-2</v>
      </c>
      <c r="I56">
        <v>5.3651818137751703E-2</v>
      </c>
      <c r="J56">
        <v>0.15422410984517301</v>
      </c>
      <c r="K56">
        <v>0.18221583899058999</v>
      </c>
      <c r="L56">
        <v>4.0374745936808697E-2</v>
      </c>
      <c r="M56">
        <v>0.118431443322996</v>
      </c>
      <c r="N56">
        <v>0.128851405963847</v>
      </c>
      <c r="O56">
        <v>0.126595101149022</v>
      </c>
      <c r="P56">
        <v>4.8787679817824801E-2</v>
      </c>
      <c r="Q56">
        <v>9.3658511190495494E-2</v>
      </c>
      <c r="R56">
        <v>0.16041670562229099</v>
      </c>
      <c r="S56">
        <v>0.14440768503446899</v>
      </c>
      <c r="T56">
        <v>0.13521110115460799</v>
      </c>
      <c r="U56">
        <v>6.9784091711385998E-2</v>
      </c>
      <c r="V56">
        <v>2.55151452951165E-2</v>
      </c>
      <c r="W56">
        <v>0.140841048156013</v>
      </c>
      <c r="X56">
        <v>9.7992753974129806E-2</v>
      </c>
      <c r="Y56">
        <v>0.12191373352120401</v>
      </c>
      <c r="Z56">
        <v>6.3417993409858694E-2</v>
      </c>
      <c r="AA56">
        <v>0.103166935278828</v>
      </c>
      <c r="AB56">
        <v>4.6120562457702297E-2</v>
      </c>
      <c r="AC56">
        <v>7.5980828253597796E-2</v>
      </c>
      <c r="AD56">
        <v>7.9722513521918795E-2</v>
      </c>
      <c r="AE56">
        <v>3.10106974070628E-2</v>
      </c>
      <c r="AF56">
        <v>7.6425719454662699E-2</v>
      </c>
      <c r="AG56">
        <v>0.106908574845419</v>
      </c>
      <c r="AH56">
        <v>9.4157315690488505E-2</v>
      </c>
      <c r="AI56">
        <v>1.6631182235240901E-2</v>
      </c>
      <c r="AJ56">
        <v>-5.4791904711256702E-2</v>
      </c>
      <c r="AK56">
        <v>6.5940982809445103E-2</v>
      </c>
      <c r="AL56">
        <v>0.158512496631602</v>
      </c>
      <c r="AM56">
        <v>5.9389579560334298E-2</v>
      </c>
      <c r="AN56">
        <v>8.9685557309236892E-3</v>
      </c>
      <c r="AP56">
        <f t="shared" si="38"/>
        <v>0.39154430409462715</v>
      </c>
      <c r="AQ56">
        <f t="shared" si="39"/>
        <v>0.62573501108266838</v>
      </c>
      <c r="AS56">
        <f t="shared" si="40"/>
        <v>4.7943957563157592E-2</v>
      </c>
      <c r="AT56">
        <f t="shared" si="0"/>
        <v>0.12855022788963549</v>
      </c>
      <c r="AU56">
        <f t="shared" si="1"/>
        <v>0.20463059568400835</v>
      </c>
      <c r="AV56">
        <f t="shared" si="2"/>
        <v>0.14955972417980307</v>
      </c>
      <c r="AW56">
        <f t="shared" si="3"/>
        <v>0.23762243638547839</v>
      </c>
      <c r="AX56">
        <f t="shared" si="4"/>
        <v>0.13557495537544093</v>
      </c>
      <c r="AY56">
        <f t="shared" si="5"/>
        <v>9.2368731796098627E-2</v>
      </c>
      <c r="AZ56">
        <f t="shared" si="6"/>
        <v>8.5742074820012823E-2</v>
      </c>
      <c r="BA56">
        <f t="shared" si="7"/>
        <v>0.24646872416221224</v>
      </c>
      <c r="BB56">
        <f t="shared" si="8"/>
        <v>0.29120288263128163</v>
      </c>
      <c r="BC56">
        <f t="shared" si="9"/>
        <v>6.4523712468878655E-2</v>
      </c>
      <c r="BD56">
        <f t="shared" si="10"/>
        <v>0.18926772711356174</v>
      </c>
      <c r="BE56">
        <f t="shared" si="11"/>
        <v>0.20592008387209124</v>
      </c>
      <c r="BF56">
        <f t="shared" si="12"/>
        <v>0.20231423670857537</v>
      </c>
      <c r="BG56">
        <f t="shared" si="13"/>
        <v>7.7968595257936216E-2</v>
      </c>
      <c r="BH56">
        <f t="shared" si="14"/>
        <v>0.14967759439965536</v>
      </c>
      <c r="BI56">
        <f t="shared" si="15"/>
        <v>0.25636523892874791</v>
      </c>
      <c r="BJ56">
        <f t="shared" si="16"/>
        <v>0.23078089363197021</v>
      </c>
      <c r="BK56">
        <f t="shared" si="17"/>
        <v>0.21608364365078608</v>
      </c>
      <c r="BL56">
        <f t="shared" si="18"/>
        <v>0.11152339325019252</v>
      </c>
      <c r="BM56">
        <f t="shared" si="19"/>
        <v>4.0776278845208472E-2</v>
      </c>
      <c r="BN56">
        <f t="shared" si="20"/>
        <v>0.22508097782849795</v>
      </c>
      <c r="BO56">
        <f t="shared" si="21"/>
        <v>0.1566042369989484</v>
      </c>
      <c r="BP56">
        <f t="shared" si="22"/>
        <v>0.19483284675131834</v>
      </c>
      <c r="BQ56">
        <f t="shared" si="23"/>
        <v>0.1013496005283941</v>
      </c>
      <c r="BR56">
        <f t="shared" si="24"/>
        <v>0.16487320263624852</v>
      </c>
      <c r="BS56">
        <f t="shared" si="25"/>
        <v>7.3706220110495185E-2</v>
      </c>
      <c r="BT56">
        <f t="shared" si="26"/>
        <v>0.12142652545864924</v>
      </c>
      <c r="BU56">
        <f t="shared" si="27"/>
        <v>0.12740618969678577</v>
      </c>
      <c r="BV56">
        <f t="shared" si="28"/>
        <v>4.9558833783979926E-2</v>
      </c>
      <c r="BW56">
        <f t="shared" si="29"/>
        <v>0.12213751524375834</v>
      </c>
      <c r="BX56">
        <f t="shared" si="30"/>
        <v>0.17085279383750973</v>
      </c>
      <c r="BY56">
        <f t="shared" si="31"/>
        <v>0.15047474413741729</v>
      </c>
      <c r="BZ56">
        <f t="shared" si="32"/>
        <v>2.6578634630760156E-2</v>
      </c>
      <c r="CA56">
        <f t="shared" si="33"/>
        <v>-8.7564070638230476E-2</v>
      </c>
      <c r="CB56">
        <f t="shared" si="34"/>
        <v>0.10538164181568126</v>
      </c>
      <c r="CC56">
        <f t="shared" si="35"/>
        <v>0.25332208334856987</v>
      </c>
      <c r="CD56">
        <f t="shared" si="36"/>
        <v>9.491170944322963E-2</v>
      </c>
      <c r="CE56">
        <f t="shared" si="37"/>
        <v>1.4332833503124563E-2</v>
      </c>
      <c r="CG56">
        <f t="shared" si="41"/>
        <v>1</v>
      </c>
      <c r="CH56">
        <f t="shared" si="42"/>
        <v>1</v>
      </c>
      <c r="CJ56">
        <f>SUMPRODUCT(AS56:CE56,'PC1'!AS56:CE56)</f>
        <v>0.95351007388312492</v>
      </c>
      <c r="CK56" s="1" t="s">
        <v>57</v>
      </c>
      <c r="CM56">
        <f>SUMPRODUCT(AS56:CE56,'PC2'!AS56:CE56)</f>
        <v>0.23169091004440659</v>
      </c>
      <c r="CN56">
        <f t="shared" si="43"/>
        <v>0.23169091004440659</v>
      </c>
      <c r="CO56">
        <f t="shared" si="44"/>
        <v>0.23597555742536164</v>
      </c>
      <c r="CP56">
        <v>-3.055324088644399E-2</v>
      </c>
      <c r="CQ56">
        <v>3.055324088644399E-2</v>
      </c>
      <c r="CR56">
        <v>3.0562753370464615E-2</v>
      </c>
      <c r="CS56" t="s">
        <v>110</v>
      </c>
      <c r="CT56">
        <f t="shared" si="45"/>
        <v>0.95351007388312492</v>
      </c>
      <c r="CU56">
        <f t="shared" si="46"/>
        <v>1.8690737124224106</v>
      </c>
      <c r="CV56">
        <f t="shared" si="47"/>
        <v>0.23169091004440659</v>
      </c>
      <c r="CW56">
        <f t="shared" si="48"/>
        <v>0.23597555742536164</v>
      </c>
      <c r="CX56">
        <v>1.5679732526813484E-2</v>
      </c>
      <c r="CY56">
        <v>1.5681017691446621E-2</v>
      </c>
      <c r="CZ56">
        <v>6.9450587131326999E-2</v>
      </c>
      <c r="DA56">
        <v>6.9562573687735899E-2</v>
      </c>
    </row>
    <row r="57" spans="1:105" x14ac:dyDescent="0.25">
      <c r="A57" s="1" t="s">
        <v>58</v>
      </c>
      <c r="B57">
        <v>7.0297287494336599E-3</v>
      </c>
      <c r="C57">
        <v>4.7099721579314302E-2</v>
      </c>
      <c r="D57">
        <v>5.6195606233685302E-2</v>
      </c>
      <c r="E57">
        <v>2.6619171275549601E-2</v>
      </c>
      <c r="F57">
        <v>4.9601016556208202E-2</v>
      </c>
      <c r="G57">
        <v>3.7009775091822801E-2</v>
      </c>
      <c r="H57">
        <v>2.7556649553389399E-2</v>
      </c>
      <c r="I57">
        <v>2.4138463948150599E-2</v>
      </c>
      <c r="J57">
        <v>5.05664093570607E-2</v>
      </c>
      <c r="K57">
        <v>-1.6837325004892399E-2</v>
      </c>
      <c r="L57">
        <v>1.45746513202708E-2</v>
      </c>
      <c r="M57">
        <v>3.7289306288926703E-2</v>
      </c>
      <c r="N57">
        <v>-2.8073595402459302E-3</v>
      </c>
      <c r="O57">
        <v>3.58370224583262E-2</v>
      </c>
      <c r="P57">
        <v>2.3582326559524001E-2</v>
      </c>
      <c r="Q57">
        <v>1.8711756541730799E-2</v>
      </c>
      <c r="R57">
        <v>7.1451577276029299E-2</v>
      </c>
      <c r="S57">
        <v>3.3441252263588198E-2</v>
      </c>
      <c r="T57">
        <v>7.3297476975009504E-2</v>
      </c>
      <c r="U57">
        <v>4.1752003187941998E-2</v>
      </c>
      <c r="V57">
        <v>-1.24913434943827E-3</v>
      </c>
      <c r="W57">
        <v>2.5671398552737899E-2</v>
      </c>
      <c r="X57">
        <v>2.0433626219104099E-2</v>
      </c>
      <c r="Y57">
        <v>1.8241052023507402E-2</v>
      </c>
      <c r="Z57">
        <v>5.4907264515174303E-2</v>
      </c>
      <c r="AA57">
        <v>4.0421067442943798E-2</v>
      </c>
      <c r="AB57">
        <v>1.8741583483587902E-2</v>
      </c>
      <c r="AC57">
        <v>1.47407256391789E-2</v>
      </c>
      <c r="AD57">
        <v>7.2026855932957698E-2</v>
      </c>
      <c r="AE57">
        <v>1.01930579034666E-2</v>
      </c>
      <c r="AF57">
        <v>6.7118461635544802E-2</v>
      </c>
      <c r="AG57">
        <v>9.09859811591094E-3</v>
      </c>
      <c r="AH57">
        <v>6.6140100866558305E-2</v>
      </c>
      <c r="AI57">
        <v>9.8972584269735892E-3</v>
      </c>
      <c r="AJ57">
        <v>-1.6236060504380499E-2</v>
      </c>
      <c r="AK57">
        <v>2.5484669593860001E-2</v>
      </c>
      <c r="AL57">
        <v>2.7813289922965601E-2</v>
      </c>
      <c r="AM57">
        <v>7.2130228931962899E-3</v>
      </c>
      <c r="AN57">
        <v>-1.9800865217751901E-2</v>
      </c>
      <c r="AP57">
        <f t="shared" si="38"/>
        <v>5.4398263607518843E-2</v>
      </c>
      <c r="AQ57">
        <f t="shared" si="39"/>
        <v>0.23323435340343593</v>
      </c>
      <c r="AS57">
        <f t="shared" si="40"/>
        <v>3.0140194387548145E-2</v>
      </c>
      <c r="AT57">
        <f t="shared" si="0"/>
        <v>0.20194161319727974</v>
      </c>
      <c r="AU57">
        <f t="shared" si="1"/>
        <v>0.24094051932598987</v>
      </c>
      <c r="AV57">
        <f t="shared" si="2"/>
        <v>0.11413057676587302</v>
      </c>
      <c r="AW57">
        <f t="shared" si="3"/>
        <v>0.21266599809339021</v>
      </c>
      <c r="AX57">
        <f t="shared" si="4"/>
        <v>0.15868063409940872</v>
      </c>
      <c r="AY57">
        <f t="shared" si="5"/>
        <v>0.1181500458713448</v>
      </c>
      <c r="AZ57">
        <f t="shared" si="6"/>
        <v>0.1034944620975162</v>
      </c>
      <c r="BA57">
        <f t="shared" si="7"/>
        <v>0.21680515163901998</v>
      </c>
      <c r="BB57">
        <f t="shared" si="8"/>
        <v>-7.219058753222396E-2</v>
      </c>
      <c r="BC57">
        <f t="shared" si="9"/>
        <v>6.2489299314584128E-2</v>
      </c>
      <c r="BD57">
        <f t="shared" si="10"/>
        <v>0.15987913334716056</v>
      </c>
      <c r="BE57">
        <f t="shared" si="11"/>
        <v>-1.2036646828736735E-2</v>
      </c>
      <c r="BF57">
        <f t="shared" si="12"/>
        <v>0.15365241841684144</v>
      </c>
      <c r="BG57">
        <f t="shared" si="13"/>
        <v>0.1011100046601308</v>
      </c>
      <c r="BH57">
        <f t="shared" si="14"/>
        <v>8.0227274707530896E-2</v>
      </c>
      <c r="BI57">
        <f t="shared" si="15"/>
        <v>0.30635099947063243</v>
      </c>
      <c r="BJ57">
        <f t="shared" si="16"/>
        <v>0.14338047451244612</v>
      </c>
      <c r="BK57">
        <f t="shared" si="17"/>
        <v>0.3142653554479754</v>
      </c>
      <c r="BL57">
        <f t="shared" si="18"/>
        <v>0.17901309382036737</v>
      </c>
      <c r="BM57">
        <f t="shared" si="19"/>
        <v>-5.3557048145372746E-3</v>
      </c>
      <c r="BN57">
        <f t="shared" si="20"/>
        <v>0.11006696988729156</v>
      </c>
      <c r="BO57">
        <f t="shared" si="21"/>
        <v>8.7609847867304261E-2</v>
      </c>
      <c r="BP57">
        <f t="shared" si="22"/>
        <v>7.8209113526063787E-2</v>
      </c>
      <c r="BQ57">
        <f t="shared" si="23"/>
        <v>0.23541671162051647</v>
      </c>
      <c r="BR57">
        <f t="shared" si="24"/>
        <v>0.1733066628183442</v>
      </c>
      <c r="BS57">
        <f t="shared" si="25"/>
        <v>8.0355158706701083E-2</v>
      </c>
      <c r="BT57">
        <f t="shared" si="26"/>
        <v>6.3201348446646738E-2</v>
      </c>
      <c r="BU57">
        <f t="shared" si="27"/>
        <v>0.30881752572859461</v>
      </c>
      <c r="BV57">
        <f t="shared" si="28"/>
        <v>4.37030727023099E-2</v>
      </c>
      <c r="BW57">
        <f t="shared" si="29"/>
        <v>0.28777262292680783</v>
      </c>
      <c r="BX57">
        <f t="shared" si="30"/>
        <v>3.9010540184758663E-2</v>
      </c>
      <c r="BY57">
        <f t="shared" si="31"/>
        <v>0.28357786878913505</v>
      </c>
      <c r="BZ57">
        <f t="shared" si="32"/>
        <v>4.2434822668913859E-2</v>
      </c>
      <c r="CA57">
        <f t="shared" si="33"/>
        <v>-6.9612646110910836E-2</v>
      </c>
      <c r="CB57">
        <f t="shared" si="34"/>
        <v>0.10926636330359972</v>
      </c>
      <c r="CC57">
        <f t="shared" si="35"/>
        <v>0.1192503999393936</v>
      </c>
      <c r="CD57">
        <f t="shared" si="36"/>
        <v>3.0926074087892191E-2</v>
      </c>
      <c r="CE57">
        <f t="shared" si="37"/>
        <v>-8.4896864157491647E-2</v>
      </c>
      <c r="CG57">
        <f t="shared" si="41"/>
        <v>1</v>
      </c>
      <c r="CH57">
        <f t="shared" si="42"/>
        <v>1</v>
      </c>
      <c r="CJ57">
        <f>SUMPRODUCT(AS57:CE57,'PC1'!AS57:CE57)</f>
        <v>0.8382916577823154</v>
      </c>
      <c r="CK57" s="1" t="s">
        <v>58</v>
      </c>
      <c r="CM57">
        <f>SUMPRODUCT(AS57:CE57,'PC2'!AS57:CE57)</f>
        <v>-6.8610506966445994E-2</v>
      </c>
      <c r="CN57">
        <f t="shared" si="43"/>
        <v>6.8610506966445994E-2</v>
      </c>
      <c r="CO57">
        <f t="shared" si="44"/>
        <v>6.8718471140940346E-2</v>
      </c>
      <c r="CP57">
        <v>0.16385229039455843</v>
      </c>
      <c r="CQ57">
        <v>0.16385229039455843</v>
      </c>
      <c r="CR57">
        <v>0.165342719172098</v>
      </c>
      <c r="CS57" t="s">
        <v>110</v>
      </c>
      <c r="CT57">
        <f t="shared" si="45"/>
        <v>0.8382916577823154</v>
      </c>
      <c r="CU57">
        <f t="shared" si="46"/>
        <v>1.2153988082551486</v>
      </c>
      <c r="CV57">
        <f t="shared" si="47"/>
        <v>6.8610506966445994E-2</v>
      </c>
      <c r="CW57">
        <f t="shared" si="48"/>
        <v>6.8718471140940346E-2</v>
      </c>
      <c r="CX57">
        <v>9.6829470406805479E-2</v>
      </c>
      <c r="CY57">
        <v>9.7133806955612717E-2</v>
      </c>
      <c r="CZ57">
        <v>9.0162824550980181E-2</v>
      </c>
      <c r="DA57">
        <v>9.0408344482851524E-2</v>
      </c>
    </row>
    <row r="58" spans="1:105" x14ac:dyDescent="0.25">
      <c r="A58" s="1" t="s">
        <v>59</v>
      </c>
      <c r="B58">
        <v>1.6974486865602201E-2</v>
      </c>
      <c r="C58">
        <v>5.2375677855343798E-2</v>
      </c>
      <c r="D58">
        <v>4.8448316653066398E-2</v>
      </c>
      <c r="E58">
        <v>6.03768634959264E-2</v>
      </c>
      <c r="F58">
        <v>5.16237658834564E-2</v>
      </c>
      <c r="G58">
        <v>3.9380320269954097E-2</v>
      </c>
      <c r="H58">
        <v>2.80533511767923E-2</v>
      </c>
      <c r="I58">
        <v>5.76685800705595E-2</v>
      </c>
      <c r="J58">
        <v>6.2098386270507303E-2</v>
      </c>
      <c r="K58">
        <v>6.6418649228257201E-2</v>
      </c>
      <c r="L58">
        <v>1.9259759162086301E-2</v>
      </c>
      <c r="M58">
        <v>3.11674102102379E-2</v>
      </c>
      <c r="N58">
        <v>2.6109949403840999E-2</v>
      </c>
      <c r="O58">
        <v>-2.96831784610369E-3</v>
      </c>
      <c r="P58">
        <v>2.4594262983655201E-2</v>
      </c>
      <c r="Q58">
        <v>-5.4819010474214001E-3</v>
      </c>
      <c r="R58">
        <v>4.3715911773121202E-2</v>
      </c>
      <c r="S58">
        <v>4.15141467337935E-2</v>
      </c>
      <c r="T58">
        <v>3.1398961509172901E-2</v>
      </c>
      <c r="U58">
        <v>2.2088744674485301E-2</v>
      </c>
      <c r="V58">
        <v>6.3940955222166803E-3</v>
      </c>
      <c r="W58">
        <v>4.2449236451860099E-2</v>
      </c>
      <c r="X58">
        <v>-2.2802461667954601E-4</v>
      </c>
      <c r="Y58">
        <v>3.6220061635441302E-2</v>
      </c>
      <c r="Z58">
        <v>7.0712084805582207E-2</v>
      </c>
      <c r="AA58">
        <v>6.9051249639509399E-2</v>
      </c>
      <c r="AB58">
        <v>1.43953122833777E-2</v>
      </c>
      <c r="AC58">
        <v>6.8960918008278096E-2</v>
      </c>
      <c r="AD58">
        <v>4.7712328544459101E-2</v>
      </c>
      <c r="AE58">
        <v>1.16202867256987E-2</v>
      </c>
      <c r="AF58">
        <v>3.0105933122238301E-2</v>
      </c>
      <c r="AG58">
        <v>3.4329810923514802E-2</v>
      </c>
      <c r="AH58">
        <v>2.8898862733746498E-2</v>
      </c>
      <c r="AI58">
        <v>-2.2195377771830698E-3</v>
      </c>
      <c r="AJ58">
        <v>-1.52832658677606E-2</v>
      </c>
      <c r="AK58">
        <v>9.0894600475748405E-3</v>
      </c>
      <c r="AL58">
        <v>5.1686391176812299E-2</v>
      </c>
      <c r="AM58">
        <v>2.4204996720956801E-2</v>
      </c>
      <c r="AN58">
        <v>-5.4614013199827402E-3</v>
      </c>
      <c r="AP58">
        <f t="shared" si="38"/>
        <v>6.022193642602932E-2</v>
      </c>
      <c r="AQ58">
        <f t="shared" si="39"/>
        <v>0.24540158195502595</v>
      </c>
      <c r="AS58">
        <f t="shared" si="40"/>
        <v>6.9170242222452619E-2</v>
      </c>
      <c r="AT58">
        <f t="shared" si="0"/>
        <v>0.21342844425893936</v>
      </c>
      <c r="AU58">
        <f t="shared" si="1"/>
        <v>0.19742463054678019</v>
      </c>
      <c r="AV58">
        <f t="shared" si="2"/>
        <v>0.24603290253846649</v>
      </c>
      <c r="AW58">
        <f t="shared" si="3"/>
        <v>0.21036443804554342</v>
      </c>
      <c r="AX58">
        <f t="shared" si="4"/>
        <v>0.16047296825157067</v>
      </c>
      <c r="AY58">
        <f t="shared" si="5"/>
        <v>0.11431609753002145</v>
      </c>
      <c r="AZ58">
        <f t="shared" si="6"/>
        <v>0.23499677390477564</v>
      </c>
      <c r="BA58">
        <f t="shared" si="7"/>
        <v>0.25304802754648864</v>
      </c>
      <c r="BB58">
        <f t="shared" si="8"/>
        <v>0.27065289758576028</v>
      </c>
      <c r="BC58">
        <f t="shared" si="9"/>
        <v>7.8482620236800194E-2</v>
      </c>
      <c r="BD58">
        <f t="shared" si="10"/>
        <v>0.12700574283970942</v>
      </c>
      <c r="BE58">
        <f t="shared" si="11"/>
        <v>0.10639682595292355</v>
      </c>
      <c r="BF58">
        <f t="shared" si="12"/>
        <v>-1.2095756769195094E-2</v>
      </c>
      <c r="BG58">
        <f t="shared" si="13"/>
        <v>0.10022047448806798</v>
      </c>
      <c r="BH58">
        <f t="shared" si="14"/>
        <v>-2.233849107144734E-2</v>
      </c>
      <c r="BI58">
        <f t="shared" si="15"/>
        <v>0.17814030139843554</v>
      </c>
      <c r="BJ58">
        <f t="shared" si="16"/>
        <v>0.16916821156190295</v>
      </c>
      <c r="BK58">
        <f t="shared" si="17"/>
        <v>0.12794930358243289</v>
      </c>
      <c r="BL58">
        <f t="shared" si="18"/>
        <v>9.0010604245140693E-2</v>
      </c>
      <c r="BM58">
        <f t="shared" si="19"/>
        <v>2.6055641008005025E-2</v>
      </c>
      <c r="BN58">
        <f t="shared" si="20"/>
        <v>0.17297865854686972</v>
      </c>
      <c r="BO58">
        <f t="shared" si="21"/>
        <v>-9.2918967703042529E-4</v>
      </c>
      <c r="BP58">
        <f t="shared" si="22"/>
        <v>0.14759506172245968</v>
      </c>
      <c r="BQ58">
        <f t="shared" si="23"/>
        <v>0.28814844730113193</v>
      </c>
      <c r="BR58">
        <f t="shared" si="24"/>
        <v>0.28138062146707848</v>
      </c>
      <c r="BS58">
        <f t="shared" si="25"/>
        <v>5.8660226102437631E-2</v>
      </c>
      <c r="BT58">
        <f t="shared" si="26"/>
        <v>0.2810125242832231</v>
      </c>
      <c r="BU58">
        <f t="shared" si="27"/>
        <v>0.19442551333350086</v>
      </c>
      <c r="BV58">
        <f t="shared" si="28"/>
        <v>4.7352126392682818E-2</v>
      </c>
      <c r="BW58">
        <f t="shared" si="29"/>
        <v>0.12268027321745517</v>
      </c>
      <c r="BX58">
        <f t="shared" si="30"/>
        <v>0.13989237823986941</v>
      </c>
      <c r="BY58">
        <f t="shared" si="31"/>
        <v>0.11776151768672262</v>
      </c>
      <c r="BZ58">
        <f t="shared" si="32"/>
        <v>-9.0445129143048395E-3</v>
      </c>
      <c r="CA58">
        <f t="shared" si="33"/>
        <v>-6.2278595541252542E-2</v>
      </c>
      <c r="CB58">
        <f t="shared" si="34"/>
        <v>3.7039125726747106E-2</v>
      </c>
      <c r="CC58">
        <f t="shared" si="35"/>
        <v>0.21061963319488591</v>
      </c>
      <c r="CD58">
        <f t="shared" si="36"/>
        <v>9.8634232624436713E-2</v>
      </c>
      <c r="CE58">
        <f t="shared" si="37"/>
        <v>-2.2254955638320358E-2</v>
      </c>
      <c r="CG58">
        <f t="shared" si="41"/>
        <v>0.99999999999999967</v>
      </c>
      <c r="CH58">
        <f t="shared" si="42"/>
        <v>0.99999999999999978</v>
      </c>
      <c r="CJ58">
        <f>SUMPRODUCT(AS58:CE58,'PC1'!AS58:CE58)</f>
        <v>0.87265791212911215</v>
      </c>
      <c r="CK58" s="1" t="s">
        <v>59</v>
      </c>
      <c r="CM58">
        <f>SUMPRODUCT(AS58:CE58,'PC2'!AS58:CE58)</f>
        <v>0.19580804779081704</v>
      </c>
      <c r="CN58">
        <f t="shared" si="43"/>
        <v>0.19580804779081704</v>
      </c>
      <c r="CO58">
        <f t="shared" si="44"/>
        <v>0.19836971962964373</v>
      </c>
      <c r="CP58">
        <v>-2.8726771950051574E-2</v>
      </c>
      <c r="CQ58">
        <v>2.8726771950051574E-2</v>
      </c>
      <c r="CR58">
        <v>2.8734677904978308E-2</v>
      </c>
      <c r="CS58" t="s">
        <v>110</v>
      </c>
      <c r="CT58">
        <f t="shared" si="45"/>
        <v>0.87265791212911215</v>
      </c>
      <c r="CU58">
        <f t="shared" si="46"/>
        <v>1.3441184867964866</v>
      </c>
      <c r="CV58">
        <f t="shared" si="47"/>
        <v>0.19580804779081704</v>
      </c>
      <c r="CW58">
        <f t="shared" si="48"/>
        <v>0.19836971962964373</v>
      </c>
      <c r="CX58">
        <v>0.22978201148674612</v>
      </c>
      <c r="CY58">
        <v>0.23395931473963438</v>
      </c>
      <c r="CZ58">
        <v>0.18656611709485163</v>
      </c>
      <c r="DA58">
        <v>0.18877707515098568</v>
      </c>
    </row>
    <row r="59" spans="1:105" x14ac:dyDescent="0.25">
      <c r="A59" s="1" t="s">
        <v>60</v>
      </c>
      <c r="B59">
        <v>2.4913380407031002E-2</v>
      </c>
      <c r="C59">
        <v>5.9943290232716502E-2</v>
      </c>
      <c r="D59">
        <v>7.84087702037288E-2</v>
      </c>
      <c r="E59">
        <v>6.3626191878555602E-2</v>
      </c>
      <c r="F59">
        <v>6.5078720837734902E-2</v>
      </c>
      <c r="G59">
        <v>1.9004457055178E-2</v>
      </c>
      <c r="H59">
        <v>6.6229439074052404E-2</v>
      </c>
      <c r="I59">
        <v>6.0609181014681497E-2</v>
      </c>
      <c r="J59">
        <v>9.0129505551688804E-2</v>
      </c>
      <c r="K59">
        <v>6.5557653380466097E-2</v>
      </c>
      <c r="L59">
        <v>2.6690654033677701E-2</v>
      </c>
      <c r="M59">
        <v>7.19627090404662E-2</v>
      </c>
      <c r="N59">
        <v>4.0396863907655803E-2</v>
      </c>
      <c r="O59">
        <v>4.9719093071843003E-2</v>
      </c>
      <c r="P59">
        <v>1.92540432881405E-2</v>
      </c>
      <c r="Q59">
        <v>4.0372241501554197E-2</v>
      </c>
      <c r="R59">
        <v>0.10585373829323499</v>
      </c>
      <c r="S59">
        <v>8.5180102544753694E-2</v>
      </c>
      <c r="T59">
        <v>8.3369278421872806E-2</v>
      </c>
      <c r="U59">
        <v>3.8707210430620503E-2</v>
      </c>
      <c r="V59">
        <v>-4.4116051225806599E-3</v>
      </c>
      <c r="W59">
        <v>7.5106913823251006E-2</v>
      </c>
      <c r="X59">
        <v>2.3901091617703901E-2</v>
      </c>
      <c r="Y59">
        <v>7.5974507675432998E-2</v>
      </c>
      <c r="Z59">
        <v>8.58628172828029E-2</v>
      </c>
      <c r="AA59">
        <v>8.6138122012399607E-2</v>
      </c>
      <c r="AB59">
        <v>2.9759415124376E-2</v>
      </c>
      <c r="AC59">
        <v>4.9770822308182097E-2</v>
      </c>
      <c r="AD59">
        <v>6.9984113442527696E-2</v>
      </c>
      <c r="AE59">
        <v>1.1519173734661199E-3</v>
      </c>
      <c r="AF59">
        <v>4.4204852848828899E-2</v>
      </c>
      <c r="AG59">
        <v>5.4196085104390203E-2</v>
      </c>
      <c r="AH59">
        <v>7.4239817529841406E-2</v>
      </c>
      <c r="AI59">
        <v>1.8940545620958999E-2</v>
      </c>
      <c r="AJ59">
        <v>8.2856379477166103E-3</v>
      </c>
      <c r="AK59">
        <v>2.9009328365262599E-2</v>
      </c>
      <c r="AL59">
        <v>7.6701462506024998E-2</v>
      </c>
      <c r="AM59">
        <v>3.9586386894880199E-2</v>
      </c>
      <c r="AN59">
        <v>1.7024944479833899E-3</v>
      </c>
      <c r="AP59">
        <f t="shared" si="38"/>
        <v>0.13257518444669805</v>
      </c>
      <c r="AQ59">
        <f t="shared" si="39"/>
        <v>0.36410875359801231</v>
      </c>
      <c r="AS59">
        <f t="shared" si="40"/>
        <v>6.8422909806052534E-2</v>
      </c>
      <c r="AT59">
        <f t="shared" si="0"/>
        <v>0.16463018161572629</v>
      </c>
      <c r="AU59">
        <f t="shared" si="1"/>
        <v>0.21534437013369523</v>
      </c>
      <c r="AV59">
        <f t="shared" si="2"/>
        <v>0.17474502123286206</v>
      </c>
      <c r="AW59">
        <f t="shared" si="3"/>
        <v>0.1787342935171064</v>
      </c>
      <c r="AX59">
        <f t="shared" si="4"/>
        <v>5.2194452529310861E-2</v>
      </c>
      <c r="AY59">
        <f t="shared" si="5"/>
        <v>0.1818946631180744</v>
      </c>
      <c r="AZ59">
        <f t="shared" si="6"/>
        <v>0.16645900549151851</v>
      </c>
      <c r="BA59">
        <f t="shared" si="7"/>
        <v>0.24753457493415457</v>
      </c>
      <c r="BB59">
        <f t="shared" si="8"/>
        <v>0.18004964926727315</v>
      </c>
      <c r="BC59">
        <f t="shared" si="9"/>
        <v>7.3304071297184567E-2</v>
      </c>
      <c r="BD59">
        <f t="shared" si="10"/>
        <v>0.19764070028350741</v>
      </c>
      <c r="BE59">
        <f t="shared" si="11"/>
        <v>0.11094724723991456</v>
      </c>
      <c r="BF59">
        <f t="shared" si="12"/>
        <v>0.13655011745950627</v>
      </c>
      <c r="BG59">
        <f t="shared" si="13"/>
        <v>5.2879924192642667E-2</v>
      </c>
      <c r="BH59">
        <f t="shared" si="14"/>
        <v>0.11087962347130616</v>
      </c>
      <c r="BI59">
        <f t="shared" si="15"/>
        <v>0.29072011383198137</v>
      </c>
      <c r="BJ59">
        <f t="shared" si="16"/>
        <v>0.2339413752155908</v>
      </c>
      <c r="BK59">
        <f t="shared" si="17"/>
        <v>0.22896806956175283</v>
      </c>
      <c r="BL59">
        <f t="shared" si="18"/>
        <v>0.10630672854779674</v>
      </c>
      <c r="BM59">
        <f t="shared" si="19"/>
        <v>-1.2116174299536925E-2</v>
      </c>
      <c r="BN59">
        <f t="shared" si="20"/>
        <v>0.20627604549758075</v>
      </c>
      <c r="BO59">
        <f t="shared" si="21"/>
        <v>6.5642727293756489E-2</v>
      </c>
      <c r="BP59">
        <f t="shared" si="22"/>
        <v>0.20865883317738435</v>
      </c>
      <c r="BQ59">
        <f t="shared" si="23"/>
        <v>0.23581640494586459</v>
      </c>
      <c r="BR59">
        <f t="shared" si="24"/>
        <v>0.23657251071612204</v>
      </c>
      <c r="BS59">
        <f t="shared" si="25"/>
        <v>8.1732215527098653E-2</v>
      </c>
      <c r="BT59">
        <f t="shared" si="26"/>
        <v>0.13669218829913293</v>
      </c>
      <c r="BU59">
        <f t="shared" si="27"/>
        <v>0.19220662165071811</v>
      </c>
      <c r="BV59">
        <f t="shared" si="28"/>
        <v>3.1636629498280984E-3</v>
      </c>
      <c r="BW59">
        <f t="shared" si="29"/>
        <v>0.12140563063098578</v>
      </c>
      <c r="BX59">
        <f t="shared" si="30"/>
        <v>0.14884587247310294</v>
      </c>
      <c r="BY59">
        <f t="shared" si="31"/>
        <v>0.20389462432920394</v>
      </c>
      <c r="BZ59">
        <f t="shared" si="32"/>
        <v>5.201892410933346E-2</v>
      </c>
      <c r="CA59">
        <f t="shared" si="33"/>
        <v>2.2755942739196594E-2</v>
      </c>
      <c r="CB59">
        <f t="shared" si="34"/>
        <v>7.9672153109754187E-2</v>
      </c>
      <c r="CC59">
        <f t="shared" si="35"/>
        <v>0.21065536532171886</v>
      </c>
      <c r="CD59">
        <f t="shared" si="36"/>
        <v>0.10872132708620577</v>
      </c>
      <c r="CE59">
        <f t="shared" si="37"/>
        <v>4.675785548026121E-3</v>
      </c>
      <c r="CG59">
        <f t="shared" si="41"/>
        <v>0.99999999999999967</v>
      </c>
      <c r="CH59">
        <f t="shared" si="42"/>
        <v>0.99999999999999978</v>
      </c>
      <c r="CJ59">
        <f>SUMPRODUCT(AS59:CE59,'PC1'!AS59:CE59)</f>
        <v>0.96309713668157337</v>
      </c>
      <c r="CK59" s="1" t="s">
        <v>60</v>
      </c>
      <c r="CM59">
        <f>SUMPRODUCT(AS59:CE59,'PC2'!AS59:CE59)</f>
        <v>5.6623078074318337E-2</v>
      </c>
      <c r="CN59">
        <f t="shared" si="43"/>
        <v>5.6623078074318337E-2</v>
      </c>
      <c r="CO59">
        <f t="shared" si="44"/>
        <v>5.6683709214291216E-2</v>
      </c>
      <c r="CP59">
        <v>-4.8380236553054901E-2</v>
      </c>
      <c r="CQ59">
        <v>4.8380236553054901E-2</v>
      </c>
      <c r="CR59">
        <v>4.8418036676501623E-2</v>
      </c>
      <c r="CS59" t="s">
        <v>110</v>
      </c>
      <c r="CT59">
        <f t="shared" si="45"/>
        <v>0.96309713668157337</v>
      </c>
      <c r="CU59">
        <f t="shared" si="46"/>
        <v>1.986994766050878</v>
      </c>
      <c r="CV59">
        <f t="shared" si="47"/>
        <v>5.6623078074318337E-2</v>
      </c>
      <c r="CW59">
        <f t="shared" si="48"/>
        <v>5.6683709214291216E-2</v>
      </c>
      <c r="CX59">
        <v>0.1126538987323962</v>
      </c>
      <c r="CY59">
        <v>0.11313412056083876</v>
      </c>
      <c r="CZ59">
        <v>3.9777364925967541E-2</v>
      </c>
      <c r="DA59">
        <v>3.9798363961059173E-2</v>
      </c>
    </row>
    <row r="60" spans="1:105" x14ac:dyDescent="0.25">
      <c r="A60" s="1" t="s">
        <v>61</v>
      </c>
      <c r="B60">
        <v>6.8235247934062401E-3</v>
      </c>
      <c r="C60">
        <v>6.0749862737720997E-3</v>
      </c>
      <c r="D60">
        <v>4.7907720448378197E-3</v>
      </c>
      <c r="E60">
        <v>-1.5077500144213401E-2</v>
      </c>
      <c r="F60">
        <v>-5.34376229328817E-3</v>
      </c>
      <c r="G60">
        <v>-1.2154221553003599E-4</v>
      </c>
      <c r="H60">
        <v>5.0229659917044704E-4</v>
      </c>
      <c r="I60">
        <v>-1.03387889397155E-2</v>
      </c>
      <c r="J60">
        <v>2.6509508355060298E-3</v>
      </c>
      <c r="K60">
        <v>7.42387558110396E-3</v>
      </c>
      <c r="L60">
        <v>2.1084566121183498E-3</v>
      </c>
      <c r="M60">
        <v>1.4906209425275501E-2</v>
      </c>
      <c r="N60">
        <v>7.1129466684542696E-3</v>
      </c>
      <c r="O60">
        <v>1.5309834686570699E-2</v>
      </c>
      <c r="P60">
        <v>7.8368153663914298E-3</v>
      </c>
      <c r="Q60">
        <v>-2.61801490904593E-4</v>
      </c>
      <c r="R60">
        <v>-1.1238936151999699E-3</v>
      </c>
      <c r="S60">
        <v>-4.59688341211382E-3</v>
      </c>
      <c r="T60">
        <v>-5.8871400319329501E-3</v>
      </c>
      <c r="U60">
        <v>-1.0489576006427701E-2</v>
      </c>
      <c r="V60">
        <v>1.0826216317632901E-2</v>
      </c>
      <c r="W60">
        <v>1.5715492164198101E-2</v>
      </c>
      <c r="X60">
        <v>4.6134086386782902E-3</v>
      </c>
      <c r="Y60">
        <v>4.9345798581420198E-3</v>
      </c>
      <c r="Z60">
        <v>2.5480830516676401E-4</v>
      </c>
      <c r="AA60">
        <v>2.9337571286260598E-2</v>
      </c>
      <c r="AB60">
        <v>2.8971748476169898E-4</v>
      </c>
      <c r="AC60">
        <v>4.4872243678816103E-3</v>
      </c>
      <c r="AD60">
        <v>1.00924797008055E-3</v>
      </c>
      <c r="AE60">
        <v>-2.8866905501078901E-3</v>
      </c>
      <c r="AF60">
        <v>-5.2097834420002402E-4</v>
      </c>
      <c r="AG60">
        <v>1.80892616516929E-2</v>
      </c>
      <c r="AH60">
        <v>1.9109043747016101E-2</v>
      </c>
      <c r="AI60">
        <v>-8.1911918461914507E-3</v>
      </c>
      <c r="AJ60">
        <v>-1.5781043816670899E-2</v>
      </c>
      <c r="AK60">
        <v>7.5873760013607803E-3</v>
      </c>
      <c r="AL60">
        <v>-1.13674712646191E-2</v>
      </c>
      <c r="AM60">
        <v>1.11041622726539E-2</v>
      </c>
      <c r="AN60">
        <v>-1.54683609369659E-3</v>
      </c>
      <c r="AP60">
        <f t="shared" si="38"/>
        <v>3.8932114761808198E-3</v>
      </c>
      <c r="AQ60">
        <f t="shared" si="39"/>
        <v>6.2395604622287458E-2</v>
      </c>
      <c r="AS60">
        <f t="shared" si="40"/>
        <v>0.10935906198381327</v>
      </c>
      <c r="AT60">
        <f t="shared" si="0"/>
        <v>9.7362407344990118E-2</v>
      </c>
      <c r="AU60">
        <f t="shared" si="1"/>
        <v>7.6780601355477138E-2</v>
      </c>
      <c r="AV60">
        <f t="shared" si="2"/>
        <v>-0.24164362594905889</v>
      </c>
      <c r="AW60">
        <f t="shared" si="3"/>
        <v>-8.5643248841592273E-2</v>
      </c>
      <c r="AX60">
        <f t="shared" si="4"/>
        <v>-1.9479291252291449E-3</v>
      </c>
      <c r="AY60">
        <f t="shared" si="5"/>
        <v>8.050192032132801E-3</v>
      </c>
      <c r="AZ60">
        <f t="shared" si="6"/>
        <v>-0.16569739170413497</v>
      </c>
      <c r="BA60">
        <f t="shared" si="7"/>
        <v>4.2486179139597936E-2</v>
      </c>
      <c r="BB60">
        <f t="shared" si="8"/>
        <v>0.11898074593626394</v>
      </c>
      <c r="BC60">
        <f t="shared" si="9"/>
        <v>3.37917490323544E-2</v>
      </c>
      <c r="BD60">
        <f t="shared" si="10"/>
        <v>0.23889838900529001</v>
      </c>
      <c r="BE60">
        <f t="shared" si="11"/>
        <v>0.11399755978826678</v>
      </c>
      <c r="BF60">
        <f t="shared" si="12"/>
        <v>0.24536719820649175</v>
      </c>
      <c r="BG60">
        <f t="shared" si="13"/>
        <v>0.12559883687050852</v>
      </c>
      <c r="BH60">
        <f t="shared" si="14"/>
        <v>-4.195832262375074E-3</v>
      </c>
      <c r="BI60">
        <f t="shared" si="15"/>
        <v>-1.8012384397963179E-2</v>
      </c>
      <c r="BJ60">
        <f t="shared" si="16"/>
        <v>-7.3673192846533161E-2</v>
      </c>
      <c r="BK60">
        <f t="shared" si="17"/>
        <v>-9.435183884459207E-2</v>
      </c>
      <c r="BL60">
        <f t="shared" si="18"/>
        <v>-0.16811402133093309</v>
      </c>
      <c r="BM60">
        <f t="shared" si="19"/>
        <v>0.17350927814818898</v>
      </c>
      <c r="BN60">
        <f t="shared" si="20"/>
        <v>0.25186857727130013</v>
      </c>
      <c r="BO60">
        <f t="shared" si="21"/>
        <v>7.3938038850743015E-2</v>
      </c>
      <c r="BP60">
        <f t="shared" si="22"/>
        <v>7.9085376093613616E-2</v>
      </c>
      <c r="BQ60">
        <f t="shared" si="23"/>
        <v>4.0837540834686862E-3</v>
      </c>
      <c r="BR60">
        <f t="shared" si="24"/>
        <v>0.47018650534530337</v>
      </c>
      <c r="BS60">
        <f t="shared" si="25"/>
        <v>4.6432354733239182E-3</v>
      </c>
      <c r="BT60">
        <f t="shared" si="26"/>
        <v>7.1915712573747417E-2</v>
      </c>
      <c r="BU60">
        <f t="shared" si="27"/>
        <v>1.6174985020019354E-2</v>
      </c>
      <c r="BV60">
        <f t="shared" si="28"/>
        <v>-4.6264325309170511E-2</v>
      </c>
      <c r="BW60">
        <f t="shared" si="29"/>
        <v>-8.3496000616353136E-3</v>
      </c>
      <c r="BX60">
        <f t="shared" si="30"/>
        <v>0.28991243471710004</v>
      </c>
      <c r="BY60">
        <f t="shared" si="31"/>
        <v>0.30625624773880994</v>
      </c>
      <c r="BZ60">
        <f t="shared" si="32"/>
        <v>-0.13127834718129472</v>
      </c>
      <c r="CA60">
        <f t="shared" si="33"/>
        <v>-0.25291915852409214</v>
      </c>
      <c r="CB60">
        <f t="shared" si="34"/>
        <v>0.12160112955537576</v>
      </c>
      <c r="CC60">
        <f t="shared" si="35"/>
        <v>-0.18218384665766479</v>
      </c>
      <c r="CD60">
        <f t="shared" si="36"/>
        <v>0.17796385402262035</v>
      </c>
      <c r="CE60">
        <f t="shared" si="37"/>
        <v>-2.4790786194963266E-2</v>
      </c>
      <c r="CG60">
        <f t="shared" si="41"/>
        <v>1</v>
      </c>
      <c r="CH60">
        <f t="shared" si="42"/>
        <v>1</v>
      </c>
      <c r="CJ60">
        <f>SUMPRODUCT(AS60:CE60,'PC1'!AS60:CE60)</f>
        <v>0.24534029278157501</v>
      </c>
      <c r="CK60" s="1" t="s">
        <v>61</v>
      </c>
      <c r="CM60">
        <f>SUMPRODUCT(AS60:CE60,'PC2'!AS60:CE60)</f>
        <v>0.41565432636421101</v>
      </c>
      <c r="CN60">
        <f t="shared" si="43"/>
        <v>0.41565432636421101</v>
      </c>
      <c r="CO60">
        <f t="shared" si="44"/>
        <v>0.44242720501063315</v>
      </c>
      <c r="CP60">
        <v>0.56261835294475604</v>
      </c>
      <c r="CQ60">
        <v>0.56261835294475604</v>
      </c>
      <c r="CR60">
        <v>0.63665598822147629</v>
      </c>
      <c r="CS60" t="s">
        <v>110</v>
      </c>
      <c r="CT60">
        <f t="shared" si="45"/>
        <v>0.24534029278157501</v>
      </c>
      <c r="CU60">
        <f t="shared" si="46"/>
        <v>0.25044858517915725</v>
      </c>
      <c r="CV60">
        <f t="shared" si="47"/>
        <v>0.41565432636421101</v>
      </c>
      <c r="CW60">
        <f t="shared" si="48"/>
        <v>0.44242720501063315</v>
      </c>
      <c r="CX60">
        <v>0.27590523440409054</v>
      </c>
      <c r="CY60">
        <v>0.28324445895557898</v>
      </c>
      <c r="CZ60">
        <v>0.25723338489670511</v>
      </c>
      <c r="DA60">
        <v>0.26314348786375075</v>
      </c>
    </row>
    <row r="61" spans="1:105" x14ac:dyDescent="0.25">
      <c r="A61" s="1" t="s">
        <v>62</v>
      </c>
      <c r="B61">
        <v>2.69393473779341E-3</v>
      </c>
      <c r="C61">
        <v>4.3758195796597698E-4</v>
      </c>
      <c r="D61">
        <v>-3.4750888927659301E-3</v>
      </c>
      <c r="E61">
        <v>-1.68560104523213E-2</v>
      </c>
      <c r="F61">
        <v>-3.3450966974523499E-3</v>
      </c>
      <c r="G61">
        <v>1.5205778536099199E-3</v>
      </c>
      <c r="H61">
        <v>-2.2029598963473999E-2</v>
      </c>
      <c r="I61">
        <v>-4.5826324801393802E-3</v>
      </c>
      <c r="J61">
        <v>7.1891003732494898E-3</v>
      </c>
      <c r="K61">
        <v>5.5413975217988003E-3</v>
      </c>
      <c r="L61">
        <v>1.30223209476875E-2</v>
      </c>
      <c r="M61">
        <v>1.87880037776583E-2</v>
      </c>
      <c r="N61">
        <v>-1.1264532325555699E-2</v>
      </c>
      <c r="O61">
        <v>-2.50847278077608E-2</v>
      </c>
      <c r="P61">
        <v>1.12574675433521E-2</v>
      </c>
      <c r="Q61">
        <v>4.1636909001592799E-3</v>
      </c>
      <c r="R61">
        <v>8.8655182115534997E-3</v>
      </c>
      <c r="S61">
        <v>1.6048048013967101E-2</v>
      </c>
      <c r="T61">
        <v>3.8779856728672199E-3</v>
      </c>
      <c r="U61">
        <v>8.6323015306921901E-3</v>
      </c>
      <c r="V61">
        <v>-9.9599362050359808E-4</v>
      </c>
      <c r="W61">
        <v>3.7846595422741901E-3</v>
      </c>
      <c r="X61">
        <v>4.7456706134264698E-3</v>
      </c>
      <c r="Y61">
        <v>1.1844929196701701E-2</v>
      </c>
      <c r="Z61">
        <v>4.8606402572009596E-3</v>
      </c>
      <c r="AA61">
        <v>-1.4045299256045E-3</v>
      </c>
      <c r="AB61">
        <v>-7.4457146034243096E-3</v>
      </c>
      <c r="AC61">
        <v>1.3197868096968801E-2</v>
      </c>
      <c r="AD61">
        <v>-2.8303310452270601E-3</v>
      </c>
      <c r="AE61">
        <v>-3.0839772046059302E-3</v>
      </c>
      <c r="AF61">
        <v>1.40379496026798E-3</v>
      </c>
      <c r="AG61">
        <v>7.4326845780383101E-3</v>
      </c>
      <c r="AH61">
        <v>3.21938256314058E-3</v>
      </c>
      <c r="AI61">
        <v>-1.2622052770445201E-2</v>
      </c>
      <c r="AJ61">
        <v>-1.1185175326709601E-2</v>
      </c>
      <c r="AK61">
        <v>-2.4011058313941101E-2</v>
      </c>
      <c r="AL61">
        <v>2.3989858948889099E-2</v>
      </c>
      <c r="AM61">
        <v>-6.9546807409962396E-3</v>
      </c>
      <c r="AN61">
        <v>9.5364286960167508E-3</v>
      </c>
      <c r="AP61">
        <f t="shared" si="38"/>
        <v>4.8485502005561881E-3</v>
      </c>
      <c r="AQ61">
        <f t="shared" si="39"/>
        <v>6.9631531654532688E-2</v>
      </c>
      <c r="AS61">
        <f t="shared" si="40"/>
        <v>3.8688431430160097E-2</v>
      </c>
      <c r="AT61">
        <f t="shared" si="0"/>
        <v>6.2842500741902381E-3</v>
      </c>
      <c r="AU61">
        <f t="shared" si="1"/>
        <v>-4.9906828274395972E-2</v>
      </c>
      <c r="AV61">
        <f t="shared" si="2"/>
        <v>-0.24207438859667899</v>
      </c>
      <c r="AW61">
        <f t="shared" si="3"/>
        <v>-4.8039970082068409E-2</v>
      </c>
      <c r="AX61">
        <f t="shared" si="4"/>
        <v>2.1837489675712703E-2</v>
      </c>
      <c r="AY61">
        <f t="shared" si="5"/>
        <v>-0.31637389613617634</v>
      </c>
      <c r="AZ61">
        <f t="shared" si="6"/>
        <v>-6.5812604882447279E-2</v>
      </c>
      <c r="BA61">
        <f t="shared" si="7"/>
        <v>0.10324489785629343</v>
      </c>
      <c r="BB61">
        <f t="shared" si="8"/>
        <v>7.9581726699502822E-2</v>
      </c>
      <c r="BC61">
        <f t="shared" si="9"/>
        <v>0.18701758583016617</v>
      </c>
      <c r="BD61">
        <f t="shared" si="10"/>
        <v>0.26982034333055332</v>
      </c>
      <c r="BE61">
        <f t="shared" si="11"/>
        <v>-0.16177343881279438</v>
      </c>
      <c r="BF61">
        <f t="shared" si="12"/>
        <v>-0.36024954803831177</v>
      </c>
      <c r="BG61">
        <f t="shared" si="13"/>
        <v>0.16167197928668989</v>
      </c>
      <c r="BH61">
        <f t="shared" si="14"/>
        <v>5.9796055051852974E-2</v>
      </c>
      <c r="BI61">
        <f t="shared" si="15"/>
        <v>0.1273204538360373</v>
      </c>
      <c r="BJ61">
        <f t="shared" si="16"/>
        <v>0.23047098968879923</v>
      </c>
      <c r="BK61">
        <f t="shared" si="17"/>
        <v>5.5692953762776824E-2</v>
      </c>
      <c r="BL61">
        <f t="shared" si="18"/>
        <v>0.12397115682475825</v>
      </c>
      <c r="BM61">
        <f t="shared" si="19"/>
        <v>-1.4303772972352297E-2</v>
      </c>
      <c r="BN61">
        <f t="shared" si="20"/>
        <v>5.4352668286133075E-2</v>
      </c>
      <c r="BO61">
        <f t="shared" si="21"/>
        <v>6.815404602862199E-2</v>
      </c>
      <c r="BP61">
        <f t="shared" si="22"/>
        <v>0.17010869810344967</v>
      </c>
      <c r="BQ61">
        <f t="shared" si="23"/>
        <v>6.980516070386561E-2</v>
      </c>
      <c r="BR61">
        <f t="shared" si="24"/>
        <v>-2.0170889426544329E-2</v>
      </c>
      <c r="BS61">
        <f t="shared" si="25"/>
        <v>-0.10693021432251704</v>
      </c>
      <c r="BT61">
        <f t="shared" si="26"/>
        <v>0.18953867283069711</v>
      </c>
      <c r="BU61">
        <f t="shared" si="27"/>
        <v>-4.0647261060827444E-2</v>
      </c>
      <c r="BV61">
        <f t="shared" si="28"/>
        <v>-4.4289952142754246E-2</v>
      </c>
      <c r="BW61">
        <f t="shared" si="29"/>
        <v>2.0160334361632552E-2</v>
      </c>
      <c r="BX61">
        <f t="shared" si="30"/>
        <v>0.10674308609086121</v>
      </c>
      <c r="BY61">
        <f t="shared" si="31"/>
        <v>4.6234550449257755E-2</v>
      </c>
      <c r="BZ61">
        <f t="shared" si="32"/>
        <v>-0.18126921052186223</v>
      </c>
      <c r="CA61">
        <f t="shared" si="33"/>
        <v>-0.16063376836521875</v>
      </c>
      <c r="CB61">
        <f t="shared" si="34"/>
        <v>-0.34483024778298255</v>
      </c>
      <c r="CC61">
        <f t="shared" si="35"/>
        <v>0.34452579713328008</v>
      </c>
      <c r="CD61">
        <f t="shared" si="36"/>
        <v>-9.9878324887364769E-2</v>
      </c>
      <c r="CE61">
        <f t="shared" si="37"/>
        <v>0.13695560717133778</v>
      </c>
      <c r="CG61">
        <f t="shared" si="41"/>
        <v>1.0000000000000002</v>
      </c>
      <c r="CH61">
        <f t="shared" si="42"/>
        <v>1</v>
      </c>
      <c r="CJ61">
        <f>SUMPRODUCT(AS61:CE61,'PC1'!AS61:CE61)</f>
        <v>0.24290243959198551</v>
      </c>
      <c r="CK61" s="1" t="s">
        <v>62</v>
      </c>
      <c r="CM61">
        <f>SUMPRODUCT(AS61:CE61,'PC2'!AS61:CE61)</f>
        <v>-0.13761959071169297</v>
      </c>
      <c r="CN61">
        <f t="shared" si="43"/>
        <v>0.13761959071169297</v>
      </c>
      <c r="CO61">
        <f t="shared" si="44"/>
        <v>0.13849839829807861</v>
      </c>
      <c r="CP61">
        <v>-0.53599423073836627</v>
      </c>
      <c r="CQ61">
        <v>0.53599423073836627</v>
      </c>
      <c r="CR61">
        <v>0.5985180858841882</v>
      </c>
      <c r="CS61" t="s">
        <v>110</v>
      </c>
      <c r="CT61">
        <f t="shared" si="45"/>
        <v>0.24290243959198551</v>
      </c>
      <c r="CU61">
        <f t="shared" si="46"/>
        <v>0.24785623887645283</v>
      </c>
      <c r="CV61">
        <f t="shared" si="47"/>
        <v>0.13761959071169297</v>
      </c>
      <c r="CW61">
        <f t="shared" si="48"/>
        <v>0.13849839829807861</v>
      </c>
      <c r="CX61">
        <v>0.14787496421681026</v>
      </c>
      <c r="CY61">
        <v>0.14896719154221452</v>
      </c>
      <c r="CZ61">
        <v>0.42511599493499175</v>
      </c>
      <c r="DA61">
        <v>0.45392009960950358</v>
      </c>
    </row>
    <row r="62" spans="1:105" x14ac:dyDescent="0.25">
      <c r="A62" s="1" t="s">
        <v>63</v>
      </c>
      <c r="B62">
        <v>1.3507192373010899E-2</v>
      </c>
      <c r="C62">
        <v>1.7468975699575201E-2</v>
      </c>
      <c r="D62">
        <v>8.3570916056110098E-3</v>
      </c>
      <c r="E62">
        <v>1.6764396075095001E-2</v>
      </c>
      <c r="F62">
        <v>2.19710367015723E-2</v>
      </c>
      <c r="G62">
        <v>2.07345048900116E-2</v>
      </c>
      <c r="H62">
        <v>9.94499031295582E-3</v>
      </c>
      <c r="I62">
        <v>2.2138680974433298E-3</v>
      </c>
      <c r="J62">
        <v>1.8029922883161201E-2</v>
      </c>
      <c r="K62">
        <v>1.4720001515540501E-2</v>
      </c>
      <c r="L62">
        <v>-1.2600554672341801E-3</v>
      </c>
      <c r="M62">
        <v>6.9253088363002303E-3</v>
      </c>
      <c r="N62">
        <v>2.28682831759724E-2</v>
      </c>
      <c r="O62">
        <v>3.71533646676135E-2</v>
      </c>
      <c r="P62">
        <v>7.9947555299048796E-3</v>
      </c>
      <c r="Q62">
        <v>1.9276873764032199E-2</v>
      </c>
      <c r="R62">
        <v>2.0877262989194099E-2</v>
      </c>
      <c r="S62">
        <v>1.22566667551773E-2</v>
      </c>
      <c r="T62">
        <v>1.96203670629659E-2</v>
      </c>
      <c r="U62">
        <v>8.5260809314469908E-3</v>
      </c>
      <c r="V62">
        <v>2.9448374905145401E-3</v>
      </c>
      <c r="W62">
        <v>3.26158654316294E-2</v>
      </c>
      <c r="X62">
        <v>2.5799071714639198E-2</v>
      </c>
      <c r="Y62">
        <v>4.43423324377566E-2</v>
      </c>
      <c r="Z62">
        <v>2.02724569484663E-2</v>
      </c>
      <c r="AA62">
        <v>1.40421313938251E-2</v>
      </c>
      <c r="AB62">
        <v>-3.3667860702757402E-3</v>
      </c>
      <c r="AC62">
        <v>3.0180792680455398E-2</v>
      </c>
      <c r="AD62">
        <v>-1.16918377900476E-2</v>
      </c>
      <c r="AE62">
        <v>-1.68814286847115E-2</v>
      </c>
      <c r="AF62">
        <v>1.0338796953134201E-2</v>
      </c>
      <c r="AG62">
        <v>1.07580118886181E-3</v>
      </c>
      <c r="AH62">
        <v>2.4937426251619099E-2</v>
      </c>
      <c r="AI62">
        <v>-2.6948272410927498E-3</v>
      </c>
      <c r="AJ62">
        <v>1.8993180290275E-2</v>
      </c>
      <c r="AK62">
        <v>1.7334385041142E-2</v>
      </c>
      <c r="AL62">
        <v>1.7339289558283101E-2</v>
      </c>
      <c r="AM62">
        <v>4.1971024542178298E-2</v>
      </c>
      <c r="AN62">
        <v>1.21241092234558E-2</v>
      </c>
      <c r="AP62">
        <f t="shared" si="38"/>
        <v>1.5092804961292311E-2</v>
      </c>
      <c r="AQ62">
        <f t="shared" si="39"/>
        <v>0.12285277758883724</v>
      </c>
      <c r="AS62">
        <f t="shared" si="40"/>
        <v>0.10994617002650661</v>
      </c>
      <c r="AT62">
        <f t="shared" si="0"/>
        <v>0.14219438943448426</v>
      </c>
      <c r="AU62">
        <f t="shared" si="1"/>
        <v>6.8025255672936116E-2</v>
      </c>
      <c r="AV62">
        <f t="shared" si="2"/>
        <v>0.13645923522544973</v>
      </c>
      <c r="AW62">
        <f t="shared" si="3"/>
        <v>0.17884037408665518</v>
      </c>
      <c r="AX62">
        <f t="shared" si="4"/>
        <v>0.1687752226441773</v>
      </c>
      <c r="AY62">
        <f t="shared" si="5"/>
        <v>8.095047184231878E-2</v>
      </c>
      <c r="AZ62">
        <f t="shared" si="6"/>
        <v>1.8020496897943057E-2</v>
      </c>
      <c r="BA62">
        <f t="shared" si="7"/>
        <v>0.14676040083931691</v>
      </c>
      <c r="BB62">
        <f t="shared" si="8"/>
        <v>0.11981822311584434</v>
      </c>
      <c r="BC62">
        <f t="shared" si="9"/>
        <v>-1.0256629861893105E-2</v>
      </c>
      <c r="BD62">
        <f t="shared" si="10"/>
        <v>5.6370795778649813E-2</v>
      </c>
      <c r="BE62">
        <f t="shared" si="11"/>
        <v>0.18614380256430016</v>
      </c>
      <c r="BF62">
        <f t="shared" si="12"/>
        <v>0.30242185318721976</v>
      </c>
      <c r="BG62">
        <f t="shared" si="13"/>
        <v>6.5075903750924285E-2</v>
      </c>
      <c r="BH62">
        <f t="shared" si="14"/>
        <v>0.15691036167328587</v>
      </c>
      <c r="BI62">
        <f t="shared" si="15"/>
        <v>0.16993724846064098</v>
      </c>
      <c r="BJ62">
        <f t="shared" si="16"/>
        <v>9.9767111462451596E-2</v>
      </c>
      <c r="BK62">
        <f t="shared" si="17"/>
        <v>0.15970633670677922</v>
      </c>
      <c r="BL62">
        <f t="shared" si="18"/>
        <v>6.9400799060335569E-2</v>
      </c>
      <c r="BM62">
        <f t="shared" si="19"/>
        <v>2.3970459181397594E-2</v>
      </c>
      <c r="BN62">
        <f t="shared" si="20"/>
        <v>0.26548740754391353</v>
      </c>
      <c r="BO62">
        <f t="shared" si="21"/>
        <v>0.20999990574884142</v>
      </c>
      <c r="BP62">
        <f t="shared" si="22"/>
        <v>0.36093878631023862</v>
      </c>
      <c r="BQ62">
        <f t="shared" si="23"/>
        <v>0.16501423367336479</v>
      </c>
      <c r="BR62">
        <f t="shared" si="24"/>
        <v>0.11430047956116386</v>
      </c>
      <c r="BS62">
        <f t="shared" si="25"/>
        <v>-2.7405046400690056E-2</v>
      </c>
      <c r="BT62">
        <f t="shared" si="26"/>
        <v>0.24566634367408649</v>
      </c>
      <c r="BU62">
        <f t="shared" si="27"/>
        <v>-9.5169503038651321E-2</v>
      </c>
      <c r="BV62">
        <f t="shared" si="28"/>
        <v>-0.13741186008191153</v>
      </c>
      <c r="BW62">
        <f t="shared" si="29"/>
        <v>8.4155988623521472E-2</v>
      </c>
      <c r="BX62">
        <f t="shared" si="30"/>
        <v>8.7568324459239618E-3</v>
      </c>
      <c r="BY62">
        <f t="shared" si="31"/>
        <v>0.20298626324167851</v>
      </c>
      <c r="BZ62">
        <f t="shared" si="32"/>
        <v>-2.1935419727438135E-2</v>
      </c>
      <c r="CA62">
        <f t="shared" si="33"/>
        <v>0.15460114669805217</v>
      </c>
      <c r="CB62">
        <f t="shared" si="34"/>
        <v>0.14109884514908236</v>
      </c>
      <c r="CC62">
        <f t="shared" si="35"/>
        <v>0.14113876705591555</v>
      </c>
      <c r="CD62">
        <f t="shared" si="36"/>
        <v>0.34163675714884206</v>
      </c>
      <c r="CE62">
        <f t="shared" si="37"/>
        <v>9.868811647085976E-2</v>
      </c>
      <c r="CG62">
        <f t="shared" si="41"/>
        <v>0.99999999999999989</v>
      </c>
      <c r="CH62">
        <f t="shared" si="42"/>
        <v>1</v>
      </c>
      <c r="CJ62">
        <f>SUMPRODUCT(AS62:CE62,'PC1'!AS62:CE62)</f>
        <v>0.74540864645689409</v>
      </c>
      <c r="CK62" s="1" t="s">
        <v>63</v>
      </c>
      <c r="CM62">
        <f>SUMPRODUCT(AS62:CE62,'PC2'!AS62:CE62)</f>
        <v>4.9787929664398198E-2</v>
      </c>
      <c r="CN62">
        <f t="shared" si="43"/>
        <v>4.9787929664398198E-2</v>
      </c>
      <c r="CO62">
        <f t="shared" si="44"/>
        <v>4.9829129695038984E-2</v>
      </c>
      <c r="CP62">
        <v>-9.5782183340619012E-2</v>
      </c>
      <c r="CQ62">
        <v>9.5782183340619012E-2</v>
      </c>
      <c r="CR62">
        <v>9.6076715464031542E-2</v>
      </c>
      <c r="CS62" t="s">
        <v>110</v>
      </c>
      <c r="CT62">
        <f t="shared" si="45"/>
        <v>0.74540864645689409</v>
      </c>
      <c r="CU62">
        <f t="shared" si="46"/>
        <v>0.96254213198527883</v>
      </c>
      <c r="CV62">
        <f t="shared" si="47"/>
        <v>4.9787929664398198E-2</v>
      </c>
      <c r="CW62">
        <f t="shared" si="48"/>
        <v>4.9829129695038984E-2</v>
      </c>
      <c r="CX62">
        <v>0.15156767193710904</v>
      </c>
      <c r="CY62">
        <v>0.15274457966788393</v>
      </c>
      <c r="CZ62">
        <v>0.13938341348934405</v>
      </c>
      <c r="DA62">
        <v>0.14029671814761432</v>
      </c>
    </row>
    <row r="63" spans="1:105" x14ac:dyDescent="0.25">
      <c r="A63" s="1" t="s">
        <v>64</v>
      </c>
      <c r="B63">
        <v>2.2675075616702602E-2</v>
      </c>
      <c r="C63">
        <v>-7.3769812972636697E-3</v>
      </c>
      <c r="D63">
        <v>5.51718804862893E-2</v>
      </c>
      <c r="E63">
        <v>-3.5428034845190999E-3</v>
      </c>
      <c r="F63">
        <v>9.9564602133734408E-3</v>
      </c>
      <c r="G63">
        <v>2.09557971114636E-2</v>
      </c>
      <c r="H63">
        <v>-4.26882820445975E-3</v>
      </c>
      <c r="I63">
        <v>2.8153240767896499E-2</v>
      </c>
      <c r="J63">
        <v>2.7607569569531299E-2</v>
      </c>
      <c r="K63">
        <v>3.51485186316921E-3</v>
      </c>
      <c r="L63">
        <v>3.8130403060311902E-2</v>
      </c>
      <c r="M63">
        <v>1.39964335326665E-2</v>
      </c>
      <c r="N63">
        <v>1.8094122753552402E-2</v>
      </c>
      <c r="O63">
        <v>-4.7038222120851798E-2</v>
      </c>
      <c r="P63">
        <v>-8.3770771801763202E-3</v>
      </c>
      <c r="Q63">
        <v>8.1989563233891092E-3</v>
      </c>
      <c r="R63">
        <v>2.1858857162958999E-2</v>
      </c>
      <c r="S63">
        <v>3.4471981554030202E-3</v>
      </c>
      <c r="T63">
        <v>-1.6547888492816399E-2</v>
      </c>
      <c r="U63">
        <v>-1.6517827694823701E-2</v>
      </c>
      <c r="V63">
        <v>-2.54715361697111E-3</v>
      </c>
      <c r="W63">
        <v>-1.6816148482338301E-2</v>
      </c>
      <c r="X63">
        <v>6.9915971284331699E-3</v>
      </c>
      <c r="Y63">
        <v>-1.46518762363574E-2</v>
      </c>
      <c r="Z63">
        <v>3.53843977756923E-2</v>
      </c>
      <c r="AA63">
        <v>-2.0612051059800001E-2</v>
      </c>
      <c r="AB63">
        <v>1.1963314365413801E-2</v>
      </c>
      <c r="AC63">
        <v>-1.76193870834199E-2</v>
      </c>
      <c r="AD63">
        <v>1.4807933738706E-2</v>
      </c>
      <c r="AE63">
        <v>1.6466529131955301E-2</v>
      </c>
      <c r="AF63">
        <v>2.58797802652499E-2</v>
      </c>
      <c r="AG63">
        <v>-2.05012338690953E-2</v>
      </c>
      <c r="AH63">
        <v>-3.9216168244008897E-3</v>
      </c>
      <c r="AI63">
        <v>2.6999630013116001E-2</v>
      </c>
      <c r="AJ63">
        <v>-1.53807804556206E-2</v>
      </c>
      <c r="AK63">
        <v>3.4790133260906901E-2</v>
      </c>
      <c r="AL63">
        <v>-2.9171932797518299E-2</v>
      </c>
      <c r="AM63">
        <v>1.36196129968294E-2</v>
      </c>
      <c r="AN63">
        <v>3.6594256016787398E-3</v>
      </c>
      <c r="AP63">
        <f t="shared" si="38"/>
        <v>1.8617244597154425E-2</v>
      </c>
      <c r="AQ63">
        <f t="shared" si="39"/>
        <v>0.1364450240835276</v>
      </c>
      <c r="AS63">
        <f t="shared" si="40"/>
        <v>0.16618470163354285</v>
      </c>
      <c r="AT63">
        <f t="shared" si="0"/>
        <v>-5.4065594160089714E-2</v>
      </c>
      <c r="AU63">
        <f t="shared" si="1"/>
        <v>0.40435245518748059</v>
      </c>
      <c r="AV63">
        <f t="shared" si="2"/>
        <v>-2.5965061813835736E-2</v>
      </c>
      <c r="AW63">
        <f t="shared" si="3"/>
        <v>7.2970489618429696E-2</v>
      </c>
      <c r="AX63">
        <f t="shared" si="4"/>
        <v>0.15358417979856182</v>
      </c>
      <c r="AY63">
        <f t="shared" si="5"/>
        <v>-3.1286067287045222E-2</v>
      </c>
      <c r="AZ63">
        <f t="shared" si="6"/>
        <v>0.20633394993328535</v>
      </c>
      <c r="BA63">
        <f t="shared" si="7"/>
        <v>0.20233474804204485</v>
      </c>
      <c r="BB63">
        <f t="shared" si="8"/>
        <v>2.5760205524369448E-2</v>
      </c>
      <c r="BC63">
        <f t="shared" si="9"/>
        <v>0.27945616424216102</v>
      </c>
      <c r="BD63">
        <f t="shared" si="10"/>
        <v>0.1025792888137738</v>
      </c>
      <c r="BE63">
        <f t="shared" si="11"/>
        <v>0.13261108549092795</v>
      </c>
      <c r="BF63">
        <f t="shared" si="12"/>
        <v>-0.3447412057478651</v>
      </c>
      <c r="BG63">
        <f t="shared" si="13"/>
        <v>-6.1395255975389196E-2</v>
      </c>
      <c r="BH63">
        <f t="shared" si="14"/>
        <v>6.0089815502322397E-2</v>
      </c>
      <c r="BI63">
        <f t="shared" si="15"/>
        <v>0.16020266997481458</v>
      </c>
      <c r="BJ63">
        <f t="shared" si="16"/>
        <v>2.5264374267637255E-2</v>
      </c>
      <c r="BK63">
        <f t="shared" si="17"/>
        <v>-0.12127879784524991</v>
      </c>
      <c r="BL63">
        <f t="shared" si="18"/>
        <v>-0.12105848348644782</v>
      </c>
      <c r="BM63">
        <f t="shared" si="19"/>
        <v>-1.8667984663272279E-2</v>
      </c>
      <c r="BN63">
        <f t="shared" si="20"/>
        <v>-0.12324486433483975</v>
      </c>
      <c r="BO63">
        <f t="shared" si="21"/>
        <v>5.1241129351504391E-2</v>
      </c>
      <c r="BP63">
        <f t="shared" si="22"/>
        <v>-0.10738300157716235</v>
      </c>
      <c r="BQ63">
        <f t="shared" si="23"/>
        <v>0.25933080384104751</v>
      </c>
      <c r="BR63">
        <f t="shared" si="24"/>
        <v>-0.15106487904741703</v>
      </c>
      <c r="BS63">
        <f t="shared" si="25"/>
        <v>8.767864160506296E-2</v>
      </c>
      <c r="BT63">
        <f t="shared" si="26"/>
        <v>-0.12913176718437042</v>
      </c>
      <c r="BU63">
        <f t="shared" si="27"/>
        <v>0.10852674062808638</v>
      </c>
      <c r="BV63">
        <f t="shared" si="28"/>
        <v>0.12068251841763743</v>
      </c>
      <c r="BW63">
        <f t="shared" si="29"/>
        <v>0.18967185090903033</v>
      </c>
      <c r="BX63">
        <f t="shared" si="30"/>
        <v>-0.15025270438990176</v>
      </c>
      <c r="BY63">
        <f t="shared" si="31"/>
        <v>-2.8741369285846526E-2</v>
      </c>
      <c r="BZ63">
        <f t="shared" si="32"/>
        <v>0.19787918390184481</v>
      </c>
      <c r="CA63">
        <f t="shared" si="33"/>
        <v>-0.11272511078311616</v>
      </c>
      <c r="CB63">
        <f t="shared" si="34"/>
        <v>0.25497546352155293</v>
      </c>
      <c r="CC63">
        <f t="shared" si="35"/>
        <v>-0.21379990214711023</v>
      </c>
      <c r="CD63">
        <f t="shared" si="36"/>
        <v>9.9817586521087617E-2</v>
      </c>
      <c r="CE63">
        <f t="shared" si="37"/>
        <v>2.6819780539879181E-2</v>
      </c>
      <c r="CG63">
        <f t="shared" si="41"/>
        <v>1.0000000000000002</v>
      </c>
      <c r="CH63">
        <f t="shared" si="42"/>
        <v>1</v>
      </c>
      <c r="CJ63">
        <f>SUMPRODUCT(AS63:CE63,'PC1'!AS63:CE63)</f>
        <v>0.1892674872248831</v>
      </c>
      <c r="CK63" s="1" t="s">
        <v>64</v>
      </c>
      <c r="CM63">
        <f>SUMPRODUCT(AS63:CE63,'PC2'!AS63:CE63)</f>
        <v>0.20669465661938438</v>
      </c>
      <c r="CN63">
        <f t="shared" si="43"/>
        <v>0.20669465661938438</v>
      </c>
      <c r="CO63">
        <f t="shared" si="44"/>
        <v>0.20971600802704707</v>
      </c>
      <c r="CP63">
        <v>-0.17193645813639097</v>
      </c>
      <c r="CQ63">
        <v>0.17193645813639097</v>
      </c>
      <c r="CR63">
        <v>0.17366142961902428</v>
      </c>
      <c r="CS63" t="s">
        <v>110</v>
      </c>
      <c r="CT63">
        <f t="shared" si="45"/>
        <v>0.1892674872248831</v>
      </c>
      <c r="CU63">
        <f t="shared" si="46"/>
        <v>0.19157733192948362</v>
      </c>
      <c r="CV63">
        <f t="shared" si="47"/>
        <v>0.20669465661938438</v>
      </c>
      <c r="CW63">
        <f t="shared" si="48"/>
        <v>0.20971600802704707</v>
      </c>
      <c r="CX63">
        <v>8.2570522592434165E-2</v>
      </c>
      <c r="CY63">
        <v>8.2758946266211803E-2</v>
      </c>
      <c r="CZ63">
        <v>0.19675926993587678</v>
      </c>
      <c r="DA63">
        <v>0.19935905838738577</v>
      </c>
    </row>
    <row r="64" spans="1:105" x14ac:dyDescent="0.25">
      <c r="A64" s="1" t="s">
        <v>65</v>
      </c>
      <c r="B64">
        <v>2.26793460070282E-2</v>
      </c>
      <c r="C64">
        <v>5.2190645623582103E-2</v>
      </c>
      <c r="D64">
        <v>5.3996003022346799E-2</v>
      </c>
      <c r="E64">
        <v>-7.51259454658038E-3</v>
      </c>
      <c r="F64">
        <v>4.8144725236186098E-2</v>
      </c>
      <c r="G64">
        <v>5.5126593870618697E-2</v>
      </c>
      <c r="H64">
        <v>-5.3525599675916299E-3</v>
      </c>
      <c r="I64">
        <v>3.4350410322739201E-2</v>
      </c>
      <c r="J64">
        <v>6.7208689838315294E-2</v>
      </c>
      <c r="K64">
        <v>6.9482687515959101E-3</v>
      </c>
      <c r="L64">
        <v>2.12446352310981E-2</v>
      </c>
      <c r="M64">
        <v>4.2506137634993099E-2</v>
      </c>
      <c r="N64">
        <v>5.6830837630429103E-3</v>
      </c>
      <c r="O64">
        <v>4.7715583012434198E-2</v>
      </c>
      <c r="P64">
        <v>-1.1014963606514799E-2</v>
      </c>
      <c r="Q64">
        <v>4.2363435759218297E-2</v>
      </c>
      <c r="R64">
        <v>9.0507172453360499E-2</v>
      </c>
      <c r="S64">
        <v>9.1878648938456195E-2</v>
      </c>
      <c r="T64">
        <v>9.4827362810373003E-2</v>
      </c>
      <c r="U64">
        <v>6.7259132434885294E-2</v>
      </c>
      <c r="V64">
        <v>3.9367995378627403E-2</v>
      </c>
      <c r="W64">
        <v>6.3266098095591305E-2</v>
      </c>
      <c r="X64">
        <v>1.24014045919508E-2</v>
      </c>
      <c r="Y64">
        <v>5.3693661898896697E-2</v>
      </c>
      <c r="Z64">
        <v>9.0755189813037596E-2</v>
      </c>
      <c r="AA64">
        <v>7.9104964280871798E-2</v>
      </c>
      <c r="AB64">
        <v>5.0196742154980101E-4</v>
      </c>
      <c r="AC64">
        <v>5.9477326826727801E-2</v>
      </c>
      <c r="AD64">
        <v>4.8400973903213899E-2</v>
      </c>
      <c r="AE64">
        <v>1.2024299952308E-2</v>
      </c>
      <c r="AF64">
        <v>2.1724561235585998E-2</v>
      </c>
      <c r="AG64">
        <v>5.7086082954588502E-2</v>
      </c>
      <c r="AH64">
        <v>4.0662642034044197E-2</v>
      </c>
      <c r="AI64">
        <v>4.43339759254686E-3</v>
      </c>
      <c r="AJ64">
        <v>1.7764643045751899E-2</v>
      </c>
      <c r="AK64">
        <v>3.1618613684901299E-2</v>
      </c>
      <c r="AL64">
        <v>7.0966005121342796E-2</v>
      </c>
      <c r="AM64">
        <v>1.8770562802876398E-2</v>
      </c>
      <c r="AN64">
        <v>7.0023493365188802E-3</v>
      </c>
      <c r="AP64">
        <f t="shared" si="38"/>
        <v>9.5238518955676671E-2</v>
      </c>
      <c r="AQ64">
        <f t="shared" si="39"/>
        <v>0.30860738642436392</v>
      </c>
      <c r="AS64">
        <f t="shared" si="40"/>
        <v>7.348931686243565E-2</v>
      </c>
      <c r="AT64">
        <f t="shared" si="0"/>
        <v>0.16911664438198218</v>
      </c>
      <c r="AU64">
        <f t="shared" si="1"/>
        <v>0.17496665795321328</v>
      </c>
      <c r="AV64">
        <f t="shared" si="2"/>
        <v>-2.4343534461776822E-2</v>
      </c>
      <c r="AW64">
        <f t="shared" si="3"/>
        <v>0.15600639308737288</v>
      </c>
      <c r="AX64">
        <f t="shared" si="4"/>
        <v>0.17863018286546936</v>
      </c>
      <c r="AY64">
        <f t="shared" si="5"/>
        <v>-1.7344238028805185E-2</v>
      </c>
      <c r="AZ64">
        <f t="shared" si="6"/>
        <v>0.11130780348693335</v>
      </c>
      <c r="BA64">
        <f t="shared" si="7"/>
        <v>0.21778056130483242</v>
      </c>
      <c r="BB64">
        <f t="shared" si="8"/>
        <v>2.2514913956211642E-2</v>
      </c>
      <c r="BC64">
        <f t="shared" si="9"/>
        <v>6.8840332946162042E-2</v>
      </c>
      <c r="BD64">
        <f t="shared" si="10"/>
        <v>0.1377353216573475</v>
      </c>
      <c r="BE64">
        <f t="shared" si="11"/>
        <v>1.8415255152798387E-2</v>
      </c>
      <c r="BF64">
        <f t="shared" si="12"/>
        <v>0.15461581644329414</v>
      </c>
      <c r="BG64">
        <f t="shared" si="13"/>
        <v>-3.5692482069655321E-2</v>
      </c>
      <c r="BH64">
        <f t="shared" si="14"/>
        <v>0.13727291575893982</v>
      </c>
      <c r="BI64">
        <f t="shared" si="15"/>
        <v>0.29327610561111034</v>
      </c>
      <c r="BJ64">
        <f t="shared" si="16"/>
        <v>0.29772018746211892</v>
      </c>
      <c r="BK64">
        <f t="shared" si="17"/>
        <v>0.30727509120593938</v>
      </c>
      <c r="BL64">
        <f t="shared" si="18"/>
        <v>0.21794401363549257</v>
      </c>
      <c r="BM64">
        <f t="shared" si="19"/>
        <v>0.12756660115870572</v>
      </c>
      <c r="BN64">
        <f t="shared" si="20"/>
        <v>0.20500513234182452</v>
      </c>
      <c r="BO64">
        <f t="shared" si="21"/>
        <v>4.0185054335989588E-2</v>
      </c>
      <c r="BP64">
        <f t="shared" si="22"/>
        <v>0.17398696292078669</v>
      </c>
      <c r="BQ64">
        <f t="shared" si="23"/>
        <v>0.29407977192172824</v>
      </c>
      <c r="BR64">
        <f t="shared" si="24"/>
        <v>0.25632881052333306</v>
      </c>
      <c r="BS64">
        <f t="shared" si="25"/>
        <v>1.6265567307567584E-3</v>
      </c>
      <c r="BT64">
        <f t="shared" si="26"/>
        <v>0.19272813757264037</v>
      </c>
      <c r="BU64">
        <f t="shared" si="27"/>
        <v>0.15683673182293198</v>
      </c>
      <c r="BV64">
        <f t="shared" si="28"/>
        <v>3.8963098361403013E-2</v>
      </c>
      <c r="BW64">
        <f t="shared" si="29"/>
        <v>7.0395467481496707E-2</v>
      </c>
      <c r="BX64">
        <f t="shared" si="30"/>
        <v>0.18497963906829443</v>
      </c>
      <c r="BY64">
        <f t="shared" si="31"/>
        <v>0.13176172646149589</v>
      </c>
      <c r="BZ64">
        <f t="shared" si="32"/>
        <v>1.4365818148145441E-2</v>
      </c>
      <c r="CA64">
        <f t="shared" si="33"/>
        <v>5.7563894537909277E-2</v>
      </c>
      <c r="CB64">
        <f t="shared" si="34"/>
        <v>0.1024557903530629</v>
      </c>
      <c r="CC64">
        <f t="shared" si="35"/>
        <v>0.22995562725695076</v>
      </c>
      <c r="CD64">
        <f t="shared" si="36"/>
        <v>6.0823439841667062E-2</v>
      </c>
      <c r="CE64">
        <f t="shared" si="37"/>
        <v>2.2690154690238027E-2</v>
      </c>
      <c r="CG64">
        <f t="shared" si="41"/>
        <v>1</v>
      </c>
      <c r="CH64">
        <f t="shared" si="42"/>
        <v>1</v>
      </c>
      <c r="CJ64">
        <f>SUMPRODUCT(AS64:CE64,'PC1'!AS64:CE64)</f>
        <v>0.91790831078404234</v>
      </c>
      <c r="CK64" s="4" t="s">
        <v>65</v>
      </c>
      <c r="CM64">
        <f>SUMPRODUCT(AS64:CE64,'PC2'!AS64:CE64)</f>
        <v>-0.15293457805991159</v>
      </c>
      <c r="CN64">
        <f t="shared" si="43"/>
        <v>0.15293457805991159</v>
      </c>
      <c r="CO64">
        <f t="shared" si="44"/>
        <v>0.1541439233833983</v>
      </c>
      <c r="CP64">
        <v>-1.9843075428630799E-2</v>
      </c>
      <c r="CQ64">
        <v>1.9843075428630799E-2</v>
      </c>
      <c r="CR64">
        <v>1.984568043214336E-2</v>
      </c>
      <c r="CS64" t="s">
        <v>110</v>
      </c>
      <c r="CT64">
        <f t="shared" si="45"/>
        <v>0.91790831078404234</v>
      </c>
      <c r="CU64">
        <f t="shared" si="46"/>
        <v>1.5755768329731958</v>
      </c>
      <c r="CV64">
        <f t="shared" si="47"/>
        <v>0.15293457805991159</v>
      </c>
      <c r="CW64">
        <f t="shared" si="48"/>
        <v>0.1541439233833983</v>
      </c>
      <c r="CX64">
        <v>2.77472666819857E-2</v>
      </c>
      <c r="CY64">
        <v>2.7754390946811095E-2</v>
      </c>
      <c r="CZ64">
        <v>0.11472887018350304</v>
      </c>
      <c r="DA64">
        <v>0.11523626455324425</v>
      </c>
    </row>
    <row r="65" spans="1:105" x14ac:dyDescent="0.25">
      <c r="A65" s="1" t="s">
        <v>66</v>
      </c>
      <c r="B65">
        <v>3.0142388084495E-2</v>
      </c>
      <c r="C65">
        <v>2.1019839173154701E-2</v>
      </c>
      <c r="D65">
        <v>6.40765601134934E-2</v>
      </c>
      <c r="E65">
        <v>2.0023206047001699E-2</v>
      </c>
      <c r="F65">
        <v>9.3581143728540095E-2</v>
      </c>
      <c r="G65">
        <v>5.2857323632227102E-2</v>
      </c>
      <c r="H65">
        <v>4.2214351531649701E-2</v>
      </c>
      <c r="I65">
        <v>5.6313094806579901E-2</v>
      </c>
      <c r="J65">
        <v>9.8647504533186103E-2</v>
      </c>
      <c r="K65">
        <v>0.117675625085965</v>
      </c>
      <c r="L65">
        <v>3.6292920975778097E-2</v>
      </c>
      <c r="M65">
        <v>3.52215714237736E-2</v>
      </c>
      <c r="N65">
        <v>7.6476373216177798E-2</v>
      </c>
      <c r="O65">
        <v>0.10004605415970701</v>
      </c>
      <c r="P65">
        <v>2.20262091001177E-2</v>
      </c>
      <c r="Q65">
        <v>2.28144209015371E-2</v>
      </c>
      <c r="R65">
        <v>7.9520701925675105E-2</v>
      </c>
      <c r="S65">
        <v>6.6907459635033403E-2</v>
      </c>
      <c r="T65">
        <v>7.4840947877309702E-2</v>
      </c>
      <c r="U65">
        <v>4.1126758705042697E-2</v>
      </c>
      <c r="V65">
        <v>2.1547215851612098E-2</v>
      </c>
      <c r="W65">
        <v>7.2763657720069E-2</v>
      </c>
      <c r="X65">
        <v>2.9423328342949299E-2</v>
      </c>
      <c r="Y65">
        <v>8.9043412570059793E-2</v>
      </c>
      <c r="Z65">
        <v>6.74702409129318E-2</v>
      </c>
      <c r="AA65">
        <v>6.6382564025423405E-2</v>
      </c>
      <c r="AB65">
        <v>7.2027675407849399E-3</v>
      </c>
      <c r="AC65">
        <v>6.1216160282635497E-2</v>
      </c>
      <c r="AD65">
        <v>6.9223204260926596E-2</v>
      </c>
      <c r="AE65">
        <v>2.2153140694020398E-2</v>
      </c>
      <c r="AF65">
        <v>4.7745958745790802E-2</v>
      </c>
      <c r="AG65">
        <v>6.7403894233966005E-2</v>
      </c>
      <c r="AH65">
        <v>5.9374169036283599E-2</v>
      </c>
      <c r="AI65">
        <v>4.7500711945977797E-2</v>
      </c>
      <c r="AJ65">
        <v>1.62661186098014E-2</v>
      </c>
      <c r="AK65">
        <v>8.1016967591747299E-2</v>
      </c>
      <c r="AL65">
        <v>7.3415119417714003E-2</v>
      </c>
      <c r="AM65">
        <v>3.9363878653831501E-2</v>
      </c>
      <c r="AN65">
        <v>2.4112707829555499E-3</v>
      </c>
      <c r="AP65">
        <f t="shared" si="38"/>
        <v>0.14242662080257662</v>
      </c>
      <c r="AQ65">
        <f t="shared" si="39"/>
        <v>0.37739451612679353</v>
      </c>
      <c r="AS65">
        <f t="shared" si="40"/>
        <v>7.9869703444148718E-2</v>
      </c>
      <c r="AT65">
        <f t="shared" si="0"/>
        <v>5.5697256517878622E-2</v>
      </c>
      <c r="AU65">
        <f t="shared" si="1"/>
        <v>0.16978667515127735</v>
      </c>
      <c r="AV65">
        <f t="shared" si="2"/>
        <v>5.3056430847221128E-2</v>
      </c>
      <c r="AW65">
        <f t="shared" si="3"/>
        <v>0.24796635809381917</v>
      </c>
      <c r="AX65">
        <f t="shared" si="4"/>
        <v>0.14005853655400913</v>
      </c>
      <c r="AY65">
        <f t="shared" si="5"/>
        <v>0.11185735279064551</v>
      </c>
      <c r="AZ65">
        <f t="shared" si="6"/>
        <v>0.14921545597567812</v>
      </c>
      <c r="BA65">
        <f t="shared" si="7"/>
        <v>0.26139093261239499</v>
      </c>
      <c r="BB65">
        <f t="shared" si="8"/>
        <v>0.31181063862207642</v>
      </c>
      <c r="BC65">
        <f t="shared" si="9"/>
        <v>9.6167059734341059E-2</v>
      </c>
      <c r="BD65">
        <f t="shared" si="10"/>
        <v>9.3328254435843944E-2</v>
      </c>
      <c r="BE65">
        <f t="shared" si="11"/>
        <v>0.20264304315032489</v>
      </c>
      <c r="BF65">
        <f t="shared" si="12"/>
        <v>0.26509673533807909</v>
      </c>
      <c r="BG65">
        <f t="shared" si="13"/>
        <v>5.836388224760939E-2</v>
      </c>
      <c r="BH65">
        <f t="shared" si="14"/>
        <v>6.0452444131096281E-2</v>
      </c>
      <c r="BI65">
        <f t="shared" si="15"/>
        <v>0.21070974412081409</v>
      </c>
      <c r="BJ65">
        <f t="shared" si="16"/>
        <v>0.17728784276386902</v>
      </c>
      <c r="BK65">
        <f t="shared" si="17"/>
        <v>0.19830957970826829</v>
      </c>
      <c r="BL65">
        <f t="shared" si="18"/>
        <v>0.1089755069234374</v>
      </c>
      <c r="BM65">
        <f t="shared" si="19"/>
        <v>5.709467130776448E-2</v>
      </c>
      <c r="BN65">
        <f t="shared" si="20"/>
        <v>0.19280528627401289</v>
      </c>
      <c r="BO65">
        <f t="shared" si="21"/>
        <v>7.7964377026252071E-2</v>
      </c>
      <c r="BP65">
        <f t="shared" si="22"/>
        <v>0.23594251841259878</v>
      </c>
      <c r="BQ65">
        <f t="shared" si="23"/>
        <v>0.17877907078613661</v>
      </c>
      <c r="BR65">
        <f t="shared" si="24"/>
        <v>0.17589700217880433</v>
      </c>
      <c r="BS65">
        <f t="shared" si="25"/>
        <v>1.9085511932465441E-2</v>
      </c>
      <c r="BT65">
        <f t="shared" si="26"/>
        <v>0.16220733918154936</v>
      </c>
      <c r="BU65">
        <f t="shared" si="27"/>
        <v>0.18342398021933531</v>
      </c>
      <c r="BV65">
        <f t="shared" si="28"/>
        <v>5.8700218862156414E-2</v>
      </c>
      <c r="BW65">
        <f t="shared" si="29"/>
        <v>0.12651471260316235</v>
      </c>
      <c r="BX65">
        <f t="shared" si="30"/>
        <v>0.17860326887028816</v>
      </c>
      <c r="BY65">
        <f t="shared" si="31"/>
        <v>0.15732652833867786</v>
      </c>
      <c r="BZ65">
        <f t="shared" si="32"/>
        <v>0.12586487062260052</v>
      </c>
      <c r="CA65">
        <f t="shared" si="33"/>
        <v>4.3101099551580285E-2</v>
      </c>
      <c r="CB65">
        <f t="shared" si="34"/>
        <v>0.21467446963253692</v>
      </c>
      <c r="CC65">
        <f t="shared" si="35"/>
        <v>0.19453149497553554</v>
      </c>
      <c r="CD65">
        <f t="shared" si="36"/>
        <v>0.10430432073529756</v>
      </c>
      <c r="CE65">
        <f t="shared" si="37"/>
        <v>6.3892576068737402E-3</v>
      </c>
      <c r="CG65">
        <f t="shared" si="41"/>
        <v>0.99999999999999956</v>
      </c>
      <c r="CH65">
        <f t="shared" si="42"/>
        <v>0.99999999999999978</v>
      </c>
      <c r="CJ65">
        <f>SUMPRODUCT(AS65:CE65,'PC1'!AS65:CE65)</f>
        <v>0.90910883818498811</v>
      </c>
      <c r="CK65" s="1" t="s">
        <v>66</v>
      </c>
      <c r="CM65">
        <f>SUMPRODUCT(AS65:CE65,'PC2'!AS65:CE65)</f>
        <v>0.22586341330188228</v>
      </c>
      <c r="CN65">
        <f t="shared" si="43"/>
        <v>0.22586341330188228</v>
      </c>
      <c r="CO65">
        <f t="shared" si="44"/>
        <v>0.22982618763340804</v>
      </c>
      <c r="CP65">
        <v>-2.7301311009256483E-2</v>
      </c>
      <c r="CQ65">
        <v>2.7301311009256483E-2</v>
      </c>
      <c r="CR65">
        <v>2.7308097160526009E-2</v>
      </c>
      <c r="CS65" t="s">
        <v>110</v>
      </c>
      <c r="CT65">
        <f t="shared" si="45"/>
        <v>0.90910883818498811</v>
      </c>
      <c r="CU65">
        <f t="shared" si="46"/>
        <v>1.5223645342974266</v>
      </c>
      <c r="CV65">
        <f t="shared" si="47"/>
        <v>0.22586341330188228</v>
      </c>
      <c r="CW65">
        <f t="shared" si="48"/>
        <v>0.22982618763340804</v>
      </c>
      <c r="CX65">
        <v>9.4565300130060079E-2</v>
      </c>
      <c r="CY65">
        <v>9.4848708761190462E-2</v>
      </c>
      <c r="CZ65">
        <v>0.15905144075627464</v>
      </c>
      <c r="DA65">
        <v>0.16041336708634016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Roman,Regular"&amp;12Página &amp;P</oddFooter>
  </headerFooter>
  <ignoredErrors>
    <ignoredError sqref="CV2:CV6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0961-F8CC-42EF-8ADA-B967DD21FD59}">
  <dimension ref="A1:J65"/>
  <sheetViews>
    <sheetView topLeftCell="A31" workbookViewId="0">
      <selection activeCell="D2" sqref="D2:J65"/>
    </sheetView>
  </sheetViews>
  <sheetFormatPr defaultRowHeight="13.2" x14ac:dyDescent="0.25"/>
  <cols>
    <col min="2" max="2" width="33.109375" customWidth="1"/>
    <col min="3" max="3" width="40.21875" customWidth="1"/>
    <col min="6" max="6" width="10.44140625" customWidth="1"/>
    <col min="7" max="7" width="15.109375" customWidth="1"/>
  </cols>
  <sheetData>
    <row r="1" spans="1:10" x14ac:dyDescent="0.25">
      <c r="A1" t="s">
        <v>106</v>
      </c>
      <c r="B1" t="s">
        <v>107</v>
      </c>
      <c r="C1" s="1" t="s">
        <v>0</v>
      </c>
      <c r="D1" s="1" t="s">
        <v>1</v>
      </c>
      <c r="E1" s="1" t="s">
        <v>2</v>
      </c>
      <c r="F1" s="1" t="s">
        <v>108</v>
      </c>
      <c r="G1" s="1" t="s">
        <v>109</v>
      </c>
      <c r="I1" s="1" t="s">
        <v>114</v>
      </c>
      <c r="J1" s="1" t="s">
        <v>115</v>
      </c>
    </row>
    <row r="2" spans="1:10" x14ac:dyDescent="0.25">
      <c r="A2">
        <v>-0.93954256497306388</v>
      </c>
      <c r="B2" s="1" t="s">
        <v>3</v>
      </c>
      <c r="C2" t="s">
        <v>3</v>
      </c>
      <c r="D2">
        <v>0.34952679417051602</v>
      </c>
      <c r="E2">
        <v>-1.90589301402489</v>
      </c>
      <c r="F2">
        <f>ABS(A2)</f>
        <v>0.93954256497306388</v>
      </c>
      <c r="G2">
        <f>FISHER(F2)</f>
        <v>1.7341339344249924</v>
      </c>
      <c r="H2" t="s">
        <v>111</v>
      </c>
      <c r="I2">
        <v>2.8720315451922135E-2</v>
      </c>
      <c r="J2">
        <v>2.8728216075568556E-2</v>
      </c>
    </row>
    <row r="3" spans="1:10" x14ac:dyDescent="0.25">
      <c r="A3">
        <v>-0.96668006878217061</v>
      </c>
      <c r="B3" s="1" t="s">
        <v>4</v>
      </c>
      <c r="C3" t="s">
        <v>4</v>
      </c>
      <c r="D3">
        <v>-2.68866339396273</v>
      </c>
      <c r="E3">
        <v>-1.5184777963920899</v>
      </c>
      <c r="F3">
        <f t="shared" ref="F3:F65" si="0">ABS(A3)</f>
        <v>0.96668006878217061</v>
      </c>
      <c r="G3">
        <f t="shared" ref="G3:G65" si="1">FISHER(F3)</f>
        <v>2.0389732014159034</v>
      </c>
      <c r="H3" t="s">
        <v>111</v>
      </c>
      <c r="I3">
        <v>7.0859869681382331E-2</v>
      </c>
      <c r="J3">
        <v>7.0978826929822533E-2</v>
      </c>
    </row>
    <row r="4" spans="1:10" x14ac:dyDescent="0.25">
      <c r="A4">
        <v>-0.94951949844370542</v>
      </c>
      <c r="B4" s="1" t="s">
        <v>5</v>
      </c>
      <c r="C4" t="s">
        <v>5</v>
      </c>
      <c r="D4">
        <v>-0.66348239554867605</v>
      </c>
      <c r="E4">
        <v>1.5267535968144601</v>
      </c>
      <c r="F4">
        <f t="shared" si="0"/>
        <v>0.94951949844370542</v>
      </c>
      <c r="G4">
        <f t="shared" si="1"/>
        <v>1.8268755281063653</v>
      </c>
      <c r="H4" t="s">
        <v>111</v>
      </c>
      <c r="I4">
        <v>0.12048671344664454</v>
      </c>
      <c r="J4">
        <v>0.12107488223357453</v>
      </c>
    </row>
    <row r="5" spans="1:10" x14ac:dyDescent="0.25">
      <c r="A5">
        <v>-0.91678697711709467</v>
      </c>
      <c r="B5" s="1" t="s">
        <v>6</v>
      </c>
      <c r="C5" t="s">
        <v>6</v>
      </c>
      <c r="D5">
        <v>-4.1055762685878197</v>
      </c>
      <c r="E5">
        <v>-0.29520282776679202</v>
      </c>
      <c r="F5">
        <f t="shared" si="0"/>
        <v>0.91678697711709467</v>
      </c>
      <c r="G5">
        <f t="shared" si="1"/>
        <v>1.5685008766048807</v>
      </c>
      <c r="H5" t="s">
        <v>111</v>
      </c>
      <c r="I5">
        <v>6.6243266774995299E-2</v>
      </c>
      <c r="J5">
        <v>6.6340418274631024E-2</v>
      </c>
    </row>
    <row r="6" spans="1:10" x14ac:dyDescent="0.25">
      <c r="A6">
        <v>-0.97153717951791074</v>
      </c>
      <c r="B6" s="1" t="s">
        <v>7</v>
      </c>
      <c r="C6" t="s">
        <v>7</v>
      </c>
      <c r="D6">
        <v>-4.2892419247432496</v>
      </c>
      <c r="E6">
        <v>-1.25947165581395</v>
      </c>
      <c r="F6">
        <f t="shared" si="0"/>
        <v>0.97153717951791074</v>
      </c>
      <c r="G6">
        <f t="shared" si="1"/>
        <v>2.1189850602523768</v>
      </c>
      <c r="H6" t="s">
        <v>111</v>
      </c>
      <c r="I6">
        <v>1.2696523891229069E-2</v>
      </c>
      <c r="J6">
        <v>1.2697206191048277E-2</v>
      </c>
    </row>
    <row r="7" spans="1:10" x14ac:dyDescent="0.25">
      <c r="A7">
        <v>-0.93627318170070384</v>
      </c>
      <c r="B7" s="1" t="s">
        <v>8</v>
      </c>
      <c r="C7" t="s">
        <v>8</v>
      </c>
      <c r="D7">
        <v>-3.5101844680771501</v>
      </c>
      <c r="E7">
        <v>-1.08106544079327</v>
      </c>
      <c r="F7">
        <f t="shared" si="0"/>
        <v>0.93627318170070384</v>
      </c>
      <c r="G7">
        <f t="shared" si="1"/>
        <v>1.7069574403728545</v>
      </c>
      <c r="H7" t="s">
        <v>111</v>
      </c>
      <c r="I7">
        <v>2.8848672814206743E-3</v>
      </c>
      <c r="J7">
        <v>2.8848752845240123E-3</v>
      </c>
    </row>
    <row r="8" spans="1:10" x14ac:dyDescent="0.25">
      <c r="A8">
        <v>-0.93979668628241375</v>
      </c>
      <c r="B8" s="1" t="s">
        <v>9</v>
      </c>
      <c r="C8" t="s">
        <v>9</v>
      </c>
      <c r="D8">
        <v>-4.0343011430546998</v>
      </c>
      <c r="E8">
        <v>-1.20155302658511</v>
      </c>
      <c r="F8">
        <f t="shared" si="0"/>
        <v>0.93979668628241375</v>
      </c>
      <c r="G8">
        <f t="shared" si="1"/>
        <v>1.736305524868774</v>
      </c>
      <c r="H8" t="s">
        <v>111</v>
      </c>
      <c r="I8">
        <v>0.21106388042915422</v>
      </c>
      <c r="J8">
        <v>0.21428456926509831</v>
      </c>
    </row>
    <row r="9" spans="1:10" x14ac:dyDescent="0.25">
      <c r="A9">
        <v>-0.97617348669919446</v>
      </c>
      <c r="B9" s="1" t="s">
        <v>10</v>
      </c>
      <c r="C9" t="s">
        <v>10</v>
      </c>
      <c r="D9">
        <v>7.2934815366655803</v>
      </c>
      <c r="E9">
        <v>3.0721740847187999</v>
      </c>
      <c r="F9">
        <f t="shared" si="0"/>
        <v>0.97617348669919446</v>
      </c>
      <c r="G9">
        <f t="shared" si="1"/>
        <v>2.2090593532478779</v>
      </c>
      <c r="H9" t="s">
        <v>111</v>
      </c>
      <c r="I9">
        <v>7.3277942532569876E-2</v>
      </c>
      <c r="J9">
        <v>7.340952586349217E-2</v>
      </c>
    </row>
    <row r="10" spans="1:10" x14ac:dyDescent="0.25">
      <c r="A10">
        <v>-0.92301835985410741</v>
      </c>
      <c r="B10" s="1" t="s">
        <v>11</v>
      </c>
      <c r="C10" t="s">
        <v>11</v>
      </c>
      <c r="D10">
        <v>-3.4621929109633198</v>
      </c>
      <c r="E10">
        <v>1.6981500867539401</v>
      </c>
      <c r="F10">
        <f t="shared" si="0"/>
        <v>0.92301835985410741</v>
      </c>
      <c r="G10">
        <f t="shared" si="1"/>
        <v>1.6090421696452717</v>
      </c>
      <c r="H10" t="s">
        <v>111</v>
      </c>
      <c r="I10">
        <v>0.24416421948079806</v>
      </c>
      <c r="J10">
        <v>0.24919757138376977</v>
      </c>
    </row>
    <row r="11" spans="1:10" x14ac:dyDescent="0.25">
      <c r="A11">
        <v>-0.95719830192874167</v>
      </c>
      <c r="B11" s="1" t="s">
        <v>12</v>
      </c>
      <c r="C11" t="s">
        <v>12</v>
      </c>
      <c r="D11">
        <v>5.7527723789329001E-2</v>
      </c>
      <c r="E11">
        <v>-1.61511378010218</v>
      </c>
      <c r="F11">
        <f t="shared" si="0"/>
        <v>0.95719830192874167</v>
      </c>
      <c r="G11">
        <f t="shared" si="1"/>
        <v>1.911345757724713</v>
      </c>
      <c r="H11" t="s">
        <v>111</v>
      </c>
      <c r="I11">
        <v>4.5151223289190023E-2</v>
      </c>
      <c r="J11">
        <v>4.5181943131238439E-2</v>
      </c>
    </row>
    <row r="12" spans="1:10" x14ac:dyDescent="0.25">
      <c r="A12">
        <v>-0.81938210234393816</v>
      </c>
      <c r="B12" s="1" t="s">
        <v>13</v>
      </c>
      <c r="C12" t="s">
        <v>13</v>
      </c>
      <c r="D12">
        <v>-2.7600477563194299</v>
      </c>
      <c r="E12">
        <v>-1.4498800982556099</v>
      </c>
      <c r="F12">
        <f t="shared" si="0"/>
        <v>0.81938210234393816</v>
      </c>
      <c r="G12">
        <f t="shared" si="1"/>
        <v>1.1549342405306513</v>
      </c>
      <c r="H12" t="s">
        <v>111</v>
      </c>
      <c r="I12">
        <v>0.41388904238241564</v>
      </c>
      <c r="J12">
        <v>0.44029512676020588</v>
      </c>
    </row>
    <row r="13" spans="1:10" x14ac:dyDescent="0.25">
      <c r="A13">
        <v>-0.95526679407158688</v>
      </c>
      <c r="B13" s="1" t="s">
        <v>14</v>
      </c>
      <c r="C13" t="s">
        <v>14</v>
      </c>
      <c r="D13">
        <v>-2.7655810224735702</v>
      </c>
      <c r="E13">
        <v>-1.4516877060612901</v>
      </c>
      <c r="F13">
        <f t="shared" si="0"/>
        <v>0.95526679407158688</v>
      </c>
      <c r="G13">
        <f t="shared" si="1"/>
        <v>1.8887829214485334</v>
      </c>
      <c r="H13" t="s">
        <v>111</v>
      </c>
      <c r="I13">
        <v>3.1145951351637946E-2</v>
      </c>
      <c r="J13">
        <v>3.1156028471571524E-2</v>
      </c>
    </row>
    <row r="14" spans="1:10" x14ac:dyDescent="0.25">
      <c r="A14">
        <v>-0.98435808555471993</v>
      </c>
      <c r="B14" s="1" t="s">
        <v>15</v>
      </c>
      <c r="C14" t="s">
        <v>15</v>
      </c>
      <c r="D14">
        <v>-1.73210942738467</v>
      </c>
      <c r="E14">
        <v>-1.21553490567364</v>
      </c>
      <c r="F14">
        <f t="shared" si="0"/>
        <v>0.98435808555471993</v>
      </c>
      <c r="G14">
        <f t="shared" si="1"/>
        <v>2.4215483118082632</v>
      </c>
      <c r="H14" t="s">
        <v>111</v>
      </c>
      <c r="I14">
        <v>3.6155739852155658E-2</v>
      </c>
      <c r="J14">
        <v>3.6171506934081152E-2</v>
      </c>
    </row>
    <row r="15" spans="1:10" x14ac:dyDescent="0.25">
      <c r="A15">
        <v>-0.92612626895601224</v>
      </c>
      <c r="B15" s="1" t="s">
        <v>16</v>
      </c>
      <c r="C15" t="s">
        <v>16</v>
      </c>
      <c r="D15">
        <v>-2.2415345263892301</v>
      </c>
      <c r="E15">
        <v>-1.3312230463155901</v>
      </c>
      <c r="F15">
        <f t="shared" si="0"/>
        <v>0.92612626895601224</v>
      </c>
      <c r="G15">
        <f t="shared" si="1"/>
        <v>1.6304544259527567</v>
      </c>
      <c r="H15" t="s">
        <v>111</v>
      </c>
      <c r="I15">
        <v>0.17054595690223051</v>
      </c>
      <c r="J15">
        <v>0.17222892191317185</v>
      </c>
    </row>
    <row r="16" spans="1:10" x14ac:dyDescent="0.25">
      <c r="A16">
        <v>0.46473152948941943</v>
      </c>
      <c r="B16" s="1" t="s">
        <v>17</v>
      </c>
      <c r="C16" t="s">
        <v>17</v>
      </c>
      <c r="D16">
        <v>7.1030012549935799</v>
      </c>
      <c r="E16">
        <v>-0.180945840263536</v>
      </c>
      <c r="F16">
        <f t="shared" si="0"/>
        <v>0.46473152948941943</v>
      </c>
      <c r="G16">
        <f t="shared" si="1"/>
        <v>0.50332940663427228</v>
      </c>
      <c r="H16" t="s">
        <v>111</v>
      </c>
      <c r="I16">
        <v>0.35839697587822328</v>
      </c>
      <c r="J16">
        <v>0.37504540968429595</v>
      </c>
    </row>
    <row r="17" spans="1:10" x14ac:dyDescent="0.25">
      <c r="A17">
        <v>-0.42636765248648317</v>
      </c>
      <c r="B17" s="1" t="s">
        <v>18</v>
      </c>
      <c r="C17" t="s">
        <v>18</v>
      </c>
      <c r="D17">
        <v>5.0233638527717002</v>
      </c>
      <c r="E17">
        <v>-0.11962534584010701</v>
      </c>
      <c r="F17">
        <f t="shared" si="0"/>
        <v>0.42636765248648317</v>
      </c>
      <c r="G17">
        <f t="shared" si="1"/>
        <v>0.45544885350741127</v>
      </c>
      <c r="H17" t="s">
        <v>111</v>
      </c>
      <c r="I17">
        <v>0.56393835993142016</v>
      </c>
      <c r="J17">
        <v>0.63858944942980356</v>
      </c>
    </row>
    <row r="18" spans="1:10" x14ac:dyDescent="0.25">
      <c r="A18">
        <v>-0.40870191661607053</v>
      </c>
      <c r="B18" s="1" t="s">
        <v>19</v>
      </c>
      <c r="C18" t="s">
        <v>19</v>
      </c>
      <c r="D18">
        <v>8.22223143447283</v>
      </c>
      <c r="E18">
        <v>1.6482393401058999</v>
      </c>
      <c r="F18">
        <f t="shared" si="0"/>
        <v>0.40870191661607053</v>
      </c>
      <c r="G18">
        <f t="shared" si="1"/>
        <v>0.43405183568011574</v>
      </c>
      <c r="H18" t="s">
        <v>111</v>
      </c>
      <c r="I18">
        <v>2.2103013965742668E-2</v>
      </c>
      <c r="J18">
        <v>2.2106614447114568E-2</v>
      </c>
    </row>
    <row r="19" spans="1:10" x14ac:dyDescent="0.25">
      <c r="A19">
        <v>-0.94484696608550922</v>
      </c>
      <c r="B19" s="1" t="s">
        <v>20</v>
      </c>
      <c r="C19" t="s">
        <v>20</v>
      </c>
      <c r="D19">
        <v>1.18633768897324</v>
      </c>
      <c r="E19">
        <v>-2.0694239691703502</v>
      </c>
      <c r="F19">
        <f t="shared" si="0"/>
        <v>0.94484696608550922</v>
      </c>
      <c r="G19">
        <f t="shared" si="1"/>
        <v>1.7814134080230173</v>
      </c>
      <c r="H19" t="s">
        <v>111</v>
      </c>
      <c r="I19">
        <v>0.13337992511454563</v>
      </c>
      <c r="J19">
        <v>0.13417942866875854</v>
      </c>
    </row>
    <row r="20" spans="1:10" x14ac:dyDescent="0.25">
      <c r="A20">
        <v>-0.94399603903059137</v>
      </c>
      <c r="B20" s="1" t="s">
        <v>21</v>
      </c>
      <c r="C20" t="s">
        <v>21</v>
      </c>
      <c r="D20">
        <v>-1.54896742914276</v>
      </c>
      <c r="E20">
        <v>3.4417348580242599</v>
      </c>
      <c r="F20">
        <f t="shared" si="0"/>
        <v>0.94399603903059137</v>
      </c>
      <c r="G20">
        <f t="shared" si="1"/>
        <v>1.7735392638261172</v>
      </c>
      <c r="H20" t="s">
        <v>111</v>
      </c>
      <c r="I20">
        <v>7.9692290715623545E-2</v>
      </c>
      <c r="J20">
        <v>7.9861641391443625E-2</v>
      </c>
    </row>
    <row r="21" spans="1:10" x14ac:dyDescent="0.25">
      <c r="A21">
        <v>-0.97087684001435948</v>
      </c>
      <c r="B21" s="1" t="s">
        <v>22</v>
      </c>
      <c r="C21" t="s">
        <v>22</v>
      </c>
      <c r="D21">
        <v>-2.2223967422114699</v>
      </c>
      <c r="E21">
        <v>-1.3249711135331399</v>
      </c>
      <c r="F21">
        <f t="shared" si="0"/>
        <v>0.97087684001435948</v>
      </c>
      <c r="G21">
        <f t="shared" si="1"/>
        <v>2.1073500428642631</v>
      </c>
      <c r="H21" t="s">
        <v>111</v>
      </c>
      <c r="I21">
        <v>0.14107545170307215</v>
      </c>
      <c r="J21">
        <v>0.14202269696058376</v>
      </c>
    </row>
    <row r="22" spans="1:10" x14ac:dyDescent="0.25">
      <c r="A22">
        <v>0.86969470951391581</v>
      </c>
      <c r="B22" s="1" t="s">
        <v>23</v>
      </c>
      <c r="C22" t="s">
        <v>23</v>
      </c>
      <c r="D22">
        <v>1.1619390331550401</v>
      </c>
      <c r="E22">
        <v>-2.0773945238981502</v>
      </c>
      <c r="F22">
        <f t="shared" si="0"/>
        <v>0.86969470951391581</v>
      </c>
      <c r="G22">
        <f t="shared" si="1"/>
        <v>1.3318251769603588</v>
      </c>
      <c r="H22" t="s">
        <v>111</v>
      </c>
      <c r="I22">
        <v>0.27633097016789104</v>
      </c>
      <c r="J22">
        <v>0.28370533226581318</v>
      </c>
    </row>
    <row r="23" spans="1:10" x14ac:dyDescent="0.25">
      <c r="A23">
        <v>-0.96758328905497515</v>
      </c>
      <c r="B23" s="1" t="s">
        <v>24</v>
      </c>
      <c r="C23" t="s">
        <v>24</v>
      </c>
      <c r="D23">
        <v>1.6905896368998601</v>
      </c>
      <c r="E23">
        <v>-1.95542579391375</v>
      </c>
      <c r="F23">
        <f t="shared" si="0"/>
        <v>0.96758328905497515</v>
      </c>
      <c r="G23">
        <f t="shared" si="1"/>
        <v>2.0529436260410781</v>
      </c>
      <c r="H23" t="s">
        <v>111</v>
      </c>
      <c r="I23">
        <v>9.8688075051438243E-2</v>
      </c>
      <c r="J23">
        <v>9.9010345826017351E-2</v>
      </c>
    </row>
    <row r="24" spans="1:10" x14ac:dyDescent="0.25">
      <c r="A24">
        <v>-0.9656606404091308</v>
      </c>
      <c r="B24" s="1" t="s">
        <v>25</v>
      </c>
      <c r="C24" t="s">
        <v>25</v>
      </c>
      <c r="D24">
        <v>1.4918287953217699</v>
      </c>
      <c r="E24">
        <v>0.76854608598118701</v>
      </c>
      <c r="F24">
        <f t="shared" si="0"/>
        <v>0.9656606404091308</v>
      </c>
      <c r="G24">
        <f t="shared" si="1"/>
        <v>2.0236457326733031</v>
      </c>
      <c r="H24" t="s">
        <v>111</v>
      </c>
      <c r="I24">
        <v>8.616840919814947E-2</v>
      </c>
      <c r="J24">
        <v>8.6382631030455584E-2</v>
      </c>
    </row>
    <row r="25" spans="1:10" x14ac:dyDescent="0.25">
      <c r="A25">
        <v>-0.96906856455525059</v>
      </c>
      <c r="B25" s="1" t="s">
        <v>26</v>
      </c>
      <c r="C25" t="s">
        <v>26</v>
      </c>
      <c r="D25">
        <v>1.15606176214284</v>
      </c>
      <c r="E25">
        <v>-2.07931451123688</v>
      </c>
      <c r="F25">
        <f t="shared" si="0"/>
        <v>0.96906856455525059</v>
      </c>
      <c r="G25">
        <f t="shared" si="1"/>
        <v>2.0767714524833889</v>
      </c>
      <c r="H25" t="s">
        <v>111</v>
      </c>
      <c r="I25">
        <v>0.13792615593134575</v>
      </c>
      <c r="J25">
        <v>0.1388108951368078</v>
      </c>
    </row>
    <row r="26" spans="1:10" x14ac:dyDescent="0.25">
      <c r="A26">
        <v>-0.94576989310586446</v>
      </c>
      <c r="B26" s="1" t="s">
        <v>27</v>
      </c>
      <c r="C26" t="s">
        <v>27</v>
      </c>
      <c r="D26">
        <v>1.6018564509171</v>
      </c>
      <c r="E26">
        <v>2.6383932086541702</v>
      </c>
      <c r="F26">
        <f t="shared" si="0"/>
        <v>0.94576989310586446</v>
      </c>
      <c r="G26">
        <f t="shared" si="1"/>
        <v>1.7900883888431351</v>
      </c>
      <c r="H26" t="s">
        <v>111</v>
      </c>
      <c r="I26">
        <v>9.4947529223427016E-2</v>
      </c>
      <c r="J26">
        <v>9.523440090359353E-2</v>
      </c>
    </row>
    <row r="27" spans="1:10" x14ac:dyDescent="0.25">
      <c r="A27">
        <v>-0.97942907086391851</v>
      </c>
      <c r="B27" s="1" t="s">
        <v>28</v>
      </c>
      <c r="C27" t="s">
        <v>28</v>
      </c>
      <c r="D27">
        <v>-1.4161362428557001</v>
      </c>
      <c r="E27">
        <v>1.62585943557057</v>
      </c>
      <c r="F27">
        <f t="shared" si="0"/>
        <v>0.97942907086391851</v>
      </c>
      <c r="G27">
        <f t="shared" si="1"/>
        <v>2.2833424309704715</v>
      </c>
      <c r="H27" t="s">
        <v>111</v>
      </c>
      <c r="I27">
        <v>2.7056348922219975E-2</v>
      </c>
      <c r="J27">
        <v>2.7062953987744311E-2</v>
      </c>
    </row>
    <row r="28" spans="1:10" x14ac:dyDescent="0.25">
      <c r="A28">
        <v>-0.94455885402426298</v>
      </c>
      <c r="B28" s="1" t="s">
        <v>29</v>
      </c>
      <c r="C28" t="s">
        <v>29</v>
      </c>
      <c r="D28">
        <v>-1.5204002497521101</v>
      </c>
      <c r="E28">
        <v>3.4510671863479501</v>
      </c>
      <c r="F28">
        <f t="shared" si="0"/>
        <v>0.94455885402426298</v>
      </c>
      <c r="G28">
        <f t="shared" si="1"/>
        <v>1.778734197415432</v>
      </c>
      <c r="H28" t="s">
        <v>111</v>
      </c>
      <c r="I28">
        <v>0.24001509494052919</v>
      </c>
      <c r="J28">
        <v>0.24479013027242472</v>
      </c>
    </row>
    <row r="29" spans="1:10" x14ac:dyDescent="0.25">
      <c r="A29">
        <v>-0.97440434011061283</v>
      </c>
      <c r="B29" s="1" t="s">
        <v>30</v>
      </c>
      <c r="C29" t="s">
        <v>30</v>
      </c>
      <c r="D29">
        <v>-4.0325405583692904</v>
      </c>
      <c r="E29">
        <v>-1.2009778786469401</v>
      </c>
      <c r="F29">
        <f t="shared" si="0"/>
        <v>0.97440434011061283</v>
      </c>
      <c r="G29">
        <f t="shared" si="1"/>
        <v>2.1727996151794478</v>
      </c>
      <c r="H29" t="s">
        <v>111</v>
      </c>
      <c r="I29">
        <v>0.11591131886562223</v>
      </c>
      <c r="J29">
        <v>0.11643465038518724</v>
      </c>
    </row>
    <row r="30" spans="1:10" x14ac:dyDescent="0.25">
      <c r="A30">
        <v>0.15960157775180897</v>
      </c>
      <c r="B30" s="1" t="s">
        <v>31</v>
      </c>
      <c r="C30" t="s">
        <v>31</v>
      </c>
      <c r="D30">
        <v>0.91011465433705896</v>
      </c>
      <c r="E30">
        <v>-2.1342950864015702</v>
      </c>
      <c r="F30">
        <f t="shared" si="0"/>
        <v>0.15960157775180897</v>
      </c>
      <c r="G30">
        <f t="shared" si="1"/>
        <v>0.1609778330297528</v>
      </c>
      <c r="H30" t="s">
        <v>111</v>
      </c>
      <c r="I30">
        <v>0.69317355976582318</v>
      </c>
      <c r="J30">
        <v>0.85403882325946623</v>
      </c>
    </row>
    <row r="31" spans="1:10" x14ac:dyDescent="0.25">
      <c r="A31">
        <v>-0.91888412775648043</v>
      </c>
      <c r="B31" s="1" t="s">
        <v>32</v>
      </c>
      <c r="C31" t="s">
        <v>32</v>
      </c>
      <c r="D31">
        <v>0.83488504782964601</v>
      </c>
      <c r="E31">
        <v>-1.2292367377269799</v>
      </c>
      <c r="F31">
        <f t="shared" si="0"/>
        <v>0.91888412775648043</v>
      </c>
      <c r="G31">
        <f t="shared" si="1"/>
        <v>1.5818102293164384</v>
      </c>
      <c r="H31" t="s">
        <v>111</v>
      </c>
      <c r="I31">
        <v>0.23404484720955004</v>
      </c>
      <c r="J31">
        <v>0.23846446300337995</v>
      </c>
    </row>
    <row r="32" spans="1:10" x14ac:dyDescent="0.25">
      <c r="A32">
        <v>-0.9648674418105404</v>
      </c>
      <c r="B32" s="1" t="s">
        <v>33</v>
      </c>
      <c r="C32" t="s">
        <v>33</v>
      </c>
      <c r="D32">
        <v>-2.1333712688444901</v>
      </c>
      <c r="E32">
        <v>1.73653589755342</v>
      </c>
      <c r="F32">
        <f t="shared" si="0"/>
        <v>0.9648674418105404</v>
      </c>
      <c r="G32">
        <f t="shared" si="1"/>
        <v>2.0120258890561504</v>
      </c>
      <c r="H32" t="s">
        <v>111</v>
      </c>
      <c r="I32">
        <v>1.719524875862629E-2</v>
      </c>
      <c r="J32">
        <v>1.7196943803461789E-2</v>
      </c>
    </row>
    <row r="33" spans="1:10" x14ac:dyDescent="0.25">
      <c r="A33">
        <v>-0.97933012583113321</v>
      </c>
      <c r="B33" s="1" t="s">
        <v>34</v>
      </c>
      <c r="C33" t="s">
        <v>34</v>
      </c>
      <c r="D33">
        <v>-3.72296883389249</v>
      </c>
      <c r="E33">
        <v>-1.12521240889664</v>
      </c>
      <c r="F33">
        <f t="shared" si="0"/>
        <v>0.97933012583113321</v>
      </c>
      <c r="G33">
        <f t="shared" si="1"/>
        <v>2.2809182300521265</v>
      </c>
      <c r="H33" t="s">
        <v>111</v>
      </c>
      <c r="I33">
        <v>5.0807733165451105E-2</v>
      </c>
      <c r="J33">
        <v>5.085151980154292E-2</v>
      </c>
    </row>
    <row r="34" spans="1:10" x14ac:dyDescent="0.25">
      <c r="A34">
        <v>-0.28357545261206507</v>
      </c>
      <c r="B34" s="1" t="s">
        <v>35</v>
      </c>
      <c r="C34" t="s">
        <v>35</v>
      </c>
      <c r="D34">
        <v>-3.4627141366925498</v>
      </c>
      <c r="E34">
        <v>1.6979798126932999</v>
      </c>
      <c r="F34">
        <f t="shared" si="0"/>
        <v>0.28357545261206507</v>
      </c>
      <c r="G34">
        <f t="shared" si="1"/>
        <v>0.29156592533669834</v>
      </c>
      <c r="H34" t="s">
        <v>111</v>
      </c>
      <c r="I34">
        <v>1.8347896479433745E-2</v>
      </c>
      <c r="J34">
        <v>1.8349955806477466E-2</v>
      </c>
    </row>
    <row r="35" spans="1:10" x14ac:dyDescent="0.25">
      <c r="A35">
        <v>-0.2299807278989808</v>
      </c>
      <c r="B35" s="1" t="s">
        <v>36</v>
      </c>
      <c r="C35" t="s">
        <v>36</v>
      </c>
      <c r="D35">
        <v>-3.4421457675312799</v>
      </c>
      <c r="E35">
        <v>1.70469908908636</v>
      </c>
      <c r="F35">
        <f t="shared" si="0"/>
        <v>0.2299807278989808</v>
      </c>
      <c r="G35">
        <f t="shared" si="1"/>
        <v>0.23416911831588072</v>
      </c>
      <c r="H35" t="s">
        <v>111</v>
      </c>
      <c r="I35">
        <v>0.41033040057993259</v>
      </c>
      <c r="J35">
        <v>0.43600845175836611</v>
      </c>
    </row>
    <row r="36" spans="1:10" x14ac:dyDescent="0.25">
      <c r="A36">
        <v>-0.82258799645944336</v>
      </c>
      <c r="B36" s="1" t="s">
        <v>37</v>
      </c>
      <c r="C36" t="s">
        <v>37</v>
      </c>
      <c r="D36">
        <v>-1.39842683219658</v>
      </c>
      <c r="E36">
        <v>1.6316447471839399</v>
      </c>
      <c r="F36">
        <f t="shared" si="0"/>
        <v>0.82258799645944336</v>
      </c>
      <c r="G36">
        <f t="shared" si="1"/>
        <v>1.1647690074047428</v>
      </c>
      <c r="H36" t="s">
        <v>111</v>
      </c>
      <c r="I36">
        <v>0.31961153982002055</v>
      </c>
      <c r="J36">
        <v>0.33121439211153586</v>
      </c>
    </row>
    <row r="37" spans="1:10" x14ac:dyDescent="0.25">
      <c r="A37">
        <v>-0.92123309048618551</v>
      </c>
      <c r="B37" s="1" t="s">
        <v>38</v>
      </c>
      <c r="C37" t="s">
        <v>38</v>
      </c>
      <c r="D37">
        <v>-1.04116594580974</v>
      </c>
      <c r="E37">
        <v>-0.405165929156309</v>
      </c>
      <c r="F37">
        <f t="shared" si="0"/>
        <v>0.92123309048618551</v>
      </c>
      <c r="G37">
        <f t="shared" si="1"/>
        <v>1.5971147574324271</v>
      </c>
      <c r="H37" t="s">
        <v>111</v>
      </c>
      <c r="I37">
        <v>9.2486991243777586E-2</v>
      </c>
      <c r="J37">
        <v>9.2752059408318557E-2</v>
      </c>
    </row>
    <row r="38" spans="1:10" x14ac:dyDescent="0.25">
      <c r="A38">
        <v>-0.82009468022237986</v>
      </c>
      <c r="B38" s="1" t="s">
        <v>39</v>
      </c>
      <c r="C38" t="s">
        <v>39</v>
      </c>
      <c r="D38">
        <v>-2.92113324605466</v>
      </c>
      <c r="E38">
        <v>1.82417260977776</v>
      </c>
      <c r="F38">
        <f t="shared" si="0"/>
        <v>0.82009468022237986</v>
      </c>
      <c r="G38">
        <f t="shared" si="1"/>
        <v>1.1571065447751803</v>
      </c>
      <c r="H38" t="s">
        <v>111</v>
      </c>
      <c r="I38">
        <v>0.26281853615321532</v>
      </c>
      <c r="J38">
        <v>0.26913367685263051</v>
      </c>
    </row>
    <row r="39" spans="1:10" x14ac:dyDescent="0.25">
      <c r="A39">
        <v>-0.80317397608124674</v>
      </c>
      <c r="B39" s="1" t="s">
        <v>40</v>
      </c>
      <c r="C39" t="s">
        <v>40</v>
      </c>
      <c r="D39">
        <v>-1.41879931212775</v>
      </c>
      <c r="E39">
        <v>1.62498946389939</v>
      </c>
      <c r="F39">
        <f t="shared" si="0"/>
        <v>0.80317397608124674</v>
      </c>
      <c r="G39">
        <f t="shared" si="1"/>
        <v>1.1074917499352019</v>
      </c>
      <c r="H39" t="s">
        <v>111</v>
      </c>
      <c r="I39">
        <v>0.30616152287206055</v>
      </c>
      <c r="J39">
        <v>0.31630439410250016</v>
      </c>
    </row>
    <row r="40" spans="1:10" x14ac:dyDescent="0.25">
      <c r="A40">
        <v>0.75743246951494114</v>
      </c>
      <c r="B40" s="1" t="s">
        <v>41</v>
      </c>
      <c r="C40" t="s">
        <v>41</v>
      </c>
      <c r="D40">
        <v>-1.41955384842149</v>
      </c>
      <c r="E40">
        <v>1.6247429719258899</v>
      </c>
      <c r="F40">
        <f t="shared" si="0"/>
        <v>0.75743246951494114</v>
      </c>
      <c r="G40">
        <f t="shared" si="1"/>
        <v>0.99016452546786993</v>
      </c>
      <c r="H40" t="s">
        <v>111</v>
      </c>
      <c r="I40">
        <v>0.31138971633031098</v>
      </c>
      <c r="J40">
        <v>0.32208361054324719</v>
      </c>
    </row>
    <row r="41" spans="1:10" x14ac:dyDescent="0.25">
      <c r="A41">
        <v>-0.96405464255962814</v>
      </c>
      <c r="B41" s="1" t="s">
        <v>42</v>
      </c>
      <c r="C41" t="s">
        <v>42</v>
      </c>
      <c r="D41">
        <v>-1.54845956817581</v>
      </c>
      <c r="E41">
        <v>3.44190076608335</v>
      </c>
      <c r="F41">
        <f t="shared" si="0"/>
        <v>0.96405464255962814</v>
      </c>
      <c r="G41">
        <f t="shared" si="1"/>
        <v>2.0003831870633073</v>
      </c>
      <c r="H41" t="s">
        <v>110</v>
      </c>
      <c r="I41">
        <v>0.12694712588830834</v>
      </c>
      <c r="J41">
        <v>0.12763573856817356</v>
      </c>
    </row>
    <row r="42" spans="1:10" x14ac:dyDescent="0.25">
      <c r="A42">
        <v>-0.99517675866626076</v>
      </c>
      <c r="B42" s="1" t="s">
        <v>43</v>
      </c>
      <c r="C42" t="s">
        <v>43</v>
      </c>
      <c r="D42">
        <v>-0.26749417703056699</v>
      </c>
      <c r="E42">
        <v>1.17802799863965</v>
      </c>
      <c r="F42">
        <f t="shared" si="0"/>
        <v>0.99517675866626076</v>
      </c>
      <c r="G42">
        <f t="shared" si="1"/>
        <v>3.0125208741514635</v>
      </c>
      <c r="H42" t="s">
        <v>110</v>
      </c>
      <c r="I42">
        <v>7.2092292789223827E-3</v>
      </c>
      <c r="J42">
        <v>7.2093541778765757E-3</v>
      </c>
    </row>
    <row r="43" spans="1:10" x14ac:dyDescent="0.25">
      <c r="A43">
        <v>-0.9889719622874692</v>
      </c>
      <c r="B43" s="1" t="s">
        <v>44</v>
      </c>
      <c r="C43" t="s">
        <v>44</v>
      </c>
      <c r="D43">
        <v>-0.71660229123277497</v>
      </c>
      <c r="E43">
        <v>3.2767515626808699</v>
      </c>
      <c r="F43">
        <f t="shared" si="0"/>
        <v>0.9889719622874692</v>
      </c>
      <c r="G43">
        <f t="shared" si="1"/>
        <v>2.5974661347526706</v>
      </c>
      <c r="H43" t="s">
        <v>110</v>
      </c>
      <c r="I43">
        <v>2.0357275784915734E-3</v>
      </c>
      <c r="J43">
        <v>2.035730390643635E-3</v>
      </c>
    </row>
    <row r="44" spans="1:10" x14ac:dyDescent="0.25">
      <c r="A44">
        <v>-0.96849411892576243</v>
      </c>
      <c r="B44" s="1" t="s">
        <v>45</v>
      </c>
      <c r="C44" t="s">
        <v>45</v>
      </c>
      <c r="D44">
        <v>-1.39163149746466</v>
      </c>
      <c r="E44">
        <v>-1.4904770620960599</v>
      </c>
      <c r="F44">
        <f t="shared" si="0"/>
        <v>0.96849411892576243</v>
      </c>
      <c r="G44">
        <f t="shared" si="1"/>
        <v>2.0674249468065136</v>
      </c>
      <c r="H44" t="s">
        <v>110</v>
      </c>
      <c r="I44">
        <v>8.8532620532919742E-2</v>
      </c>
      <c r="J44">
        <v>8.876502141558372E-2</v>
      </c>
    </row>
    <row r="45" spans="1:10" x14ac:dyDescent="0.25">
      <c r="A45">
        <v>-0.8097033748464384</v>
      </c>
      <c r="B45" s="1" t="s">
        <v>46</v>
      </c>
      <c r="C45" t="s">
        <v>46</v>
      </c>
      <c r="D45">
        <v>1.10110611083913</v>
      </c>
      <c r="E45">
        <v>-1.1676330653431599</v>
      </c>
      <c r="F45">
        <f t="shared" si="0"/>
        <v>0.8097033748464384</v>
      </c>
      <c r="G45">
        <f t="shared" si="1"/>
        <v>1.1261670948663893</v>
      </c>
      <c r="H45" t="s">
        <v>110</v>
      </c>
      <c r="I45">
        <v>0.14922029534449499</v>
      </c>
      <c r="J45">
        <v>0.15034287937171745</v>
      </c>
    </row>
    <row r="46" spans="1:10" x14ac:dyDescent="0.25">
      <c r="A46">
        <v>8.8267095236055915E-2</v>
      </c>
      <c r="B46" s="1" t="s">
        <v>47</v>
      </c>
      <c r="C46" t="s">
        <v>47</v>
      </c>
      <c r="D46">
        <v>0.14393241512804</v>
      </c>
      <c r="E46">
        <v>-2.0396087037350701</v>
      </c>
      <c r="F46">
        <f t="shared" si="0"/>
        <v>8.8267095236055915E-2</v>
      </c>
      <c r="G46">
        <f t="shared" si="1"/>
        <v>8.8497404817862335E-2</v>
      </c>
      <c r="H46" t="s">
        <v>110</v>
      </c>
      <c r="I46">
        <v>0.53311102697663304</v>
      </c>
      <c r="J46">
        <v>0.59448140831025065</v>
      </c>
    </row>
    <row r="47" spans="1:10" x14ac:dyDescent="0.25">
      <c r="A47">
        <v>-0.533572595686722</v>
      </c>
      <c r="B47" s="1" t="s">
        <v>48</v>
      </c>
      <c r="C47" t="s">
        <v>48</v>
      </c>
      <c r="D47">
        <v>0.85560485399685204</v>
      </c>
      <c r="E47">
        <v>-0.95358146920674103</v>
      </c>
      <c r="F47">
        <f t="shared" si="0"/>
        <v>0.533572595686722</v>
      </c>
      <c r="G47">
        <f t="shared" si="1"/>
        <v>0.59512646594357976</v>
      </c>
      <c r="H47" t="s">
        <v>110</v>
      </c>
      <c r="I47">
        <v>0.39636444529334036</v>
      </c>
      <c r="J47">
        <v>0.41932834181896994</v>
      </c>
    </row>
    <row r="48" spans="1:10" x14ac:dyDescent="0.25">
      <c r="A48">
        <v>-0.56902979666933284</v>
      </c>
      <c r="B48" s="1" t="s">
        <v>49</v>
      </c>
      <c r="C48" t="s">
        <v>49</v>
      </c>
      <c r="D48">
        <v>8.4123936481174209</v>
      </c>
      <c r="E48">
        <v>2.6146304640449198</v>
      </c>
      <c r="F48">
        <f t="shared" si="0"/>
        <v>0.56902979666933284</v>
      </c>
      <c r="G48">
        <f t="shared" si="1"/>
        <v>0.64608689475436876</v>
      </c>
      <c r="H48" t="s">
        <v>110</v>
      </c>
      <c r="I48">
        <v>0.55143426380991822</v>
      </c>
      <c r="J48">
        <v>0.62043993690197052</v>
      </c>
    </row>
    <row r="49" spans="1:10" x14ac:dyDescent="0.25">
      <c r="A49">
        <v>0.44091991777986961</v>
      </c>
      <c r="B49" s="1" t="s">
        <v>50</v>
      </c>
      <c r="C49" t="s">
        <v>50</v>
      </c>
      <c r="D49">
        <v>2.6395792839206198</v>
      </c>
      <c r="E49">
        <v>0.32042338853455199</v>
      </c>
      <c r="F49">
        <f t="shared" si="0"/>
        <v>0.44091991777986961</v>
      </c>
      <c r="G49">
        <f t="shared" si="1"/>
        <v>0.47337214885774764</v>
      </c>
      <c r="H49" t="s">
        <v>110</v>
      </c>
      <c r="I49">
        <v>1.2792902969000727E-2</v>
      </c>
      <c r="J49">
        <v>1.2793600926071657E-2</v>
      </c>
    </row>
    <row r="50" spans="1:10" x14ac:dyDescent="0.25">
      <c r="A50">
        <v>0.11127242371798385</v>
      </c>
      <c r="B50" s="1" t="s">
        <v>51</v>
      </c>
      <c r="C50" t="s">
        <v>51</v>
      </c>
      <c r="D50">
        <v>2.79226631345231</v>
      </c>
      <c r="E50">
        <v>-2.6874864084386001</v>
      </c>
      <c r="F50">
        <f t="shared" si="0"/>
        <v>0.11127242371798385</v>
      </c>
      <c r="G50">
        <f t="shared" si="1"/>
        <v>0.11173510763711055</v>
      </c>
      <c r="H50" t="s">
        <v>110</v>
      </c>
      <c r="I50">
        <v>0.4420352447977467</v>
      </c>
      <c r="J50">
        <v>0.47475748074351543</v>
      </c>
    </row>
    <row r="51" spans="1:10" x14ac:dyDescent="0.25">
      <c r="A51">
        <v>-0.11500054486783712</v>
      </c>
      <c r="B51" s="1" t="s">
        <v>52</v>
      </c>
      <c r="C51" t="s">
        <v>52</v>
      </c>
      <c r="D51">
        <v>2.4822837592357998</v>
      </c>
      <c r="E51">
        <v>1.1744813041025799</v>
      </c>
      <c r="F51">
        <f t="shared" si="0"/>
        <v>0.11500054486783712</v>
      </c>
      <c r="G51">
        <f t="shared" si="1"/>
        <v>0.11551157161346896</v>
      </c>
      <c r="H51" t="s">
        <v>110</v>
      </c>
      <c r="I51">
        <v>0.18868452639245348</v>
      </c>
      <c r="J51">
        <v>0.19097278141090077</v>
      </c>
    </row>
    <row r="52" spans="1:10" x14ac:dyDescent="0.25">
      <c r="A52">
        <v>-0.12028663165216083</v>
      </c>
      <c r="B52" s="1" t="s">
        <v>53</v>
      </c>
      <c r="C52" t="s">
        <v>53</v>
      </c>
      <c r="D52">
        <v>6.0198183159169201</v>
      </c>
      <c r="E52">
        <v>-3.1968759883044302</v>
      </c>
      <c r="F52">
        <f t="shared" si="0"/>
        <v>0.12028663165216083</v>
      </c>
      <c r="G52">
        <f t="shared" si="1"/>
        <v>0.12087185801838589</v>
      </c>
      <c r="H52" t="s">
        <v>110</v>
      </c>
      <c r="I52">
        <v>0.12289410956476277</v>
      </c>
      <c r="J52">
        <v>0.12351846554371607</v>
      </c>
    </row>
    <row r="53" spans="1:10" x14ac:dyDescent="0.25">
      <c r="B53" s="1" t="s">
        <v>54</v>
      </c>
      <c r="C53" t="s">
        <v>54</v>
      </c>
    </row>
    <row r="54" spans="1:10" x14ac:dyDescent="0.25">
      <c r="A54">
        <v>-0.95566446902760649</v>
      </c>
      <c r="B54" s="1" t="s">
        <v>55</v>
      </c>
      <c r="C54" t="s">
        <v>55</v>
      </c>
      <c r="D54">
        <v>-1.7977928876413301</v>
      </c>
      <c r="E54">
        <v>3.38581398303758</v>
      </c>
      <c r="F54">
        <f t="shared" si="0"/>
        <v>0.95566446902760649</v>
      </c>
      <c r="G54">
        <f t="shared" si="1"/>
        <v>1.8933494436986724</v>
      </c>
      <c r="H54" t="s">
        <v>110</v>
      </c>
      <c r="I54">
        <v>0.17265812897918439</v>
      </c>
      <c r="J54">
        <v>0.17440517972962261</v>
      </c>
    </row>
    <row r="55" spans="1:10" x14ac:dyDescent="0.25">
      <c r="A55">
        <v>-0.97050184153889296</v>
      </c>
      <c r="B55" s="1" t="s">
        <v>56</v>
      </c>
      <c r="C55" t="s">
        <v>56</v>
      </c>
      <c r="D55">
        <v>-2.92688207720628</v>
      </c>
      <c r="E55">
        <v>-1.3020471285617099</v>
      </c>
      <c r="F55">
        <f t="shared" si="0"/>
        <v>0.97050184153889296</v>
      </c>
      <c r="G55">
        <f t="shared" si="1"/>
        <v>2.1008578474193551</v>
      </c>
      <c r="H55" t="s">
        <v>110</v>
      </c>
      <c r="I55">
        <v>0.16708106067625617</v>
      </c>
      <c r="J55">
        <v>0.1686623824562242</v>
      </c>
    </row>
    <row r="56" spans="1:10" x14ac:dyDescent="0.25">
      <c r="A56">
        <v>-0.97733056944255903</v>
      </c>
      <c r="B56" s="1" t="s">
        <v>57</v>
      </c>
      <c r="C56" t="s">
        <v>57</v>
      </c>
      <c r="D56">
        <v>-2.1907324263552201</v>
      </c>
      <c r="E56">
        <v>-1.6754310801387899</v>
      </c>
      <c r="F56">
        <f t="shared" si="0"/>
        <v>0.97733056944255903</v>
      </c>
      <c r="G56">
        <f t="shared" si="1"/>
        <v>2.2342428356848547</v>
      </c>
      <c r="H56" t="s">
        <v>110</v>
      </c>
      <c r="I56">
        <v>3.055324088644399E-2</v>
      </c>
      <c r="J56">
        <v>3.0562753370464615E-2</v>
      </c>
    </row>
    <row r="57" spans="1:10" x14ac:dyDescent="0.25">
      <c r="A57">
        <v>-0.73539267727949598</v>
      </c>
      <c r="B57" s="1" t="s">
        <v>58</v>
      </c>
      <c r="C57" t="s">
        <v>58</v>
      </c>
      <c r="D57">
        <v>3.9364563295394599</v>
      </c>
      <c r="E57">
        <v>1.1860903513216901</v>
      </c>
      <c r="F57">
        <f t="shared" si="0"/>
        <v>0.73539267727949598</v>
      </c>
      <c r="G57">
        <f t="shared" si="1"/>
        <v>0.94037103387826915</v>
      </c>
      <c r="H57" t="s">
        <v>110</v>
      </c>
      <c r="I57">
        <v>0.16385229039455843</v>
      </c>
      <c r="J57">
        <v>0.165342719172098</v>
      </c>
    </row>
    <row r="58" spans="1:10" x14ac:dyDescent="0.25">
      <c r="A58">
        <v>-0.89915733027684408</v>
      </c>
      <c r="B58" s="1" t="s">
        <v>59</v>
      </c>
      <c r="C58" t="s">
        <v>59</v>
      </c>
      <c r="D58">
        <v>6.5016163528308901</v>
      </c>
      <c r="E58">
        <v>-3.0902130583954799</v>
      </c>
      <c r="F58">
        <f t="shared" si="0"/>
        <v>0.89915733027684408</v>
      </c>
      <c r="G58">
        <f t="shared" si="1"/>
        <v>1.4678019897909798</v>
      </c>
      <c r="H58" t="s">
        <v>110</v>
      </c>
      <c r="I58">
        <v>2.8726771950051574E-2</v>
      </c>
      <c r="J58">
        <v>2.8734677904978308E-2</v>
      </c>
    </row>
    <row r="59" spans="1:10" x14ac:dyDescent="0.25">
      <c r="A59">
        <v>-0.95666332218783101</v>
      </c>
      <c r="B59" s="1" t="s">
        <v>60</v>
      </c>
      <c r="C59" t="s">
        <v>60</v>
      </c>
      <c r="D59">
        <v>1.94062747923256</v>
      </c>
      <c r="E59">
        <v>-2.51030012146443</v>
      </c>
      <c r="F59">
        <f t="shared" si="0"/>
        <v>0.95666332218783101</v>
      </c>
      <c r="G59">
        <f t="shared" si="1"/>
        <v>1.9049982878944198</v>
      </c>
      <c r="H59" t="s">
        <v>110</v>
      </c>
      <c r="I59">
        <v>4.8380236553054901E-2</v>
      </c>
      <c r="J59">
        <v>4.8418036676501623E-2</v>
      </c>
    </row>
    <row r="60" spans="1:10" x14ac:dyDescent="0.25">
      <c r="A60">
        <v>7.0867627978979233E-2</v>
      </c>
      <c r="B60" s="1" t="s">
        <v>61</v>
      </c>
      <c r="C60" t="s">
        <v>61</v>
      </c>
      <c r="D60">
        <v>0.97753530916889397</v>
      </c>
      <c r="E60">
        <v>1.3728756756657401</v>
      </c>
      <c r="F60">
        <f t="shared" si="0"/>
        <v>7.0867627978979233E-2</v>
      </c>
      <c r="G60">
        <f t="shared" si="1"/>
        <v>7.0986624383666555E-2</v>
      </c>
      <c r="H60" t="s">
        <v>110</v>
      </c>
      <c r="I60">
        <v>0.56261835294475604</v>
      </c>
      <c r="J60">
        <v>0.63665598822147629</v>
      </c>
    </row>
    <row r="61" spans="1:10" x14ac:dyDescent="0.25">
      <c r="A61">
        <v>-0.15020703547360112</v>
      </c>
      <c r="B61" s="1" t="s">
        <v>62</v>
      </c>
      <c r="C61" t="s">
        <v>62</v>
      </c>
      <c r="D61">
        <v>-1.29860168053388</v>
      </c>
      <c r="E61">
        <v>1.6642556352782401</v>
      </c>
      <c r="F61">
        <f t="shared" si="0"/>
        <v>0.15020703547360112</v>
      </c>
      <c r="G61">
        <f t="shared" si="1"/>
        <v>0.15135224366480871</v>
      </c>
      <c r="H61" t="s">
        <v>110</v>
      </c>
      <c r="I61">
        <v>0.53599423073836627</v>
      </c>
      <c r="J61">
        <v>0.5985180858841882</v>
      </c>
    </row>
    <row r="62" spans="1:10" x14ac:dyDescent="0.25">
      <c r="A62">
        <v>-0.57285822160111832</v>
      </c>
      <c r="B62" s="1" t="s">
        <v>63</v>
      </c>
      <c r="C62" t="s">
        <v>63</v>
      </c>
      <c r="D62">
        <v>-1.2943008236595299</v>
      </c>
      <c r="E62">
        <v>1.6656606395272</v>
      </c>
      <c r="F62">
        <f t="shared" si="0"/>
        <v>0.57285822160111832</v>
      </c>
      <c r="G62">
        <f t="shared" si="1"/>
        <v>0.65176688733622723</v>
      </c>
      <c r="H62" t="s">
        <v>110</v>
      </c>
      <c r="I62">
        <v>9.5782183340619012E-2</v>
      </c>
      <c r="J62">
        <v>9.6076715464031542E-2</v>
      </c>
    </row>
    <row r="63" spans="1:10" x14ac:dyDescent="0.25">
      <c r="A63">
        <v>0.8544103709255727</v>
      </c>
      <c r="B63" s="1" t="s">
        <v>64</v>
      </c>
      <c r="C63" t="s">
        <v>64</v>
      </c>
      <c r="D63">
        <v>5.0929839734253504</v>
      </c>
      <c r="E63">
        <v>-9.6881839560056804E-2</v>
      </c>
      <c r="F63">
        <f t="shared" si="0"/>
        <v>0.8544103709255727</v>
      </c>
      <c r="G63">
        <f t="shared" si="1"/>
        <v>1.272265080416487</v>
      </c>
      <c r="H63" t="s">
        <v>110</v>
      </c>
      <c r="I63">
        <v>0.17193645813639097</v>
      </c>
      <c r="J63">
        <v>0.17366142961902428</v>
      </c>
    </row>
    <row r="64" spans="1:10" x14ac:dyDescent="0.25">
      <c r="A64">
        <v>-0.87875663217164712</v>
      </c>
      <c r="B64" s="1" t="s">
        <v>65</v>
      </c>
      <c r="C64" t="s">
        <v>65</v>
      </c>
      <c r="D64">
        <v>1.48018973001969</v>
      </c>
      <c r="E64">
        <v>0.76474383524811496</v>
      </c>
      <c r="F64">
        <f t="shared" si="0"/>
        <v>0.87875663217164712</v>
      </c>
      <c r="G64">
        <f t="shared" si="1"/>
        <v>1.3702828205801236</v>
      </c>
      <c r="H64" t="s">
        <v>110</v>
      </c>
      <c r="I64">
        <v>1.9843075428630799E-2</v>
      </c>
      <c r="J64">
        <v>1.984568043214336E-2</v>
      </c>
    </row>
    <row r="65" spans="1:10" x14ac:dyDescent="0.25">
      <c r="A65">
        <v>-0.92743638021697961</v>
      </c>
      <c r="B65" s="1" t="s">
        <v>66</v>
      </c>
      <c r="C65" t="s">
        <v>66</v>
      </c>
      <c r="D65">
        <v>-1.36643390061686</v>
      </c>
      <c r="E65">
        <v>-1.8430495769564299</v>
      </c>
      <c r="F65">
        <f t="shared" si="0"/>
        <v>0.92743638021697961</v>
      </c>
      <c r="G65">
        <f t="shared" si="1"/>
        <v>1.6397412036008003</v>
      </c>
      <c r="H65" t="s">
        <v>110</v>
      </c>
      <c r="I65">
        <v>2.7301311009256483E-2</v>
      </c>
      <c r="J65">
        <v>2.7308097160526009E-2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69"/>
  <sheetViews>
    <sheetView topLeftCell="A24" zoomScale="85" zoomScaleNormal="85" workbookViewId="0">
      <selection activeCell="B41" sqref="B41:AN65"/>
    </sheetView>
  </sheetViews>
  <sheetFormatPr defaultColWidth="11.5546875" defaultRowHeight="13.2" x14ac:dyDescent="0.25"/>
  <cols>
    <col min="1" max="1" width="22.109375" customWidth="1"/>
  </cols>
  <sheetData>
    <row r="1" spans="1:88" x14ac:dyDescent="0.25">
      <c r="A1" s="1" t="s">
        <v>0</v>
      </c>
      <c r="AS1">
        <f>1/SQRT(39)</f>
        <v>0.16012815380508713</v>
      </c>
      <c r="AT1">
        <f t="shared" ref="AT1:CE1" si="0">1/SQRT(39)</f>
        <v>0.16012815380508713</v>
      </c>
      <c r="AU1">
        <f t="shared" si="0"/>
        <v>0.16012815380508713</v>
      </c>
      <c r="AV1">
        <f t="shared" si="0"/>
        <v>0.16012815380508713</v>
      </c>
      <c r="AW1">
        <f t="shared" si="0"/>
        <v>0.16012815380508713</v>
      </c>
      <c r="AX1">
        <f t="shared" si="0"/>
        <v>0.16012815380508713</v>
      </c>
      <c r="AY1">
        <f t="shared" si="0"/>
        <v>0.16012815380508713</v>
      </c>
      <c r="AZ1">
        <f t="shared" si="0"/>
        <v>0.16012815380508713</v>
      </c>
      <c r="BA1">
        <f t="shared" si="0"/>
        <v>0.16012815380508713</v>
      </c>
      <c r="BB1">
        <f t="shared" si="0"/>
        <v>0.16012815380508713</v>
      </c>
      <c r="BC1">
        <f t="shared" si="0"/>
        <v>0.16012815380508713</v>
      </c>
      <c r="BD1">
        <f t="shared" si="0"/>
        <v>0.16012815380508713</v>
      </c>
      <c r="BE1">
        <f t="shared" si="0"/>
        <v>0.16012815380508713</v>
      </c>
      <c r="BF1">
        <f t="shared" si="0"/>
        <v>0.16012815380508713</v>
      </c>
      <c r="BG1">
        <f t="shared" si="0"/>
        <v>0.16012815380508713</v>
      </c>
      <c r="BH1">
        <f t="shared" si="0"/>
        <v>0.16012815380508713</v>
      </c>
      <c r="BI1">
        <f t="shared" si="0"/>
        <v>0.16012815380508713</v>
      </c>
      <c r="BJ1">
        <f t="shared" si="0"/>
        <v>0.16012815380508713</v>
      </c>
      <c r="BK1">
        <f t="shared" si="0"/>
        <v>0.16012815380508713</v>
      </c>
      <c r="BL1">
        <f t="shared" si="0"/>
        <v>0.16012815380508713</v>
      </c>
      <c r="BM1">
        <f t="shared" si="0"/>
        <v>0.16012815380508713</v>
      </c>
      <c r="BN1">
        <f t="shared" si="0"/>
        <v>0.16012815380508713</v>
      </c>
      <c r="BO1">
        <f t="shared" si="0"/>
        <v>0.16012815380508713</v>
      </c>
      <c r="BP1">
        <f t="shared" si="0"/>
        <v>0.16012815380508713</v>
      </c>
      <c r="BQ1">
        <f t="shared" si="0"/>
        <v>0.16012815380508713</v>
      </c>
      <c r="BR1">
        <f t="shared" si="0"/>
        <v>0.16012815380508713</v>
      </c>
      <c r="BS1">
        <f t="shared" si="0"/>
        <v>0.16012815380508713</v>
      </c>
      <c r="BT1">
        <f t="shared" si="0"/>
        <v>0.16012815380508713</v>
      </c>
      <c r="BU1">
        <f t="shared" si="0"/>
        <v>0.16012815380508713</v>
      </c>
      <c r="BV1">
        <f t="shared" si="0"/>
        <v>0.16012815380508713</v>
      </c>
      <c r="BW1">
        <f t="shared" si="0"/>
        <v>0.16012815380508713</v>
      </c>
      <c r="BX1">
        <f t="shared" si="0"/>
        <v>0.16012815380508713</v>
      </c>
      <c r="BY1">
        <f t="shared" si="0"/>
        <v>0.16012815380508713</v>
      </c>
      <c r="BZ1">
        <f t="shared" si="0"/>
        <v>0.16012815380508713</v>
      </c>
      <c r="CA1">
        <f t="shared" si="0"/>
        <v>0.16012815380508713</v>
      </c>
      <c r="CB1">
        <f t="shared" si="0"/>
        <v>0.16012815380508713</v>
      </c>
      <c r="CC1">
        <f t="shared" si="0"/>
        <v>0.16012815380508713</v>
      </c>
      <c r="CD1">
        <f t="shared" si="0"/>
        <v>0.16012815380508713</v>
      </c>
      <c r="CE1">
        <f t="shared" si="0"/>
        <v>0.16012815380508713</v>
      </c>
    </row>
    <row r="2" spans="1:88" ht="14.4" x14ac:dyDescent="0.3">
      <c r="A2" s="5" t="s">
        <v>3</v>
      </c>
      <c r="B2">
        <v>7.0527085113749929E-2</v>
      </c>
      <c r="C2">
        <v>0.20572758059004559</v>
      </c>
      <c r="D2">
        <v>0.36468173585333757</v>
      </c>
      <c r="E2">
        <v>0.32927442872997242</v>
      </c>
      <c r="F2">
        <v>0.25556768971875504</v>
      </c>
      <c r="G2">
        <v>0.1700817684272542</v>
      </c>
      <c r="H2">
        <v>0.20310501631306049</v>
      </c>
      <c r="I2">
        <v>0.17862243683761164</v>
      </c>
      <c r="J2">
        <v>0.19223047687923145</v>
      </c>
      <c r="K2">
        <v>0.16245416040709895</v>
      </c>
      <c r="L2">
        <v>8.911414763949059E-2</v>
      </c>
      <c r="M2">
        <v>0.16519315592081041</v>
      </c>
      <c r="N2">
        <v>6.0047878408818881E-2</v>
      </c>
      <c r="O2">
        <v>0.15293292641934136</v>
      </c>
      <c r="P2">
        <v>0.1307838075985526</v>
      </c>
      <c r="Q2">
        <v>0.10797867884012909</v>
      </c>
      <c r="R2">
        <v>0.14025542183343195</v>
      </c>
      <c r="S2">
        <v>0.12016036527656106</v>
      </c>
      <c r="T2">
        <v>0.18385251962264812</v>
      </c>
      <c r="U2">
        <v>6.145924683444879E-2</v>
      </c>
      <c r="V2">
        <v>4.1889861918581378E-2</v>
      </c>
      <c r="W2">
        <v>0.24320649157312244</v>
      </c>
      <c r="X2">
        <v>0.12401489041549243</v>
      </c>
      <c r="Y2">
        <v>0.10819300369067014</v>
      </c>
      <c r="Z2">
        <v>0.13533265084954613</v>
      </c>
      <c r="AA2">
        <v>0.17636823510479405</v>
      </c>
      <c r="AB2">
        <v>0.1615750115833573</v>
      </c>
      <c r="AC2">
        <v>6.7053541310771334E-2</v>
      </c>
      <c r="AD2">
        <v>8.3659910675376939E-2</v>
      </c>
      <c r="AE2">
        <v>4.5949958893847252E-2</v>
      </c>
      <c r="AF2">
        <v>0.13568180011097322</v>
      </c>
      <c r="AG2">
        <v>0.11364570354252834</v>
      </c>
      <c r="AH2">
        <v>0.15531931854659614</v>
      </c>
      <c r="AI2">
        <v>0.12577261160574754</v>
      </c>
      <c r="AJ2">
        <v>9.5563288526295934E-2</v>
      </c>
      <c r="AK2">
        <v>0.16011016816504639</v>
      </c>
      <c r="AL2">
        <v>0.13835301564102359</v>
      </c>
      <c r="AM2">
        <v>0.121383026582775</v>
      </c>
      <c r="AN2">
        <v>2.8848402891904424E-2</v>
      </c>
      <c r="AP2">
        <f>SUMSQ(A2:AN2)</f>
        <v>1.0000000028852485</v>
      </c>
      <c r="AQ2">
        <f>SQRT(AP2)</f>
        <v>1.0000000014426242</v>
      </c>
      <c r="AS2">
        <f>B2/$AQ2</f>
        <v>7.0527085012005844E-2</v>
      </c>
      <c r="AT2">
        <f t="shared" ref="AT2:CE2" si="1">C2/$AQ2</f>
        <v>0.20572758029325799</v>
      </c>
      <c r="AU2">
        <f t="shared" si="1"/>
        <v>0.36468173532723885</v>
      </c>
      <c r="AV2">
        <f t="shared" si="1"/>
        <v>0.32927442825495318</v>
      </c>
      <c r="AW2">
        <f t="shared" si="1"/>
        <v>0.25556768935006691</v>
      </c>
      <c r="AX2">
        <f t="shared" si="1"/>
        <v>0.17008176818189011</v>
      </c>
      <c r="AY2">
        <f t="shared" si="1"/>
        <v>0.20310501602005626</v>
      </c>
      <c r="AZ2">
        <f t="shared" si="1"/>
        <v>0.17862243657992657</v>
      </c>
      <c r="BA2">
        <f t="shared" si="1"/>
        <v>0.19223047660191511</v>
      </c>
      <c r="BB2">
        <f t="shared" si="1"/>
        <v>0.16245416017273864</v>
      </c>
      <c r="BC2">
        <f t="shared" si="1"/>
        <v>8.9114147510932357E-2</v>
      </c>
      <c r="BD2">
        <f t="shared" si="1"/>
        <v>0.16519315568249876</v>
      </c>
      <c r="BE2">
        <f t="shared" si="1"/>
        <v>6.0047878322192355E-2</v>
      </c>
      <c r="BF2">
        <f t="shared" si="1"/>
        <v>0.15293292619871662</v>
      </c>
      <c r="BG2">
        <f t="shared" si="1"/>
        <v>0.13078380740988071</v>
      </c>
      <c r="BH2">
        <f t="shared" si="1"/>
        <v>0.10797867868435643</v>
      </c>
      <c r="BI2">
        <f t="shared" si="1"/>
        <v>0.14025542163109608</v>
      </c>
      <c r="BJ2">
        <f t="shared" si="1"/>
        <v>0.1201603651032148</v>
      </c>
      <c r="BK2">
        <f t="shared" si="1"/>
        <v>0.18385251935741803</v>
      </c>
      <c r="BL2">
        <f t="shared" si="1"/>
        <v>6.1459246745786192E-2</v>
      </c>
      <c r="BM2">
        <f t="shared" si="1"/>
        <v>4.1889861858150045E-2</v>
      </c>
      <c r="BN2">
        <f t="shared" si="1"/>
        <v>0.24320649122226687</v>
      </c>
      <c r="BO2">
        <f t="shared" si="1"/>
        <v>0.12401489023658555</v>
      </c>
      <c r="BP2">
        <f t="shared" si="1"/>
        <v>0.10819300353458829</v>
      </c>
      <c r="BQ2">
        <f t="shared" si="1"/>
        <v>0.13533265065431196</v>
      </c>
      <c r="BR2">
        <f t="shared" si="1"/>
        <v>0.17636823485036096</v>
      </c>
      <c r="BS2">
        <f t="shared" si="1"/>
        <v>0.16157501135026528</v>
      </c>
      <c r="BT2">
        <f t="shared" si="1"/>
        <v>6.7053541214038268E-2</v>
      </c>
      <c r="BU2">
        <f t="shared" si="1"/>
        <v>8.365991055468712E-2</v>
      </c>
      <c r="BV2">
        <f t="shared" si="1"/>
        <v>4.5949958827558729E-2</v>
      </c>
      <c r="BW2">
        <f t="shared" si="1"/>
        <v>0.13568179991523538</v>
      </c>
      <c r="BX2">
        <f t="shared" si="1"/>
        <v>0.11364570337858029</v>
      </c>
      <c r="BY2">
        <f t="shared" si="1"/>
        <v>0.15531931832252874</v>
      </c>
      <c r="BZ2">
        <f t="shared" si="1"/>
        <v>0.12577261142430493</v>
      </c>
      <c r="CA2">
        <f t="shared" si="1"/>
        <v>9.5563288388434017E-2</v>
      </c>
      <c r="CB2">
        <f t="shared" si="1"/>
        <v>0.16011016793406757</v>
      </c>
      <c r="CC2">
        <f t="shared" si="1"/>
        <v>0.13835301544143216</v>
      </c>
      <c r="CD2">
        <f t="shared" si="1"/>
        <v>0.12138302640766491</v>
      </c>
      <c r="CE2">
        <f t="shared" si="1"/>
        <v>2.884840285028702E-2</v>
      </c>
      <c r="CG2">
        <f>SUMSQ(AR2:CE2)</f>
        <v>0.99999999999999978</v>
      </c>
      <c r="CH2">
        <f>SQRT(CG2)</f>
        <v>0.99999999999999989</v>
      </c>
      <c r="CJ2">
        <f>SUMPRODUCT($AS$1:$CE$1,AS2:CE2)</f>
        <v>0.89767385229638297</v>
      </c>
    </row>
    <row r="3" spans="1:88" ht="14.4" x14ac:dyDescent="0.3">
      <c r="A3" s="5" t="s">
        <v>4</v>
      </c>
      <c r="B3">
        <v>7.0527085113749929E-2</v>
      </c>
      <c r="C3">
        <v>0.20572758059004559</v>
      </c>
      <c r="D3">
        <v>0.36468173585333757</v>
      </c>
      <c r="E3">
        <v>0.32927442872997242</v>
      </c>
      <c r="F3">
        <v>0.25556768971875504</v>
      </c>
      <c r="G3">
        <v>0.1700817684272542</v>
      </c>
      <c r="H3">
        <v>0.20310501631306049</v>
      </c>
      <c r="I3">
        <v>0.17862243683761164</v>
      </c>
      <c r="J3">
        <v>0.19223047687923145</v>
      </c>
      <c r="K3">
        <v>0.16245416040709895</v>
      </c>
      <c r="L3">
        <v>8.911414763949059E-2</v>
      </c>
      <c r="M3">
        <v>0.16519315592081041</v>
      </c>
      <c r="N3">
        <v>6.0047878408818881E-2</v>
      </c>
      <c r="O3">
        <v>0.15293292641934136</v>
      </c>
      <c r="P3">
        <v>0.1307838075985526</v>
      </c>
      <c r="Q3">
        <v>0.10797867884012909</v>
      </c>
      <c r="R3">
        <v>0.14025542183343195</v>
      </c>
      <c r="S3">
        <v>0.12016036527656106</v>
      </c>
      <c r="T3">
        <v>0.18385251962264812</v>
      </c>
      <c r="U3">
        <v>6.145924683444879E-2</v>
      </c>
      <c r="V3">
        <v>4.1889861918581378E-2</v>
      </c>
      <c r="W3">
        <v>0.24320649157312244</v>
      </c>
      <c r="X3">
        <v>0.12401489041549243</v>
      </c>
      <c r="Y3">
        <v>0.10819300369067014</v>
      </c>
      <c r="Z3">
        <v>0.13533265084954613</v>
      </c>
      <c r="AA3">
        <v>0.17636823510479405</v>
      </c>
      <c r="AB3">
        <v>0.1615750115833573</v>
      </c>
      <c r="AC3">
        <v>6.7053541310771334E-2</v>
      </c>
      <c r="AD3">
        <v>8.3659910675376939E-2</v>
      </c>
      <c r="AE3">
        <v>4.5949958893847252E-2</v>
      </c>
      <c r="AF3">
        <v>0.13568180011097322</v>
      </c>
      <c r="AG3">
        <v>0.11364570354252834</v>
      </c>
      <c r="AH3">
        <v>0.15531931854659614</v>
      </c>
      <c r="AI3">
        <v>0.12577261160574754</v>
      </c>
      <c r="AJ3">
        <v>9.5563288526295934E-2</v>
      </c>
      <c r="AK3">
        <v>0.16011016816504639</v>
      </c>
      <c r="AL3">
        <v>0.13835301564102359</v>
      </c>
      <c r="AM3">
        <v>0.121383026582775</v>
      </c>
      <c r="AN3">
        <v>2.8848402891904424E-2</v>
      </c>
      <c r="AP3">
        <f t="shared" ref="AP3:AP65" si="2">SUMSQ(A3:AN3)</f>
        <v>1.0000000028852485</v>
      </c>
      <c r="AQ3">
        <f t="shared" ref="AQ3:AQ65" si="3">SQRT(AP3)</f>
        <v>1.0000000014426242</v>
      </c>
      <c r="AS3">
        <f t="shared" ref="AS3:AS65" si="4">B3/$AQ3</f>
        <v>7.0527085012005844E-2</v>
      </c>
      <c r="AT3">
        <f t="shared" ref="AT3:AT65" si="5">C3/$AQ3</f>
        <v>0.20572758029325799</v>
      </c>
      <c r="AU3">
        <f t="shared" ref="AU3:AU65" si="6">D3/$AQ3</f>
        <v>0.36468173532723885</v>
      </c>
      <c r="AV3">
        <f t="shared" ref="AV3:AV65" si="7">E3/$AQ3</f>
        <v>0.32927442825495318</v>
      </c>
      <c r="AW3">
        <f t="shared" ref="AW3:AW65" si="8">F3/$AQ3</f>
        <v>0.25556768935006691</v>
      </c>
      <c r="AX3">
        <f t="shared" ref="AX3:AX65" si="9">G3/$AQ3</f>
        <v>0.17008176818189011</v>
      </c>
      <c r="AY3">
        <f t="shared" ref="AY3:AY65" si="10">H3/$AQ3</f>
        <v>0.20310501602005626</v>
      </c>
      <c r="AZ3">
        <f t="shared" ref="AZ3:AZ65" si="11">I3/$AQ3</f>
        <v>0.17862243657992657</v>
      </c>
      <c r="BA3">
        <f t="shared" ref="BA3:BA65" si="12">J3/$AQ3</f>
        <v>0.19223047660191511</v>
      </c>
      <c r="BB3">
        <f t="shared" ref="BB3:BB65" si="13">K3/$AQ3</f>
        <v>0.16245416017273864</v>
      </c>
      <c r="BC3">
        <f t="shared" ref="BC3:BC65" si="14">L3/$AQ3</f>
        <v>8.9114147510932357E-2</v>
      </c>
      <c r="BD3">
        <f t="shared" ref="BD3:BD65" si="15">M3/$AQ3</f>
        <v>0.16519315568249876</v>
      </c>
      <c r="BE3">
        <f t="shared" ref="BE3:BE65" si="16">N3/$AQ3</f>
        <v>6.0047878322192355E-2</v>
      </c>
      <c r="BF3">
        <f t="shared" ref="BF3:BF65" si="17">O3/$AQ3</f>
        <v>0.15293292619871662</v>
      </c>
      <c r="BG3">
        <f t="shared" ref="BG3:BG65" si="18">P3/$AQ3</f>
        <v>0.13078380740988071</v>
      </c>
      <c r="BH3">
        <f t="shared" ref="BH3:BH65" si="19">Q3/$AQ3</f>
        <v>0.10797867868435643</v>
      </c>
      <c r="BI3">
        <f t="shared" ref="BI3:BI65" si="20">R3/$AQ3</f>
        <v>0.14025542163109608</v>
      </c>
      <c r="BJ3">
        <f t="shared" ref="BJ3:BJ65" si="21">S3/$AQ3</f>
        <v>0.1201603651032148</v>
      </c>
      <c r="BK3">
        <f t="shared" ref="BK3:BK65" si="22">T3/$AQ3</f>
        <v>0.18385251935741803</v>
      </c>
      <c r="BL3">
        <f t="shared" ref="BL3:BL65" si="23">U3/$AQ3</f>
        <v>6.1459246745786192E-2</v>
      </c>
      <c r="BM3">
        <f t="shared" ref="BM3:BM65" si="24">V3/$AQ3</f>
        <v>4.1889861858150045E-2</v>
      </c>
      <c r="BN3">
        <f t="shared" ref="BN3:BN65" si="25">W3/$AQ3</f>
        <v>0.24320649122226687</v>
      </c>
      <c r="BO3">
        <f t="shared" ref="BO3:BO65" si="26">X3/$AQ3</f>
        <v>0.12401489023658555</v>
      </c>
      <c r="BP3">
        <f t="shared" ref="BP3:BP65" si="27">Y3/$AQ3</f>
        <v>0.10819300353458829</v>
      </c>
      <c r="BQ3">
        <f t="shared" ref="BQ3:BQ65" si="28">Z3/$AQ3</f>
        <v>0.13533265065431196</v>
      </c>
      <c r="BR3">
        <f t="shared" ref="BR3:BR65" si="29">AA3/$AQ3</f>
        <v>0.17636823485036096</v>
      </c>
      <c r="BS3">
        <f t="shared" ref="BS3:BS65" si="30">AB3/$AQ3</f>
        <v>0.16157501135026528</v>
      </c>
      <c r="BT3">
        <f t="shared" ref="BT3:BT65" si="31">AC3/$AQ3</f>
        <v>6.7053541214038268E-2</v>
      </c>
      <c r="BU3">
        <f t="shared" ref="BU3:BU65" si="32">AD3/$AQ3</f>
        <v>8.365991055468712E-2</v>
      </c>
      <c r="BV3">
        <f t="shared" ref="BV3:BV65" si="33">AE3/$AQ3</f>
        <v>4.5949958827558729E-2</v>
      </c>
      <c r="BW3">
        <f t="shared" ref="BW3:BW65" si="34">AF3/$AQ3</f>
        <v>0.13568179991523538</v>
      </c>
      <c r="BX3">
        <f t="shared" ref="BX3:BX65" si="35">AG3/$AQ3</f>
        <v>0.11364570337858029</v>
      </c>
      <c r="BY3">
        <f t="shared" ref="BY3:BY65" si="36">AH3/$AQ3</f>
        <v>0.15531931832252874</v>
      </c>
      <c r="BZ3">
        <f t="shared" ref="BZ3:BZ65" si="37">AI3/$AQ3</f>
        <v>0.12577261142430493</v>
      </c>
      <c r="CA3">
        <f t="shared" ref="CA3:CA65" si="38">AJ3/$AQ3</f>
        <v>9.5563288388434017E-2</v>
      </c>
      <c r="CB3">
        <f t="shared" ref="CB3:CB65" si="39">AK3/$AQ3</f>
        <v>0.16011016793406757</v>
      </c>
      <c r="CC3">
        <f t="shared" ref="CC3:CC65" si="40">AL3/$AQ3</f>
        <v>0.13835301544143216</v>
      </c>
      <c r="CD3">
        <f t="shared" ref="CD3:CD65" si="41">AM3/$AQ3</f>
        <v>0.12138302640766491</v>
      </c>
      <c r="CE3">
        <f t="shared" ref="CE3:CE65" si="42">AN3/$AQ3</f>
        <v>2.884840285028702E-2</v>
      </c>
      <c r="CG3">
        <f t="shared" ref="CG3:CG65" si="43">SUMSQ(AR3:CE3)</f>
        <v>0.99999999999999978</v>
      </c>
      <c r="CH3">
        <f t="shared" ref="CH3:CH65" si="44">SQRT(CG3)</f>
        <v>0.99999999999999989</v>
      </c>
      <c r="CJ3">
        <f t="shared" ref="CJ3:CJ65" si="45">SUMPRODUCT($AS$1:$CE$1,AS3:CE3)</f>
        <v>0.89767385229638297</v>
      </c>
    </row>
    <row r="4" spans="1:88" ht="14.4" x14ac:dyDescent="0.3">
      <c r="A4" s="5" t="s">
        <v>5</v>
      </c>
      <c r="B4">
        <v>7.0527085113749929E-2</v>
      </c>
      <c r="C4">
        <v>0.20572758059004559</v>
      </c>
      <c r="D4">
        <v>0.36468173585333757</v>
      </c>
      <c r="E4">
        <v>0.32927442872997242</v>
      </c>
      <c r="F4">
        <v>0.25556768971875504</v>
      </c>
      <c r="G4">
        <v>0.1700817684272542</v>
      </c>
      <c r="H4">
        <v>0.20310501631306049</v>
      </c>
      <c r="I4">
        <v>0.17862243683761164</v>
      </c>
      <c r="J4">
        <v>0.19223047687923145</v>
      </c>
      <c r="K4">
        <v>0.16245416040709895</v>
      </c>
      <c r="L4">
        <v>8.911414763949059E-2</v>
      </c>
      <c r="M4">
        <v>0.16519315592081041</v>
      </c>
      <c r="N4">
        <v>6.0047878408818881E-2</v>
      </c>
      <c r="O4">
        <v>0.15293292641934136</v>
      </c>
      <c r="P4">
        <v>0.1307838075985526</v>
      </c>
      <c r="Q4">
        <v>0.10797867884012909</v>
      </c>
      <c r="R4">
        <v>0.14025542183343195</v>
      </c>
      <c r="S4">
        <v>0.12016036527656106</v>
      </c>
      <c r="T4">
        <v>0.18385251962264812</v>
      </c>
      <c r="U4">
        <v>6.145924683444879E-2</v>
      </c>
      <c r="V4">
        <v>4.1889861918581378E-2</v>
      </c>
      <c r="W4">
        <v>0.24320649157312244</v>
      </c>
      <c r="X4">
        <v>0.12401489041549243</v>
      </c>
      <c r="Y4">
        <v>0.10819300369067014</v>
      </c>
      <c r="Z4">
        <v>0.13533265084954613</v>
      </c>
      <c r="AA4">
        <v>0.17636823510479405</v>
      </c>
      <c r="AB4">
        <v>0.1615750115833573</v>
      </c>
      <c r="AC4">
        <v>6.7053541310771334E-2</v>
      </c>
      <c r="AD4">
        <v>8.3659910675376939E-2</v>
      </c>
      <c r="AE4">
        <v>4.5949958893847252E-2</v>
      </c>
      <c r="AF4">
        <v>0.13568180011097322</v>
      </c>
      <c r="AG4">
        <v>0.11364570354252834</v>
      </c>
      <c r="AH4">
        <v>0.15531931854659614</v>
      </c>
      <c r="AI4">
        <v>0.12577261160574754</v>
      </c>
      <c r="AJ4">
        <v>9.5563288526295934E-2</v>
      </c>
      <c r="AK4">
        <v>0.16011016816504639</v>
      </c>
      <c r="AL4">
        <v>0.13835301564102359</v>
      </c>
      <c r="AM4">
        <v>0.121383026582775</v>
      </c>
      <c r="AN4">
        <v>2.8848402891904424E-2</v>
      </c>
      <c r="AP4">
        <f t="shared" si="2"/>
        <v>1.0000000028852485</v>
      </c>
      <c r="AQ4">
        <f t="shared" si="3"/>
        <v>1.0000000014426242</v>
      </c>
      <c r="AS4">
        <f t="shared" si="4"/>
        <v>7.0527085012005844E-2</v>
      </c>
      <c r="AT4">
        <f t="shared" si="5"/>
        <v>0.20572758029325799</v>
      </c>
      <c r="AU4">
        <f t="shared" si="6"/>
        <v>0.36468173532723885</v>
      </c>
      <c r="AV4">
        <f t="shared" si="7"/>
        <v>0.32927442825495318</v>
      </c>
      <c r="AW4">
        <f t="shared" si="8"/>
        <v>0.25556768935006691</v>
      </c>
      <c r="AX4">
        <f t="shared" si="9"/>
        <v>0.17008176818189011</v>
      </c>
      <c r="AY4">
        <f t="shared" si="10"/>
        <v>0.20310501602005626</v>
      </c>
      <c r="AZ4">
        <f t="shared" si="11"/>
        <v>0.17862243657992657</v>
      </c>
      <c r="BA4">
        <f t="shared" si="12"/>
        <v>0.19223047660191511</v>
      </c>
      <c r="BB4">
        <f t="shared" si="13"/>
        <v>0.16245416017273864</v>
      </c>
      <c r="BC4">
        <f t="shared" si="14"/>
        <v>8.9114147510932357E-2</v>
      </c>
      <c r="BD4">
        <f t="shared" si="15"/>
        <v>0.16519315568249876</v>
      </c>
      <c r="BE4">
        <f t="shared" si="16"/>
        <v>6.0047878322192355E-2</v>
      </c>
      <c r="BF4">
        <f t="shared" si="17"/>
        <v>0.15293292619871662</v>
      </c>
      <c r="BG4">
        <f t="shared" si="18"/>
        <v>0.13078380740988071</v>
      </c>
      <c r="BH4">
        <f t="shared" si="19"/>
        <v>0.10797867868435643</v>
      </c>
      <c r="BI4">
        <f t="shared" si="20"/>
        <v>0.14025542163109608</v>
      </c>
      <c r="BJ4">
        <f t="shared" si="21"/>
        <v>0.1201603651032148</v>
      </c>
      <c r="BK4">
        <f t="shared" si="22"/>
        <v>0.18385251935741803</v>
      </c>
      <c r="BL4">
        <f t="shared" si="23"/>
        <v>6.1459246745786192E-2</v>
      </c>
      <c r="BM4">
        <f t="shared" si="24"/>
        <v>4.1889861858150045E-2</v>
      </c>
      <c r="BN4">
        <f t="shared" si="25"/>
        <v>0.24320649122226687</v>
      </c>
      <c r="BO4">
        <f t="shared" si="26"/>
        <v>0.12401489023658555</v>
      </c>
      <c r="BP4">
        <f t="shared" si="27"/>
        <v>0.10819300353458829</v>
      </c>
      <c r="BQ4">
        <f t="shared" si="28"/>
        <v>0.13533265065431196</v>
      </c>
      <c r="BR4">
        <f t="shared" si="29"/>
        <v>0.17636823485036096</v>
      </c>
      <c r="BS4">
        <f t="shared" si="30"/>
        <v>0.16157501135026528</v>
      </c>
      <c r="BT4">
        <f t="shared" si="31"/>
        <v>6.7053541214038268E-2</v>
      </c>
      <c r="BU4">
        <f t="shared" si="32"/>
        <v>8.365991055468712E-2</v>
      </c>
      <c r="BV4">
        <f t="shared" si="33"/>
        <v>4.5949958827558729E-2</v>
      </c>
      <c r="BW4">
        <f t="shared" si="34"/>
        <v>0.13568179991523538</v>
      </c>
      <c r="BX4">
        <f t="shared" si="35"/>
        <v>0.11364570337858029</v>
      </c>
      <c r="BY4">
        <f t="shared" si="36"/>
        <v>0.15531931832252874</v>
      </c>
      <c r="BZ4">
        <f t="shared" si="37"/>
        <v>0.12577261142430493</v>
      </c>
      <c r="CA4">
        <f t="shared" si="38"/>
        <v>9.5563288388434017E-2</v>
      </c>
      <c r="CB4">
        <f t="shared" si="39"/>
        <v>0.16011016793406757</v>
      </c>
      <c r="CC4">
        <f t="shared" si="40"/>
        <v>0.13835301544143216</v>
      </c>
      <c r="CD4">
        <f t="shared" si="41"/>
        <v>0.12138302640766491</v>
      </c>
      <c r="CE4">
        <f t="shared" si="42"/>
        <v>2.884840285028702E-2</v>
      </c>
      <c r="CG4">
        <f t="shared" si="43"/>
        <v>0.99999999999999978</v>
      </c>
      <c r="CH4">
        <f t="shared" si="44"/>
        <v>0.99999999999999989</v>
      </c>
      <c r="CJ4">
        <f t="shared" si="45"/>
        <v>0.89767385229638297</v>
      </c>
    </row>
    <row r="5" spans="1:88" ht="14.4" x14ac:dyDescent="0.3">
      <c r="A5" s="5" t="s">
        <v>6</v>
      </c>
      <c r="B5">
        <v>7.0527085113749929E-2</v>
      </c>
      <c r="C5">
        <v>0.20572758059004559</v>
      </c>
      <c r="D5">
        <v>0.36468173585333757</v>
      </c>
      <c r="E5">
        <v>0.32927442872997242</v>
      </c>
      <c r="F5">
        <v>0.25556768971875504</v>
      </c>
      <c r="G5">
        <v>0.1700817684272542</v>
      </c>
      <c r="H5">
        <v>0.20310501631306049</v>
      </c>
      <c r="I5">
        <v>0.17862243683761164</v>
      </c>
      <c r="J5">
        <v>0.19223047687923145</v>
      </c>
      <c r="K5">
        <v>0.16245416040709895</v>
      </c>
      <c r="L5">
        <v>8.911414763949059E-2</v>
      </c>
      <c r="M5">
        <v>0.16519315592081041</v>
      </c>
      <c r="N5">
        <v>6.0047878408818881E-2</v>
      </c>
      <c r="O5">
        <v>0.15293292641934136</v>
      </c>
      <c r="P5">
        <v>0.1307838075985526</v>
      </c>
      <c r="Q5">
        <v>0.10797867884012909</v>
      </c>
      <c r="R5">
        <v>0.14025542183343195</v>
      </c>
      <c r="S5">
        <v>0.12016036527656106</v>
      </c>
      <c r="T5">
        <v>0.18385251962264812</v>
      </c>
      <c r="U5">
        <v>6.145924683444879E-2</v>
      </c>
      <c r="V5">
        <v>4.1889861918581378E-2</v>
      </c>
      <c r="W5">
        <v>0.24320649157312244</v>
      </c>
      <c r="X5">
        <v>0.12401489041549243</v>
      </c>
      <c r="Y5">
        <v>0.10819300369067014</v>
      </c>
      <c r="Z5">
        <v>0.13533265084954613</v>
      </c>
      <c r="AA5">
        <v>0.17636823510479405</v>
      </c>
      <c r="AB5">
        <v>0.1615750115833573</v>
      </c>
      <c r="AC5">
        <v>6.7053541310771334E-2</v>
      </c>
      <c r="AD5">
        <v>8.3659910675376939E-2</v>
      </c>
      <c r="AE5">
        <v>4.5949958893847252E-2</v>
      </c>
      <c r="AF5">
        <v>0.13568180011097322</v>
      </c>
      <c r="AG5">
        <v>0.11364570354252834</v>
      </c>
      <c r="AH5">
        <v>0.15531931854659614</v>
      </c>
      <c r="AI5">
        <v>0.12577261160574754</v>
      </c>
      <c r="AJ5">
        <v>9.5563288526295934E-2</v>
      </c>
      <c r="AK5">
        <v>0.16011016816504639</v>
      </c>
      <c r="AL5">
        <v>0.13835301564102359</v>
      </c>
      <c r="AM5">
        <v>0.121383026582775</v>
      </c>
      <c r="AN5">
        <v>2.8848402891904424E-2</v>
      </c>
      <c r="AP5">
        <f t="shared" si="2"/>
        <v>1.0000000028852485</v>
      </c>
      <c r="AQ5">
        <f t="shared" si="3"/>
        <v>1.0000000014426242</v>
      </c>
      <c r="AS5">
        <f t="shared" si="4"/>
        <v>7.0527085012005844E-2</v>
      </c>
      <c r="AT5">
        <f t="shared" si="5"/>
        <v>0.20572758029325799</v>
      </c>
      <c r="AU5">
        <f t="shared" si="6"/>
        <v>0.36468173532723885</v>
      </c>
      <c r="AV5">
        <f t="shared" si="7"/>
        <v>0.32927442825495318</v>
      </c>
      <c r="AW5">
        <f t="shared" si="8"/>
        <v>0.25556768935006691</v>
      </c>
      <c r="AX5">
        <f t="shared" si="9"/>
        <v>0.17008176818189011</v>
      </c>
      <c r="AY5">
        <f t="shared" si="10"/>
        <v>0.20310501602005626</v>
      </c>
      <c r="AZ5">
        <f t="shared" si="11"/>
        <v>0.17862243657992657</v>
      </c>
      <c r="BA5">
        <f t="shared" si="12"/>
        <v>0.19223047660191511</v>
      </c>
      <c r="BB5">
        <f t="shared" si="13"/>
        <v>0.16245416017273864</v>
      </c>
      <c r="BC5">
        <f t="shared" si="14"/>
        <v>8.9114147510932357E-2</v>
      </c>
      <c r="BD5">
        <f t="shared" si="15"/>
        <v>0.16519315568249876</v>
      </c>
      <c r="BE5">
        <f t="shared" si="16"/>
        <v>6.0047878322192355E-2</v>
      </c>
      <c r="BF5">
        <f t="shared" si="17"/>
        <v>0.15293292619871662</v>
      </c>
      <c r="BG5">
        <f t="shared" si="18"/>
        <v>0.13078380740988071</v>
      </c>
      <c r="BH5">
        <f t="shared" si="19"/>
        <v>0.10797867868435643</v>
      </c>
      <c r="BI5">
        <f t="shared" si="20"/>
        <v>0.14025542163109608</v>
      </c>
      <c r="BJ5">
        <f t="shared" si="21"/>
        <v>0.1201603651032148</v>
      </c>
      <c r="BK5">
        <f t="shared" si="22"/>
        <v>0.18385251935741803</v>
      </c>
      <c r="BL5">
        <f t="shared" si="23"/>
        <v>6.1459246745786192E-2</v>
      </c>
      <c r="BM5">
        <f t="shared" si="24"/>
        <v>4.1889861858150045E-2</v>
      </c>
      <c r="BN5">
        <f t="shared" si="25"/>
        <v>0.24320649122226687</v>
      </c>
      <c r="BO5">
        <f t="shared" si="26"/>
        <v>0.12401489023658555</v>
      </c>
      <c r="BP5">
        <f t="shared" si="27"/>
        <v>0.10819300353458829</v>
      </c>
      <c r="BQ5">
        <f t="shared" si="28"/>
        <v>0.13533265065431196</v>
      </c>
      <c r="BR5">
        <f t="shared" si="29"/>
        <v>0.17636823485036096</v>
      </c>
      <c r="BS5">
        <f t="shared" si="30"/>
        <v>0.16157501135026528</v>
      </c>
      <c r="BT5">
        <f t="shared" si="31"/>
        <v>6.7053541214038268E-2</v>
      </c>
      <c r="BU5">
        <f t="shared" si="32"/>
        <v>8.365991055468712E-2</v>
      </c>
      <c r="BV5">
        <f t="shared" si="33"/>
        <v>4.5949958827558729E-2</v>
      </c>
      <c r="BW5">
        <f t="shared" si="34"/>
        <v>0.13568179991523538</v>
      </c>
      <c r="BX5">
        <f t="shared" si="35"/>
        <v>0.11364570337858029</v>
      </c>
      <c r="BY5">
        <f t="shared" si="36"/>
        <v>0.15531931832252874</v>
      </c>
      <c r="BZ5">
        <f t="shared" si="37"/>
        <v>0.12577261142430493</v>
      </c>
      <c r="CA5">
        <f t="shared" si="38"/>
        <v>9.5563288388434017E-2</v>
      </c>
      <c r="CB5">
        <f t="shared" si="39"/>
        <v>0.16011016793406757</v>
      </c>
      <c r="CC5">
        <f t="shared" si="40"/>
        <v>0.13835301544143216</v>
      </c>
      <c r="CD5">
        <f t="shared" si="41"/>
        <v>0.12138302640766491</v>
      </c>
      <c r="CE5">
        <f t="shared" si="42"/>
        <v>2.884840285028702E-2</v>
      </c>
      <c r="CG5">
        <f t="shared" si="43"/>
        <v>0.99999999999999978</v>
      </c>
      <c r="CH5">
        <f t="shared" si="44"/>
        <v>0.99999999999999989</v>
      </c>
      <c r="CJ5">
        <f t="shared" si="45"/>
        <v>0.89767385229638297</v>
      </c>
    </row>
    <row r="6" spans="1:88" ht="14.4" x14ac:dyDescent="0.3">
      <c r="A6" s="5" t="s">
        <v>7</v>
      </c>
      <c r="B6">
        <v>7.0527085113749929E-2</v>
      </c>
      <c r="C6">
        <v>0.20572758059004559</v>
      </c>
      <c r="D6">
        <v>0.36468173585333757</v>
      </c>
      <c r="E6">
        <v>0.32927442872997242</v>
      </c>
      <c r="F6">
        <v>0.25556768971875504</v>
      </c>
      <c r="G6">
        <v>0.1700817684272542</v>
      </c>
      <c r="H6">
        <v>0.20310501631306049</v>
      </c>
      <c r="I6">
        <v>0.17862243683761164</v>
      </c>
      <c r="J6">
        <v>0.19223047687923145</v>
      </c>
      <c r="K6">
        <v>0.16245416040709895</v>
      </c>
      <c r="L6">
        <v>8.911414763949059E-2</v>
      </c>
      <c r="M6">
        <v>0.16519315592081041</v>
      </c>
      <c r="N6">
        <v>6.0047878408818881E-2</v>
      </c>
      <c r="O6">
        <v>0.15293292641934136</v>
      </c>
      <c r="P6">
        <v>0.1307838075985526</v>
      </c>
      <c r="Q6">
        <v>0.10797867884012909</v>
      </c>
      <c r="R6">
        <v>0.14025542183343195</v>
      </c>
      <c r="S6">
        <v>0.12016036527656106</v>
      </c>
      <c r="T6">
        <v>0.18385251962264812</v>
      </c>
      <c r="U6">
        <v>6.145924683444879E-2</v>
      </c>
      <c r="V6">
        <v>4.1889861918581378E-2</v>
      </c>
      <c r="W6">
        <v>0.24320649157312244</v>
      </c>
      <c r="X6">
        <v>0.12401489041549243</v>
      </c>
      <c r="Y6">
        <v>0.10819300369067014</v>
      </c>
      <c r="Z6">
        <v>0.13533265084954613</v>
      </c>
      <c r="AA6">
        <v>0.17636823510479405</v>
      </c>
      <c r="AB6">
        <v>0.1615750115833573</v>
      </c>
      <c r="AC6">
        <v>6.7053541310771334E-2</v>
      </c>
      <c r="AD6">
        <v>8.3659910675376939E-2</v>
      </c>
      <c r="AE6">
        <v>4.5949958893847252E-2</v>
      </c>
      <c r="AF6">
        <v>0.13568180011097322</v>
      </c>
      <c r="AG6">
        <v>0.11364570354252834</v>
      </c>
      <c r="AH6">
        <v>0.15531931854659614</v>
      </c>
      <c r="AI6">
        <v>0.12577261160574754</v>
      </c>
      <c r="AJ6">
        <v>9.5563288526295934E-2</v>
      </c>
      <c r="AK6">
        <v>0.16011016816504639</v>
      </c>
      <c r="AL6">
        <v>0.13835301564102359</v>
      </c>
      <c r="AM6">
        <v>0.121383026582775</v>
      </c>
      <c r="AN6">
        <v>2.8848402891904424E-2</v>
      </c>
      <c r="AP6">
        <f t="shared" si="2"/>
        <v>1.0000000028852485</v>
      </c>
      <c r="AQ6">
        <f t="shared" si="3"/>
        <v>1.0000000014426242</v>
      </c>
      <c r="AS6">
        <f t="shared" si="4"/>
        <v>7.0527085012005844E-2</v>
      </c>
      <c r="AT6">
        <f t="shared" si="5"/>
        <v>0.20572758029325799</v>
      </c>
      <c r="AU6">
        <f t="shared" si="6"/>
        <v>0.36468173532723885</v>
      </c>
      <c r="AV6">
        <f t="shared" si="7"/>
        <v>0.32927442825495318</v>
      </c>
      <c r="AW6">
        <f t="shared" si="8"/>
        <v>0.25556768935006691</v>
      </c>
      <c r="AX6">
        <f t="shared" si="9"/>
        <v>0.17008176818189011</v>
      </c>
      <c r="AY6">
        <f t="shared" si="10"/>
        <v>0.20310501602005626</v>
      </c>
      <c r="AZ6">
        <f t="shared" si="11"/>
        <v>0.17862243657992657</v>
      </c>
      <c r="BA6">
        <f t="shared" si="12"/>
        <v>0.19223047660191511</v>
      </c>
      <c r="BB6">
        <f t="shared" si="13"/>
        <v>0.16245416017273864</v>
      </c>
      <c r="BC6">
        <f t="shared" si="14"/>
        <v>8.9114147510932357E-2</v>
      </c>
      <c r="BD6">
        <f t="shared" si="15"/>
        <v>0.16519315568249876</v>
      </c>
      <c r="BE6">
        <f t="shared" si="16"/>
        <v>6.0047878322192355E-2</v>
      </c>
      <c r="BF6">
        <f t="shared" si="17"/>
        <v>0.15293292619871662</v>
      </c>
      <c r="BG6">
        <f t="shared" si="18"/>
        <v>0.13078380740988071</v>
      </c>
      <c r="BH6">
        <f t="shared" si="19"/>
        <v>0.10797867868435643</v>
      </c>
      <c r="BI6">
        <f t="shared" si="20"/>
        <v>0.14025542163109608</v>
      </c>
      <c r="BJ6">
        <f t="shared" si="21"/>
        <v>0.1201603651032148</v>
      </c>
      <c r="BK6">
        <f t="shared" si="22"/>
        <v>0.18385251935741803</v>
      </c>
      <c r="BL6">
        <f t="shared" si="23"/>
        <v>6.1459246745786192E-2</v>
      </c>
      <c r="BM6">
        <f t="shared" si="24"/>
        <v>4.1889861858150045E-2</v>
      </c>
      <c r="BN6">
        <f t="shared" si="25"/>
        <v>0.24320649122226687</v>
      </c>
      <c r="BO6">
        <f t="shared" si="26"/>
        <v>0.12401489023658555</v>
      </c>
      <c r="BP6">
        <f t="shared" si="27"/>
        <v>0.10819300353458829</v>
      </c>
      <c r="BQ6">
        <f t="shared" si="28"/>
        <v>0.13533265065431196</v>
      </c>
      <c r="BR6">
        <f t="shared" si="29"/>
        <v>0.17636823485036096</v>
      </c>
      <c r="BS6">
        <f t="shared" si="30"/>
        <v>0.16157501135026528</v>
      </c>
      <c r="BT6">
        <f t="shared" si="31"/>
        <v>6.7053541214038268E-2</v>
      </c>
      <c r="BU6">
        <f t="shared" si="32"/>
        <v>8.365991055468712E-2</v>
      </c>
      <c r="BV6">
        <f t="shared" si="33"/>
        <v>4.5949958827558729E-2</v>
      </c>
      <c r="BW6">
        <f t="shared" si="34"/>
        <v>0.13568179991523538</v>
      </c>
      <c r="BX6">
        <f t="shared" si="35"/>
        <v>0.11364570337858029</v>
      </c>
      <c r="BY6">
        <f t="shared" si="36"/>
        <v>0.15531931832252874</v>
      </c>
      <c r="BZ6">
        <f t="shared" si="37"/>
        <v>0.12577261142430493</v>
      </c>
      <c r="CA6">
        <f t="shared" si="38"/>
        <v>9.5563288388434017E-2</v>
      </c>
      <c r="CB6">
        <f t="shared" si="39"/>
        <v>0.16011016793406757</v>
      </c>
      <c r="CC6">
        <f t="shared" si="40"/>
        <v>0.13835301544143216</v>
      </c>
      <c r="CD6">
        <f t="shared" si="41"/>
        <v>0.12138302640766491</v>
      </c>
      <c r="CE6">
        <f t="shared" si="42"/>
        <v>2.884840285028702E-2</v>
      </c>
      <c r="CG6">
        <f t="shared" si="43"/>
        <v>0.99999999999999978</v>
      </c>
      <c r="CH6">
        <f t="shared" si="44"/>
        <v>0.99999999999999989</v>
      </c>
      <c r="CJ6">
        <f t="shared" si="45"/>
        <v>0.89767385229638297</v>
      </c>
    </row>
    <row r="7" spans="1:88" ht="14.4" x14ac:dyDescent="0.3">
      <c r="A7" s="5" t="s">
        <v>8</v>
      </c>
      <c r="B7">
        <v>7.0527085113749929E-2</v>
      </c>
      <c r="C7">
        <v>0.20572758059004559</v>
      </c>
      <c r="D7">
        <v>0.36468173585333757</v>
      </c>
      <c r="E7">
        <v>0.32927442872997242</v>
      </c>
      <c r="F7">
        <v>0.25556768971875504</v>
      </c>
      <c r="G7">
        <v>0.1700817684272542</v>
      </c>
      <c r="H7">
        <v>0.20310501631306049</v>
      </c>
      <c r="I7">
        <v>0.17862243683761164</v>
      </c>
      <c r="J7">
        <v>0.19223047687923145</v>
      </c>
      <c r="K7">
        <v>0.16245416040709895</v>
      </c>
      <c r="L7">
        <v>8.911414763949059E-2</v>
      </c>
      <c r="M7">
        <v>0.16519315592081041</v>
      </c>
      <c r="N7">
        <v>6.0047878408818881E-2</v>
      </c>
      <c r="O7">
        <v>0.15293292641934136</v>
      </c>
      <c r="P7">
        <v>0.1307838075985526</v>
      </c>
      <c r="Q7">
        <v>0.10797867884012909</v>
      </c>
      <c r="R7">
        <v>0.14025542183343195</v>
      </c>
      <c r="S7">
        <v>0.12016036527656106</v>
      </c>
      <c r="T7">
        <v>0.18385251962264812</v>
      </c>
      <c r="U7">
        <v>6.145924683444879E-2</v>
      </c>
      <c r="V7">
        <v>4.1889861918581378E-2</v>
      </c>
      <c r="W7">
        <v>0.24320649157312244</v>
      </c>
      <c r="X7">
        <v>0.12401489041549243</v>
      </c>
      <c r="Y7">
        <v>0.10819300369067014</v>
      </c>
      <c r="Z7">
        <v>0.13533265084954613</v>
      </c>
      <c r="AA7">
        <v>0.17636823510479405</v>
      </c>
      <c r="AB7">
        <v>0.1615750115833573</v>
      </c>
      <c r="AC7">
        <v>6.7053541310771334E-2</v>
      </c>
      <c r="AD7">
        <v>8.3659910675376939E-2</v>
      </c>
      <c r="AE7">
        <v>4.5949958893847252E-2</v>
      </c>
      <c r="AF7">
        <v>0.13568180011097322</v>
      </c>
      <c r="AG7">
        <v>0.11364570354252834</v>
      </c>
      <c r="AH7">
        <v>0.15531931854659614</v>
      </c>
      <c r="AI7">
        <v>0.12577261160574754</v>
      </c>
      <c r="AJ7">
        <v>9.5563288526295934E-2</v>
      </c>
      <c r="AK7">
        <v>0.16011016816504639</v>
      </c>
      <c r="AL7">
        <v>0.13835301564102359</v>
      </c>
      <c r="AM7">
        <v>0.121383026582775</v>
      </c>
      <c r="AN7">
        <v>2.8848402891904424E-2</v>
      </c>
      <c r="AP7">
        <f t="shared" si="2"/>
        <v>1.0000000028852485</v>
      </c>
      <c r="AQ7">
        <f t="shared" si="3"/>
        <v>1.0000000014426242</v>
      </c>
      <c r="AS7">
        <f t="shared" si="4"/>
        <v>7.0527085012005844E-2</v>
      </c>
      <c r="AT7">
        <f t="shared" si="5"/>
        <v>0.20572758029325799</v>
      </c>
      <c r="AU7">
        <f t="shared" si="6"/>
        <v>0.36468173532723885</v>
      </c>
      <c r="AV7">
        <f t="shared" si="7"/>
        <v>0.32927442825495318</v>
      </c>
      <c r="AW7">
        <f t="shared" si="8"/>
        <v>0.25556768935006691</v>
      </c>
      <c r="AX7">
        <f t="shared" si="9"/>
        <v>0.17008176818189011</v>
      </c>
      <c r="AY7">
        <f t="shared" si="10"/>
        <v>0.20310501602005626</v>
      </c>
      <c r="AZ7">
        <f t="shared" si="11"/>
        <v>0.17862243657992657</v>
      </c>
      <c r="BA7">
        <f t="shared" si="12"/>
        <v>0.19223047660191511</v>
      </c>
      <c r="BB7">
        <f t="shared" si="13"/>
        <v>0.16245416017273864</v>
      </c>
      <c r="BC7">
        <f t="shared" si="14"/>
        <v>8.9114147510932357E-2</v>
      </c>
      <c r="BD7">
        <f t="shared" si="15"/>
        <v>0.16519315568249876</v>
      </c>
      <c r="BE7">
        <f t="shared" si="16"/>
        <v>6.0047878322192355E-2</v>
      </c>
      <c r="BF7">
        <f t="shared" si="17"/>
        <v>0.15293292619871662</v>
      </c>
      <c r="BG7">
        <f t="shared" si="18"/>
        <v>0.13078380740988071</v>
      </c>
      <c r="BH7">
        <f t="shared" si="19"/>
        <v>0.10797867868435643</v>
      </c>
      <c r="BI7">
        <f t="shared" si="20"/>
        <v>0.14025542163109608</v>
      </c>
      <c r="BJ7">
        <f t="shared" si="21"/>
        <v>0.1201603651032148</v>
      </c>
      <c r="BK7">
        <f t="shared" si="22"/>
        <v>0.18385251935741803</v>
      </c>
      <c r="BL7">
        <f t="shared" si="23"/>
        <v>6.1459246745786192E-2</v>
      </c>
      <c r="BM7">
        <f t="shared" si="24"/>
        <v>4.1889861858150045E-2</v>
      </c>
      <c r="BN7">
        <f t="shared" si="25"/>
        <v>0.24320649122226687</v>
      </c>
      <c r="BO7">
        <f t="shared" si="26"/>
        <v>0.12401489023658555</v>
      </c>
      <c r="BP7">
        <f t="shared" si="27"/>
        <v>0.10819300353458829</v>
      </c>
      <c r="BQ7">
        <f t="shared" si="28"/>
        <v>0.13533265065431196</v>
      </c>
      <c r="BR7">
        <f t="shared" si="29"/>
        <v>0.17636823485036096</v>
      </c>
      <c r="BS7">
        <f t="shared" si="30"/>
        <v>0.16157501135026528</v>
      </c>
      <c r="BT7">
        <f t="shared" si="31"/>
        <v>6.7053541214038268E-2</v>
      </c>
      <c r="BU7">
        <f t="shared" si="32"/>
        <v>8.365991055468712E-2</v>
      </c>
      <c r="BV7">
        <f t="shared" si="33"/>
        <v>4.5949958827558729E-2</v>
      </c>
      <c r="BW7">
        <f t="shared" si="34"/>
        <v>0.13568179991523538</v>
      </c>
      <c r="BX7">
        <f t="shared" si="35"/>
        <v>0.11364570337858029</v>
      </c>
      <c r="BY7">
        <f t="shared" si="36"/>
        <v>0.15531931832252874</v>
      </c>
      <c r="BZ7">
        <f t="shared" si="37"/>
        <v>0.12577261142430493</v>
      </c>
      <c r="CA7">
        <f t="shared" si="38"/>
        <v>9.5563288388434017E-2</v>
      </c>
      <c r="CB7">
        <f t="shared" si="39"/>
        <v>0.16011016793406757</v>
      </c>
      <c r="CC7">
        <f t="shared" si="40"/>
        <v>0.13835301544143216</v>
      </c>
      <c r="CD7">
        <f t="shared" si="41"/>
        <v>0.12138302640766491</v>
      </c>
      <c r="CE7">
        <f t="shared" si="42"/>
        <v>2.884840285028702E-2</v>
      </c>
      <c r="CG7">
        <f t="shared" si="43"/>
        <v>0.99999999999999978</v>
      </c>
      <c r="CH7">
        <f t="shared" si="44"/>
        <v>0.99999999999999989</v>
      </c>
      <c r="CJ7">
        <f t="shared" si="45"/>
        <v>0.89767385229638297</v>
      </c>
    </row>
    <row r="8" spans="1:88" ht="14.4" x14ac:dyDescent="0.3">
      <c r="A8" s="5" t="s">
        <v>9</v>
      </c>
      <c r="B8">
        <v>7.0527085113749929E-2</v>
      </c>
      <c r="C8">
        <v>0.20572758059004559</v>
      </c>
      <c r="D8">
        <v>0.36468173585333757</v>
      </c>
      <c r="E8">
        <v>0.32927442872997242</v>
      </c>
      <c r="F8">
        <v>0.25556768971875504</v>
      </c>
      <c r="G8">
        <v>0.1700817684272542</v>
      </c>
      <c r="H8">
        <v>0.20310501631306049</v>
      </c>
      <c r="I8">
        <v>0.17862243683761164</v>
      </c>
      <c r="J8">
        <v>0.19223047687923145</v>
      </c>
      <c r="K8">
        <v>0.16245416040709895</v>
      </c>
      <c r="L8">
        <v>8.911414763949059E-2</v>
      </c>
      <c r="M8">
        <v>0.16519315592081041</v>
      </c>
      <c r="N8">
        <v>6.0047878408818881E-2</v>
      </c>
      <c r="O8">
        <v>0.15293292641934136</v>
      </c>
      <c r="P8">
        <v>0.1307838075985526</v>
      </c>
      <c r="Q8">
        <v>0.10797867884012909</v>
      </c>
      <c r="R8">
        <v>0.14025542183343195</v>
      </c>
      <c r="S8">
        <v>0.12016036527656106</v>
      </c>
      <c r="T8">
        <v>0.18385251962264812</v>
      </c>
      <c r="U8">
        <v>6.145924683444879E-2</v>
      </c>
      <c r="V8">
        <v>4.1889861918581378E-2</v>
      </c>
      <c r="W8">
        <v>0.24320649157312244</v>
      </c>
      <c r="X8">
        <v>0.12401489041549243</v>
      </c>
      <c r="Y8">
        <v>0.10819300369067014</v>
      </c>
      <c r="Z8">
        <v>0.13533265084954613</v>
      </c>
      <c r="AA8">
        <v>0.17636823510479405</v>
      </c>
      <c r="AB8">
        <v>0.1615750115833573</v>
      </c>
      <c r="AC8">
        <v>6.7053541310771334E-2</v>
      </c>
      <c r="AD8">
        <v>8.3659910675376939E-2</v>
      </c>
      <c r="AE8">
        <v>4.5949958893847252E-2</v>
      </c>
      <c r="AF8">
        <v>0.13568180011097322</v>
      </c>
      <c r="AG8">
        <v>0.11364570354252834</v>
      </c>
      <c r="AH8">
        <v>0.15531931854659614</v>
      </c>
      <c r="AI8">
        <v>0.12577261160574754</v>
      </c>
      <c r="AJ8">
        <v>9.5563288526295934E-2</v>
      </c>
      <c r="AK8">
        <v>0.16011016816504639</v>
      </c>
      <c r="AL8">
        <v>0.13835301564102359</v>
      </c>
      <c r="AM8">
        <v>0.121383026582775</v>
      </c>
      <c r="AN8">
        <v>2.8848402891904424E-2</v>
      </c>
      <c r="AP8">
        <f t="shared" si="2"/>
        <v>1.0000000028852485</v>
      </c>
      <c r="AQ8">
        <f t="shared" si="3"/>
        <v>1.0000000014426242</v>
      </c>
      <c r="AS8">
        <f t="shared" si="4"/>
        <v>7.0527085012005844E-2</v>
      </c>
      <c r="AT8">
        <f t="shared" si="5"/>
        <v>0.20572758029325799</v>
      </c>
      <c r="AU8">
        <f t="shared" si="6"/>
        <v>0.36468173532723885</v>
      </c>
      <c r="AV8">
        <f t="shared" si="7"/>
        <v>0.32927442825495318</v>
      </c>
      <c r="AW8">
        <f t="shared" si="8"/>
        <v>0.25556768935006691</v>
      </c>
      <c r="AX8">
        <f t="shared" si="9"/>
        <v>0.17008176818189011</v>
      </c>
      <c r="AY8">
        <f t="shared" si="10"/>
        <v>0.20310501602005626</v>
      </c>
      <c r="AZ8">
        <f t="shared" si="11"/>
        <v>0.17862243657992657</v>
      </c>
      <c r="BA8">
        <f t="shared" si="12"/>
        <v>0.19223047660191511</v>
      </c>
      <c r="BB8">
        <f t="shared" si="13"/>
        <v>0.16245416017273864</v>
      </c>
      <c r="BC8">
        <f t="shared" si="14"/>
        <v>8.9114147510932357E-2</v>
      </c>
      <c r="BD8">
        <f t="shared" si="15"/>
        <v>0.16519315568249876</v>
      </c>
      <c r="BE8">
        <f t="shared" si="16"/>
        <v>6.0047878322192355E-2</v>
      </c>
      <c r="BF8">
        <f t="shared" si="17"/>
        <v>0.15293292619871662</v>
      </c>
      <c r="BG8">
        <f t="shared" si="18"/>
        <v>0.13078380740988071</v>
      </c>
      <c r="BH8">
        <f t="shared" si="19"/>
        <v>0.10797867868435643</v>
      </c>
      <c r="BI8">
        <f t="shared" si="20"/>
        <v>0.14025542163109608</v>
      </c>
      <c r="BJ8">
        <f t="shared" si="21"/>
        <v>0.1201603651032148</v>
      </c>
      <c r="BK8">
        <f t="shared" si="22"/>
        <v>0.18385251935741803</v>
      </c>
      <c r="BL8">
        <f t="shared" si="23"/>
        <v>6.1459246745786192E-2</v>
      </c>
      <c r="BM8">
        <f t="shared" si="24"/>
        <v>4.1889861858150045E-2</v>
      </c>
      <c r="BN8">
        <f t="shared" si="25"/>
        <v>0.24320649122226687</v>
      </c>
      <c r="BO8">
        <f t="shared" si="26"/>
        <v>0.12401489023658555</v>
      </c>
      <c r="BP8">
        <f t="shared" si="27"/>
        <v>0.10819300353458829</v>
      </c>
      <c r="BQ8">
        <f t="shared" si="28"/>
        <v>0.13533265065431196</v>
      </c>
      <c r="BR8">
        <f t="shared" si="29"/>
        <v>0.17636823485036096</v>
      </c>
      <c r="BS8">
        <f t="shared" si="30"/>
        <v>0.16157501135026528</v>
      </c>
      <c r="BT8">
        <f t="shared" si="31"/>
        <v>6.7053541214038268E-2</v>
      </c>
      <c r="BU8">
        <f t="shared" si="32"/>
        <v>8.365991055468712E-2</v>
      </c>
      <c r="BV8">
        <f t="shared" si="33"/>
        <v>4.5949958827558729E-2</v>
      </c>
      <c r="BW8">
        <f t="shared" si="34"/>
        <v>0.13568179991523538</v>
      </c>
      <c r="BX8">
        <f t="shared" si="35"/>
        <v>0.11364570337858029</v>
      </c>
      <c r="BY8">
        <f t="shared" si="36"/>
        <v>0.15531931832252874</v>
      </c>
      <c r="BZ8">
        <f t="shared" si="37"/>
        <v>0.12577261142430493</v>
      </c>
      <c r="CA8">
        <f t="shared" si="38"/>
        <v>9.5563288388434017E-2</v>
      </c>
      <c r="CB8">
        <f t="shared" si="39"/>
        <v>0.16011016793406757</v>
      </c>
      <c r="CC8">
        <f t="shared" si="40"/>
        <v>0.13835301544143216</v>
      </c>
      <c r="CD8">
        <f t="shared" si="41"/>
        <v>0.12138302640766491</v>
      </c>
      <c r="CE8">
        <f t="shared" si="42"/>
        <v>2.884840285028702E-2</v>
      </c>
      <c r="CG8">
        <f t="shared" si="43"/>
        <v>0.99999999999999978</v>
      </c>
      <c r="CH8">
        <f t="shared" si="44"/>
        <v>0.99999999999999989</v>
      </c>
      <c r="CJ8">
        <f t="shared" si="45"/>
        <v>0.89767385229638297</v>
      </c>
    </row>
    <row r="9" spans="1:88" ht="14.4" x14ac:dyDescent="0.3">
      <c r="A9" s="5" t="s">
        <v>10</v>
      </c>
      <c r="B9">
        <v>7.0527085113749929E-2</v>
      </c>
      <c r="C9">
        <v>0.20572758059004559</v>
      </c>
      <c r="D9">
        <v>0.36468173585333757</v>
      </c>
      <c r="E9">
        <v>0.32927442872997242</v>
      </c>
      <c r="F9">
        <v>0.25556768971875504</v>
      </c>
      <c r="G9">
        <v>0.1700817684272542</v>
      </c>
      <c r="H9">
        <v>0.20310501631306049</v>
      </c>
      <c r="I9">
        <v>0.17862243683761164</v>
      </c>
      <c r="J9">
        <v>0.19223047687923145</v>
      </c>
      <c r="K9">
        <v>0.16245416040709895</v>
      </c>
      <c r="L9">
        <v>8.911414763949059E-2</v>
      </c>
      <c r="M9">
        <v>0.16519315592081041</v>
      </c>
      <c r="N9">
        <v>6.0047878408818881E-2</v>
      </c>
      <c r="O9">
        <v>0.15293292641934136</v>
      </c>
      <c r="P9">
        <v>0.1307838075985526</v>
      </c>
      <c r="Q9">
        <v>0.10797867884012909</v>
      </c>
      <c r="R9">
        <v>0.14025542183343195</v>
      </c>
      <c r="S9">
        <v>0.12016036527656106</v>
      </c>
      <c r="T9">
        <v>0.18385251962264812</v>
      </c>
      <c r="U9">
        <v>6.145924683444879E-2</v>
      </c>
      <c r="V9">
        <v>4.1889861918581378E-2</v>
      </c>
      <c r="W9">
        <v>0.24320649157312244</v>
      </c>
      <c r="X9">
        <v>0.12401489041549243</v>
      </c>
      <c r="Y9">
        <v>0.10819300369067014</v>
      </c>
      <c r="Z9">
        <v>0.13533265084954613</v>
      </c>
      <c r="AA9">
        <v>0.17636823510479405</v>
      </c>
      <c r="AB9">
        <v>0.1615750115833573</v>
      </c>
      <c r="AC9">
        <v>6.7053541310771334E-2</v>
      </c>
      <c r="AD9">
        <v>8.3659910675376939E-2</v>
      </c>
      <c r="AE9">
        <v>4.5949958893847252E-2</v>
      </c>
      <c r="AF9">
        <v>0.13568180011097322</v>
      </c>
      <c r="AG9">
        <v>0.11364570354252834</v>
      </c>
      <c r="AH9">
        <v>0.15531931854659614</v>
      </c>
      <c r="AI9">
        <v>0.12577261160574754</v>
      </c>
      <c r="AJ9">
        <v>9.5563288526295934E-2</v>
      </c>
      <c r="AK9">
        <v>0.16011016816504639</v>
      </c>
      <c r="AL9">
        <v>0.13835301564102359</v>
      </c>
      <c r="AM9">
        <v>0.121383026582775</v>
      </c>
      <c r="AN9">
        <v>2.8848402891904424E-2</v>
      </c>
      <c r="AP9">
        <f t="shared" si="2"/>
        <v>1.0000000028852485</v>
      </c>
      <c r="AQ9">
        <f t="shared" si="3"/>
        <v>1.0000000014426242</v>
      </c>
      <c r="AS9">
        <f t="shared" si="4"/>
        <v>7.0527085012005844E-2</v>
      </c>
      <c r="AT9">
        <f t="shared" si="5"/>
        <v>0.20572758029325799</v>
      </c>
      <c r="AU9">
        <f t="shared" si="6"/>
        <v>0.36468173532723885</v>
      </c>
      <c r="AV9">
        <f t="shared" si="7"/>
        <v>0.32927442825495318</v>
      </c>
      <c r="AW9">
        <f t="shared" si="8"/>
        <v>0.25556768935006691</v>
      </c>
      <c r="AX9">
        <f t="shared" si="9"/>
        <v>0.17008176818189011</v>
      </c>
      <c r="AY9">
        <f t="shared" si="10"/>
        <v>0.20310501602005626</v>
      </c>
      <c r="AZ9">
        <f t="shared" si="11"/>
        <v>0.17862243657992657</v>
      </c>
      <c r="BA9">
        <f t="shared" si="12"/>
        <v>0.19223047660191511</v>
      </c>
      <c r="BB9">
        <f t="shared" si="13"/>
        <v>0.16245416017273864</v>
      </c>
      <c r="BC9">
        <f t="shared" si="14"/>
        <v>8.9114147510932357E-2</v>
      </c>
      <c r="BD9">
        <f t="shared" si="15"/>
        <v>0.16519315568249876</v>
      </c>
      <c r="BE9">
        <f t="shared" si="16"/>
        <v>6.0047878322192355E-2</v>
      </c>
      <c r="BF9">
        <f t="shared" si="17"/>
        <v>0.15293292619871662</v>
      </c>
      <c r="BG9">
        <f t="shared" si="18"/>
        <v>0.13078380740988071</v>
      </c>
      <c r="BH9">
        <f t="shared" si="19"/>
        <v>0.10797867868435643</v>
      </c>
      <c r="BI9">
        <f t="shared" si="20"/>
        <v>0.14025542163109608</v>
      </c>
      <c r="BJ9">
        <f t="shared" si="21"/>
        <v>0.1201603651032148</v>
      </c>
      <c r="BK9">
        <f t="shared" si="22"/>
        <v>0.18385251935741803</v>
      </c>
      <c r="BL9">
        <f t="shared" si="23"/>
        <v>6.1459246745786192E-2</v>
      </c>
      <c r="BM9">
        <f t="shared" si="24"/>
        <v>4.1889861858150045E-2</v>
      </c>
      <c r="BN9">
        <f t="shared" si="25"/>
        <v>0.24320649122226687</v>
      </c>
      <c r="BO9">
        <f t="shared" si="26"/>
        <v>0.12401489023658555</v>
      </c>
      <c r="BP9">
        <f t="shared" si="27"/>
        <v>0.10819300353458829</v>
      </c>
      <c r="BQ9">
        <f t="shared" si="28"/>
        <v>0.13533265065431196</v>
      </c>
      <c r="BR9">
        <f t="shared" si="29"/>
        <v>0.17636823485036096</v>
      </c>
      <c r="BS9">
        <f t="shared" si="30"/>
        <v>0.16157501135026528</v>
      </c>
      <c r="BT9">
        <f t="shared" si="31"/>
        <v>6.7053541214038268E-2</v>
      </c>
      <c r="BU9">
        <f t="shared" si="32"/>
        <v>8.365991055468712E-2</v>
      </c>
      <c r="BV9">
        <f t="shared" si="33"/>
        <v>4.5949958827558729E-2</v>
      </c>
      <c r="BW9">
        <f t="shared" si="34"/>
        <v>0.13568179991523538</v>
      </c>
      <c r="BX9">
        <f t="shared" si="35"/>
        <v>0.11364570337858029</v>
      </c>
      <c r="BY9">
        <f t="shared" si="36"/>
        <v>0.15531931832252874</v>
      </c>
      <c r="BZ9">
        <f t="shared" si="37"/>
        <v>0.12577261142430493</v>
      </c>
      <c r="CA9">
        <f t="shared" si="38"/>
        <v>9.5563288388434017E-2</v>
      </c>
      <c r="CB9">
        <f t="shared" si="39"/>
        <v>0.16011016793406757</v>
      </c>
      <c r="CC9">
        <f t="shared" si="40"/>
        <v>0.13835301544143216</v>
      </c>
      <c r="CD9">
        <f t="shared" si="41"/>
        <v>0.12138302640766491</v>
      </c>
      <c r="CE9">
        <f t="shared" si="42"/>
        <v>2.884840285028702E-2</v>
      </c>
      <c r="CG9">
        <f t="shared" si="43"/>
        <v>0.99999999999999978</v>
      </c>
      <c r="CH9">
        <f t="shared" si="44"/>
        <v>0.99999999999999989</v>
      </c>
      <c r="CJ9">
        <f t="shared" si="45"/>
        <v>0.89767385229638297</v>
      </c>
    </row>
    <row r="10" spans="1:88" ht="14.4" x14ac:dyDescent="0.3">
      <c r="A10" s="5" t="s">
        <v>11</v>
      </c>
      <c r="B10">
        <v>7.0527085113749929E-2</v>
      </c>
      <c r="C10">
        <v>0.20572758059004559</v>
      </c>
      <c r="D10">
        <v>0.36468173585333757</v>
      </c>
      <c r="E10">
        <v>0.32927442872997242</v>
      </c>
      <c r="F10">
        <v>0.25556768971875504</v>
      </c>
      <c r="G10">
        <v>0.1700817684272542</v>
      </c>
      <c r="H10">
        <v>0.20310501631306049</v>
      </c>
      <c r="I10">
        <v>0.17862243683761164</v>
      </c>
      <c r="J10">
        <v>0.19223047687923145</v>
      </c>
      <c r="K10">
        <v>0.16245416040709895</v>
      </c>
      <c r="L10">
        <v>8.911414763949059E-2</v>
      </c>
      <c r="M10">
        <v>0.16519315592081041</v>
      </c>
      <c r="N10">
        <v>6.0047878408818881E-2</v>
      </c>
      <c r="O10">
        <v>0.15293292641934136</v>
      </c>
      <c r="P10">
        <v>0.1307838075985526</v>
      </c>
      <c r="Q10">
        <v>0.10797867884012909</v>
      </c>
      <c r="R10">
        <v>0.14025542183343195</v>
      </c>
      <c r="S10">
        <v>0.12016036527656106</v>
      </c>
      <c r="T10">
        <v>0.18385251962264812</v>
      </c>
      <c r="U10">
        <v>6.145924683444879E-2</v>
      </c>
      <c r="V10">
        <v>4.1889861918581378E-2</v>
      </c>
      <c r="W10">
        <v>0.24320649157312244</v>
      </c>
      <c r="X10">
        <v>0.12401489041549243</v>
      </c>
      <c r="Y10">
        <v>0.10819300369067014</v>
      </c>
      <c r="Z10">
        <v>0.13533265084954613</v>
      </c>
      <c r="AA10">
        <v>0.17636823510479405</v>
      </c>
      <c r="AB10">
        <v>0.1615750115833573</v>
      </c>
      <c r="AC10">
        <v>6.7053541310771334E-2</v>
      </c>
      <c r="AD10">
        <v>8.3659910675376939E-2</v>
      </c>
      <c r="AE10">
        <v>4.5949958893847252E-2</v>
      </c>
      <c r="AF10">
        <v>0.13568180011097322</v>
      </c>
      <c r="AG10">
        <v>0.11364570354252834</v>
      </c>
      <c r="AH10">
        <v>0.15531931854659614</v>
      </c>
      <c r="AI10">
        <v>0.12577261160574754</v>
      </c>
      <c r="AJ10">
        <v>9.5563288526295934E-2</v>
      </c>
      <c r="AK10">
        <v>0.16011016816504639</v>
      </c>
      <c r="AL10">
        <v>0.13835301564102359</v>
      </c>
      <c r="AM10">
        <v>0.121383026582775</v>
      </c>
      <c r="AN10">
        <v>2.8848402891904424E-2</v>
      </c>
      <c r="AP10">
        <f t="shared" si="2"/>
        <v>1.0000000028852485</v>
      </c>
      <c r="AQ10">
        <f t="shared" si="3"/>
        <v>1.0000000014426242</v>
      </c>
      <c r="AS10">
        <f t="shared" si="4"/>
        <v>7.0527085012005844E-2</v>
      </c>
      <c r="AT10">
        <f t="shared" si="5"/>
        <v>0.20572758029325799</v>
      </c>
      <c r="AU10">
        <f t="shared" si="6"/>
        <v>0.36468173532723885</v>
      </c>
      <c r="AV10">
        <f t="shared" si="7"/>
        <v>0.32927442825495318</v>
      </c>
      <c r="AW10">
        <f t="shared" si="8"/>
        <v>0.25556768935006691</v>
      </c>
      <c r="AX10">
        <f t="shared" si="9"/>
        <v>0.17008176818189011</v>
      </c>
      <c r="AY10">
        <f t="shared" si="10"/>
        <v>0.20310501602005626</v>
      </c>
      <c r="AZ10">
        <f t="shared" si="11"/>
        <v>0.17862243657992657</v>
      </c>
      <c r="BA10">
        <f t="shared" si="12"/>
        <v>0.19223047660191511</v>
      </c>
      <c r="BB10">
        <f t="shared" si="13"/>
        <v>0.16245416017273864</v>
      </c>
      <c r="BC10">
        <f t="shared" si="14"/>
        <v>8.9114147510932357E-2</v>
      </c>
      <c r="BD10">
        <f t="shared" si="15"/>
        <v>0.16519315568249876</v>
      </c>
      <c r="BE10">
        <f t="shared" si="16"/>
        <v>6.0047878322192355E-2</v>
      </c>
      <c r="BF10">
        <f t="shared" si="17"/>
        <v>0.15293292619871662</v>
      </c>
      <c r="BG10">
        <f t="shared" si="18"/>
        <v>0.13078380740988071</v>
      </c>
      <c r="BH10">
        <f t="shared" si="19"/>
        <v>0.10797867868435643</v>
      </c>
      <c r="BI10">
        <f t="shared" si="20"/>
        <v>0.14025542163109608</v>
      </c>
      <c r="BJ10">
        <f t="shared" si="21"/>
        <v>0.1201603651032148</v>
      </c>
      <c r="BK10">
        <f t="shared" si="22"/>
        <v>0.18385251935741803</v>
      </c>
      <c r="BL10">
        <f t="shared" si="23"/>
        <v>6.1459246745786192E-2</v>
      </c>
      <c r="BM10">
        <f t="shared" si="24"/>
        <v>4.1889861858150045E-2</v>
      </c>
      <c r="BN10">
        <f t="shared" si="25"/>
        <v>0.24320649122226687</v>
      </c>
      <c r="BO10">
        <f t="shared" si="26"/>
        <v>0.12401489023658555</v>
      </c>
      <c r="BP10">
        <f t="shared" si="27"/>
        <v>0.10819300353458829</v>
      </c>
      <c r="BQ10">
        <f t="shared" si="28"/>
        <v>0.13533265065431196</v>
      </c>
      <c r="BR10">
        <f t="shared" si="29"/>
        <v>0.17636823485036096</v>
      </c>
      <c r="BS10">
        <f t="shared" si="30"/>
        <v>0.16157501135026528</v>
      </c>
      <c r="BT10">
        <f t="shared" si="31"/>
        <v>6.7053541214038268E-2</v>
      </c>
      <c r="BU10">
        <f t="shared" si="32"/>
        <v>8.365991055468712E-2</v>
      </c>
      <c r="BV10">
        <f t="shared" si="33"/>
        <v>4.5949958827558729E-2</v>
      </c>
      <c r="BW10">
        <f t="shared" si="34"/>
        <v>0.13568179991523538</v>
      </c>
      <c r="BX10">
        <f t="shared" si="35"/>
        <v>0.11364570337858029</v>
      </c>
      <c r="BY10">
        <f t="shared" si="36"/>
        <v>0.15531931832252874</v>
      </c>
      <c r="BZ10">
        <f t="shared" si="37"/>
        <v>0.12577261142430493</v>
      </c>
      <c r="CA10">
        <f t="shared" si="38"/>
        <v>9.5563288388434017E-2</v>
      </c>
      <c r="CB10">
        <f t="shared" si="39"/>
        <v>0.16011016793406757</v>
      </c>
      <c r="CC10">
        <f t="shared" si="40"/>
        <v>0.13835301544143216</v>
      </c>
      <c r="CD10">
        <f t="shared" si="41"/>
        <v>0.12138302640766491</v>
      </c>
      <c r="CE10">
        <f t="shared" si="42"/>
        <v>2.884840285028702E-2</v>
      </c>
      <c r="CG10">
        <f t="shared" si="43"/>
        <v>0.99999999999999978</v>
      </c>
      <c r="CH10">
        <f t="shared" si="44"/>
        <v>0.99999999999999989</v>
      </c>
      <c r="CJ10">
        <f t="shared" si="45"/>
        <v>0.89767385229638297</v>
      </c>
    </row>
    <row r="11" spans="1:88" ht="14.4" x14ac:dyDescent="0.3">
      <c r="A11" s="5" t="s">
        <v>12</v>
      </c>
      <c r="B11">
        <v>7.0527085113749929E-2</v>
      </c>
      <c r="C11">
        <v>0.20572758059004559</v>
      </c>
      <c r="D11">
        <v>0.36468173585333757</v>
      </c>
      <c r="E11">
        <v>0.32927442872997242</v>
      </c>
      <c r="F11">
        <v>0.25556768971875504</v>
      </c>
      <c r="G11">
        <v>0.1700817684272542</v>
      </c>
      <c r="H11">
        <v>0.20310501631306049</v>
      </c>
      <c r="I11">
        <v>0.17862243683761164</v>
      </c>
      <c r="J11">
        <v>0.19223047687923145</v>
      </c>
      <c r="K11">
        <v>0.16245416040709895</v>
      </c>
      <c r="L11">
        <v>8.911414763949059E-2</v>
      </c>
      <c r="M11">
        <v>0.16519315592081041</v>
      </c>
      <c r="N11">
        <v>6.0047878408818881E-2</v>
      </c>
      <c r="O11">
        <v>0.15293292641934136</v>
      </c>
      <c r="P11">
        <v>0.1307838075985526</v>
      </c>
      <c r="Q11">
        <v>0.10797867884012909</v>
      </c>
      <c r="R11">
        <v>0.14025542183343195</v>
      </c>
      <c r="S11">
        <v>0.12016036527656106</v>
      </c>
      <c r="T11">
        <v>0.18385251962264812</v>
      </c>
      <c r="U11">
        <v>6.145924683444879E-2</v>
      </c>
      <c r="V11">
        <v>4.1889861918581378E-2</v>
      </c>
      <c r="W11">
        <v>0.24320649157312244</v>
      </c>
      <c r="X11">
        <v>0.12401489041549243</v>
      </c>
      <c r="Y11">
        <v>0.10819300369067014</v>
      </c>
      <c r="Z11">
        <v>0.13533265084954613</v>
      </c>
      <c r="AA11">
        <v>0.17636823510479405</v>
      </c>
      <c r="AB11">
        <v>0.1615750115833573</v>
      </c>
      <c r="AC11">
        <v>6.7053541310771334E-2</v>
      </c>
      <c r="AD11">
        <v>8.3659910675376939E-2</v>
      </c>
      <c r="AE11">
        <v>4.5949958893847252E-2</v>
      </c>
      <c r="AF11">
        <v>0.13568180011097322</v>
      </c>
      <c r="AG11">
        <v>0.11364570354252834</v>
      </c>
      <c r="AH11">
        <v>0.15531931854659614</v>
      </c>
      <c r="AI11">
        <v>0.12577261160574754</v>
      </c>
      <c r="AJ11">
        <v>9.5563288526295934E-2</v>
      </c>
      <c r="AK11">
        <v>0.16011016816504639</v>
      </c>
      <c r="AL11">
        <v>0.13835301564102359</v>
      </c>
      <c r="AM11">
        <v>0.121383026582775</v>
      </c>
      <c r="AN11">
        <v>2.8848402891904424E-2</v>
      </c>
      <c r="AP11">
        <f t="shared" si="2"/>
        <v>1.0000000028852485</v>
      </c>
      <c r="AQ11">
        <f t="shared" si="3"/>
        <v>1.0000000014426242</v>
      </c>
      <c r="AS11">
        <f t="shared" si="4"/>
        <v>7.0527085012005844E-2</v>
      </c>
      <c r="AT11">
        <f t="shared" si="5"/>
        <v>0.20572758029325799</v>
      </c>
      <c r="AU11">
        <f t="shared" si="6"/>
        <v>0.36468173532723885</v>
      </c>
      <c r="AV11">
        <f t="shared" si="7"/>
        <v>0.32927442825495318</v>
      </c>
      <c r="AW11">
        <f t="shared" si="8"/>
        <v>0.25556768935006691</v>
      </c>
      <c r="AX11">
        <f t="shared" si="9"/>
        <v>0.17008176818189011</v>
      </c>
      <c r="AY11">
        <f t="shared" si="10"/>
        <v>0.20310501602005626</v>
      </c>
      <c r="AZ11">
        <f t="shared" si="11"/>
        <v>0.17862243657992657</v>
      </c>
      <c r="BA11">
        <f t="shared" si="12"/>
        <v>0.19223047660191511</v>
      </c>
      <c r="BB11">
        <f t="shared" si="13"/>
        <v>0.16245416017273864</v>
      </c>
      <c r="BC11">
        <f t="shared" si="14"/>
        <v>8.9114147510932357E-2</v>
      </c>
      <c r="BD11">
        <f t="shared" si="15"/>
        <v>0.16519315568249876</v>
      </c>
      <c r="BE11">
        <f t="shared" si="16"/>
        <v>6.0047878322192355E-2</v>
      </c>
      <c r="BF11">
        <f t="shared" si="17"/>
        <v>0.15293292619871662</v>
      </c>
      <c r="BG11">
        <f t="shared" si="18"/>
        <v>0.13078380740988071</v>
      </c>
      <c r="BH11">
        <f t="shared" si="19"/>
        <v>0.10797867868435643</v>
      </c>
      <c r="BI11">
        <f t="shared" si="20"/>
        <v>0.14025542163109608</v>
      </c>
      <c r="BJ11">
        <f t="shared" si="21"/>
        <v>0.1201603651032148</v>
      </c>
      <c r="BK11">
        <f t="shared" si="22"/>
        <v>0.18385251935741803</v>
      </c>
      <c r="BL11">
        <f t="shared" si="23"/>
        <v>6.1459246745786192E-2</v>
      </c>
      <c r="BM11">
        <f t="shared" si="24"/>
        <v>4.1889861858150045E-2</v>
      </c>
      <c r="BN11">
        <f t="shared" si="25"/>
        <v>0.24320649122226687</v>
      </c>
      <c r="BO11">
        <f t="shared" si="26"/>
        <v>0.12401489023658555</v>
      </c>
      <c r="BP11">
        <f t="shared" si="27"/>
        <v>0.10819300353458829</v>
      </c>
      <c r="BQ11">
        <f t="shared" si="28"/>
        <v>0.13533265065431196</v>
      </c>
      <c r="BR11">
        <f t="shared" si="29"/>
        <v>0.17636823485036096</v>
      </c>
      <c r="BS11">
        <f t="shared" si="30"/>
        <v>0.16157501135026528</v>
      </c>
      <c r="BT11">
        <f t="shared" si="31"/>
        <v>6.7053541214038268E-2</v>
      </c>
      <c r="BU11">
        <f t="shared" si="32"/>
        <v>8.365991055468712E-2</v>
      </c>
      <c r="BV11">
        <f t="shared" si="33"/>
        <v>4.5949958827558729E-2</v>
      </c>
      <c r="BW11">
        <f t="shared" si="34"/>
        <v>0.13568179991523538</v>
      </c>
      <c r="BX11">
        <f t="shared" si="35"/>
        <v>0.11364570337858029</v>
      </c>
      <c r="BY11">
        <f t="shared" si="36"/>
        <v>0.15531931832252874</v>
      </c>
      <c r="BZ11">
        <f t="shared" si="37"/>
        <v>0.12577261142430493</v>
      </c>
      <c r="CA11">
        <f t="shared" si="38"/>
        <v>9.5563288388434017E-2</v>
      </c>
      <c r="CB11">
        <f t="shared" si="39"/>
        <v>0.16011016793406757</v>
      </c>
      <c r="CC11">
        <f t="shared" si="40"/>
        <v>0.13835301544143216</v>
      </c>
      <c r="CD11">
        <f t="shared" si="41"/>
        <v>0.12138302640766491</v>
      </c>
      <c r="CE11">
        <f t="shared" si="42"/>
        <v>2.884840285028702E-2</v>
      </c>
      <c r="CG11">
        <f t="shared" si="43"/>
        <v>0.99999999999999978</v>
      </c>
      <c r="CH11">
        <f t="shared" si="44"/>
        <v>0.99999999999999989</v>
      </c>
      <c r="CJ11">
        <f t="shared" si="45"/>
        <v>0.89767385229638297</v>
      </c>
    </row>
    <row r="12" spans="1:88" ht="14.4" x14ac:dyDescent="0.3">
      <c r="A12" s="5" t="s">
        <v>13</v>
      </c>
      <c r="B12">
        <v>7.0527085113749929E-2</v>
      </c>
      <c r="C12">
        <v>0.20572758059004559</v>
      </c>
      <c r="D12">
        <v>0.36468173585333757</v>
      </c>
      <c r="E12">
        <v>0.32927442872997242</v>
      </c>
      <c r="F12">
        <v>0.25556768971875504</v>
      </c>
      <c r="G12">
        <v>0.1700817684272542</v>
      </c>
      <c r="H12">
        <v>0.20310501631306049</v>
      </c>
      <c r="I12">
        <v>0.17862243683761164</v>
      </c>
      <c r="J12">
        <v>0.19223047687923145</v>
      </c>
      <c r="K12">
        <v>0.16245416040709895</v>
      </c>
      <c r="L12">
        <v>8.911414763949059E-2</v>
      </c>
      <c r="M12">
        <v>0.16519315592081041</v>
      </c>
      <c r="N12">
        <v>6.0047878408818881E-2</v>
      </c>
      <c r="O12">
        <v>0.15293292641934136</v>
      </c>
      <c r="P12">
        <v>0.1307838075985526</v>
      </c>
      <c r="Q12">
        <v>0.10797867884012909</v>
      </c>
      <c r="R12">
        <v>0.14025542183343195</v>
      </c>
      <c r="S12">
        <v>0.12016036527656106</v>
      </c>
      <c r="T12">
        <v>0.18385251962264812</v>
      </c>
      <c r="U12">
        <v>6.145924683444879E-2</v>
      </c>
      <c r="V12">
        <v>4.1889861918581378E-2</v>
      </c>
      <c r="W12">
        <v>0.24320649157312244</v>
      </c>
      <c r="X12">
        <v>0.12401489041549243</v>
      </c>
      <c r="Y12">
        <v>0.10819300369067014</v>
      </c>
      <c r="Z12">
        <v>0.13533265084954613</v>
      </c>
      <c r="AA12">
        <v>0.17636823510479405</v>
      </c>
      <c r="AB12">
        <v>0.1615750115833573</v>
      </c>
      <c r="AC12">
        <v>6.7053541310771334E-2</v>
      </c>
      <c r="AD12">
        <v>8.3659910675376939E-2</v>
      </c>
      <c r="AE12">
        <v>4.5949958893847252E-2</v>
      </c>
      <c r="AF12">
        <v>0.13568180011097322</v>
      </c>
      <c r="AG12">
        <v>0.11364570354252834</v>
      </c>
      <c r="AH12">
        <v>0.15531931854659614</v>
      </c>
      <c r="AI12">
        <v>0.12577261160574754</v>
      </c>
      <c r="AJ12">
        <v>9.5563288526295934E-2</v>
      </c>
      <c r="AK12">
        <v>0.16011016816504639</v>
      </c>
      <c r="AL12">
        <v>0.13835301564102359</v>
      </c>
      <c r="AM12">
        <v>0.121383026582775</v>
      </c>
      <c r="AN12">
        <v>2.8848402891904424E-2</v>
      </c>
      <c r="AP12">
        <f t="shared" si="2"/>
        <v>1.0000000028852485</v>
      </c>
      <c r="AQ12">
        <f t="shared" si="3"/>
        <v>1.0000000014426242</v>
      </c>
      <c r="AS12">
        <f t="shared" si="4"/>
        <v>7.0527085012005844E-2</v>
      </c>
      <c r="AT12">
        <f t="shared" si="5"/>
        <v>0.20572758029325799</v>
      </c>
      <c r="AU12">
        <f t="shared" si="6"/>
        <v>0.36468173532723885</v>
      </c>
      <c r="AV12">
        <f t="shared" si="7"/>
        <v>0.32927442825495318</v>
      </c>
      <c r="AW12">
        <f t="shared" si="8"/>
        <v>0.25556768935006691</v>
      </c>
      <c r="AX12">
        <f t="shared" si="9"/>
        <v>0.17008176818189011</v>
      </c>
      <c r="AY12">
        <f t="shared" si="10"/>
        <v>0.20310501602005626</v>
      </c>
      <c r="AZ12">
        <f t="shared" si="11"/>
        <v>0.17862243657992657</v>
      </c>
      <c r="BA12">
        <f t="shared" si="12"/>
        <v>0.19223047660191511</v>
      </c>
      <c r="BB12">
        <f t="shared" si="13"/>
        <v>0.16245416017273864</v>
      </c>
      <c r="BC12">
        <f t="shared" si="14"/>
        <v>8.9114147510932357E-2</v>
      </c>
      <c r="BD12">
        <f t="shared" si="15"/>
        <v>0.16519315568249876</v>
      </c>
      <c r="BE12">
        <f t="shared" si="16"/>
        <v>6.0047878322192355E-2</v>
      </c>
      <c r="BF12">
        <f t="shared" si="17"/>
        <v>0.15293292619871662</v>
      </c>
      <c r="BG12">
        <f t="shared" si="18"/>
        <v>0.13078380740988071</v>
      </c>
      <c r="BH12">
        <f t="shared" si="19"/>
        <v>0.10797867868435643</v>
      </c>
      <c r="BI12">
        <f t="shared" si="20"/>
        <v>0.14025542163109608</v>
      </c>
      <c r="BJ12">
        <f t="shared" si="21"/>
        <v>0.1201603651032148</v>
      </c>
      <c r="BK12">
        <f t="shared" si="22"/>
        <v>0.18385251935741803</v>
      </c>
      <c r="BL12">
        <f t="shared" si="23"/>
        <v>6.1459246745786192E-2</v>
      </c>
      <c r="BM12">
        <f t="shared" si="24"/>
        <v>4.1889861858150045E-2</v>
      </c>
      <c r="BN12">
        <f t="shared" si="25"/>
        <v>0.24320649122226687</v>
      </c>
      <c r="BO12">
        <f t="shared" si="26"/>
        <v>0.12401489023658555</v>
      </c>
      <c r="BP12">
        <f t="shared" si="27"/>
        <v>0.10819300353458829</v>
      </c>
      <c r="BQ12">
        <f t="shared" si="28"/>
        <v>0.13533265065431196</v>
      </c>
      <c r="BR12">
        <f t="shared" si="29"/>
        <v>0.17636823485036096</v>
      </c>
      <c r="BS12">
        <f t="shared" si="30"/>
        <v>0.16157501135026528</v>
      </c>
      <c r="BT12">
        <f t="shared" si="31"/>
        <v>6.7053541214038268E-2</v>
      </c>
      <c r="BU12">
        <f t="shared" si="32"/>
        <v>8.365991055468712E-2</v>
      </c>
      <c r="BV12">
        <f t="shared" si="33"/>
        <v>4.5949958827558729E-2</v>
      </c>
      <c r="BW12">
        <f t="shared" si="34"/>
        <v>0.13568179991523538</v>
      </c>
      <c r="BX12">
        <f t="shared" si="35"/>
        <v>0.11364570337858029</v>
      </c>
      <c r="BY12">
        <f t="shared" si="36"/>
        <v>0.15531931832252874</v>
      </c>
      <c r="BZ12">
        <f t="shared" si="37"/>
        <v>0.12577261142430493</v>
      </c>
      <c r="CA12">
        <f t="shared" si="38"/>
        <v>9.5563288388434017E-2</v>
      </c>
      <c r="CB12">
        <f t="shared" si="39"/>
        <v>0.16011016793406757</v>
      </c>
      <c r="CC12">
        <f t="shared" si="40"/>
        <v>0.13835301544143216</v>
      </c>
      <c r="CD12">
        <f t="shared" si="41"/>
        <v>0.12138302640766491</v>
      </c>
      <c r="CE12">
        <f t="shared" si="42"/>
        <v>2.884840285028702E-2</v>
      </c>
      <c r="CG12">
        <f t="shared" si="43"/>
        <v>0.99999999999999978</v>
      </c>
      <c r="CH12">
        <f t="shared" si="44"/>
        <v>0.99999999999999989</v>
      </c>
      <c r="CJ12">
        <f t="shared" si="45"/>
        <v>0.89767385229638297</v>
      </c>
    </row>
    <row r="13" spans="1:88" ht="14.4" x14ac:dyDescent="0.3">
      <c r="A13" s="5" t="s">
        <v>14</v>
      </c>
      <c r="B13">
        <v>7.0527085113749929E-2</v>
      </c>
      <c r="C13">
        <v>0.20572758059004559</v>
      </c>
      <c r="D13">
        <v>0.36468173585333757</v>
      </c>
      <c r="E13">
        <v>0.32927442872997242</v>
      </c>
      <c r="F13">
        <v>0.25556768971875504</v>
      </c>
      <c r="G13">
        <v>0.1700817684272542</v>
      </c>
      <c r="H13">
        <v>0.20310501631306049</v>
      </c>
      <c r="I13">
        <v>0.17862243683761164</v>
      </c>
      <c r="J13">
        <v>0.19223047687923145</v>
      </c>
      <c r="K13">
        <v>0.16245416040709895</v>
      </c>
      <c r="L13">
        <v>8.911414763949059E-2</v>
      </c>
      <c r="M13">
        <v>0.16519315592081041</v>
      </c>
      <c r="N13">
        <v>6.0047878408818881E-2</v>
      </c>
      <c r="O13">
        <v>0.15293292641934136</v>
      </c>
      <c r="P13">
        <v>0.1307838075985526</v>
      </c>
      <c r="Q13">
        <v>0.10797867884012909</v>
      </c>
      <c r="R13">
        <v>0.14025542183343195</v>
      </c>
      <c r="S13">
        <v>0.12016036527656106</v>
      </c>
      <c r="T13">
        <v>0.18385251962264812</v>
      </c>
      <c r="U13">
        <v>6.145924683444879E-2</v>
      </c>
      <c r="V13">
        <v>4.1889861918581378E-2</v>
      </c>
      <c r="W13">
        <v>0.24320649157312244</v>
      </c>
      <c r="X13">
        <v>0.12401489041549243</v>
      </c>
      <c r="Y13">
        <v>0.10819300369067014</v>
      </c>
      <c r="Z13">
        <v>0.13533265084954613</v>
      </c>
      <c r="AA13">
        <v>0.17636823510479405</v>
      </c>
      <c r="AB13">
        <v>0.1615750115833573</v>
      </c>
      <c r="AC13">
        <v>6.7053541310771334E-2</v>
      </c>
      <c r="AD13">
        <v>8.3659910675376939E-2</v>
      </c>
      <c r="AE13">
        <v>4.5949958893847252E-2</v>
      </c>
      <c r="AF13">
        <v>0.13568180011097322</v>
      </c>
      <c r="AG13">
        <v>0.11364570354252834</v>
      </c>
      <c r="AH13">
        <v>0.15531931854659614</v>
      </c>
      <c r="AI13">
        <v>0.12577261160574754</v>
      </c>
      <c r="AJ13">
        <v>9.5563288526295934E-2</v>
      </c>
      <c r="AK13">
        <v>0.16011016816504639</v>
      </c>
      <c r="AL13">
        <v>0.13835301564102359</v>
      </c>
      <c r="AM13">
        <v>0.121383026582775</v>
      </c>
      <c r="AN13">
        <v>2.8848402891904424E-2</v>
      </c>
      <c r="AP13">
        <f t="shared" si="2"/>
        <v>1.0000000028852485</v>
      </c>
      <c r="AQ13">
        <f t="shared" si="3"/>
        <v>1.0000000014426242</v>
      </c>
      <c r="AS13">
        <f t="shared" si="4"/>
        <v>7.0527085012005844E-2</v>
      </c>
      <c r="AT13">
        <f t="shared" si="5"/>
        <v>0.20572758029325799</v>
      </c>
      <c r="AU13">
        <f t="shared" si="6"/>
        <v>0.36468173532723885</v>
      </c>
      <c r="AV13">
        <f t="shared" si="7"/>
        <v>0.32927442825495318</v>
      </c>
      <c r="AW13">
        <f t="shared" si="8"/>
        <v>0.25556768935006691</v>
      </c>
      <c r="AX13">
        <f t="shared" si="9"/>
        <v>0.17008176818189011</v>
      </c>
      <c r="AY13">
        <f t="shared" si="10"/>
        <v>0.20310501602005626</v>
      </c>
      <c r="AZ13">
        <f t="shared" si="11"/>
        <v>0.17862243657992657</v>
      </c>
      <c r="BA13">
        <f t="shared" si="12"/>
        <v>0.19223047660191511</v>
      </c>
      <c r="BB13">
        <f t="shared" si="13"/>
        <v>0.16245416017273864</v>
      </c>
      <c r="BC13">
        <f t="shared" si="14"/>
        <v>8.9114147510932357E-2</v>
      </c>
      <c r="BD13">
        <f t="shared" si="15"/>
        <v>0.16519315568249876</v>
      </c>
      <c r="BE13">
        <f t="shared" si="16"/>
        <v>6.0047878322192355E-2</v>
      </c>
      <c r="BF13">
        <f t="shared" si="17"/>
        <v>0.15293292619871662</v>
      </c>
      <c r="BG13">
        <f t="shared" si="18"/>
        <v>0.13078380740988071</v>
      </c>
      <c r="BH13">
        <f t="shared" si="19"/>
        <v>0.10797867868435643</v>
      </c>
      <c r="BI13">
        <f t="shared" si="20"/>
        <v>0.14025542163109608</v>
      </c>
      <c r="BJ13">
        <f t="shared" si="21"/>
        <v>0.1201603651032148</v>
      </c>
      <c r="BK13">
        <f t="shared" si="22"/>
        <v>0.18385251935741803</v>
      </c>
      <c r="BL13">
        <f t="shared" si="23"/>
        <v>6.1459246745786192E-2</v>
      </c>
      <c r="BM13">
        <f t="shared" si="24"/>
        <v>4.1889861858150045E-2</v>
      </c>
      <c r="BN13">
        <f t="shared" si="25"/>
        <v>0.24320649122226687</v>
      </c>
      <c r="BO13">
        <f t="shared" si="26"/>
        <v>0.12401489023658555</v>
      </c>
      <c r="BP13">
        <f t="shared" si="27"/>
        <v>0.10819300353458829</v>
      </c>
      <c r="BQ13">
        <f t="shared" si="28"/>
        <v>0.13533265065431196</v>
      </c>
      <c r="BR13">
        <f t="shared" si="29"/>
        <v>0.17636823485036096</v>
      </c>
      <c r="BS13">
        <f t="shared" si="30"/>
        <v>0.16157501135026528</v>
      </c>
      <c r="BT13">
        <f t="shared" si="31"/>
        <v>6.7053541214038268E-2</v>
      </c>
      <c r="BU13">
        <f t="shared" si="32"/>
        <v>8.365991055468712E-2</v>
      </c>
      <c r="BV13">
        <f t="shared" si="33"/>
        <v>4.5949958827558729E-2</v>
      </c>
      <c r="BW13">
        <f t="shared" si="34"/>
        <v>0.13568179991523538</v>
      </c>
      <c r="BX13">
        <f t="shared" si="35"/>
        <v>0.11364570337858029</v>
      </c>
      <c r="BY13">
        <f t="shared" si="36"/>
        <v>0.15531931832252874</v>
      </c>
      <c r="BZ13">
        <f t="shared" si="37"/>
        <v>0.12577261142430493</v>
      </c>
      <c r="CA13">
        <f t="shared" si="38"/>
        <v>9.5563288388434017E-2</v>
      </c>
      <c r="CB13">
        <f t="shared" si="39"/>
        <v>0.16011016793406757</v>
      </c>
      <c r="CC13">
        <f t="shared" si="40"/>
        <v>0.13835301544143216</v>
      </c>
      <c r="CD13">
        <f t="shared" si="41"/>
        <v>0.12138302640766491</v>
      </c>
      <c r="CE13">
        <f t="shared" si="42"/>
        <v>2.884840285028702E-2</v>
      </c>
      <c r="CG13">
        <f t="shared" si="43"/>
        <v>0.99999999999999978</v>
      </c>
      <c r="CH13">
        <f t="shared" si="44"/>
        <v>0.99999999999999989</v>
      </c>
      <c r="CJ13">
        <f t="shared" si="45"/>
        <v>0.89767385229638297</v>
      </c>
    </row>
    <row r="14" spans="1:88" ht="14.4" x14ac:dyDescent="0.3">
      <c r="A14" s="5" t="s">
        <v>15</v>
      </c>
      <c r="B14">
        <v>7.0527085113749929E-2</v>
      </c>
      <c r="C14">
        <v>0.20572758059004559</v>
      </c>
      <c r="D14">
        <v>0.36468173585333757</v>
      </c>
      <c r="E14">
        <v>0.32927442872997242</v>
      </c>
      <c r="F14">
        <v>0.25556768971875504</v>
      </c>
      <c r="G14">
        <v>0.1700817684272542</v>
      </c>
      <c r="H14">
        <v>0.20310501631306049</v>
      </c>
      <c r="I14">
        <v>0.17862243683761164</v>
      </c>
      <c r="J14">
        <v>0.19223047687923145</v>
      </c>
      <c r="K14">
        <v>0.16245416040709895</v>
      </c>
      <c r="L14">
        <v>8.911414763949059E-2</v>
      </c>
      <c r="M14">
        <v>0.16519315592081041</v>
      </c>
      <c r="N14">
        <v>6.0047878408818881E-2</v>
      </c>
      <c r="O14">
        <v>0.15293292641934136</v>
      </c>
      <c r="P14">
        <v>0.1307838075985526</v>
      </c>
      <c r="Q14">
        <v>0.10797867884012909</v>
      </c>
      <c r="R14">
        <v>0.14025542183343195</v>
      </c>
      <c r="S14">
        <v>0.12016036527656106</v>
      </c>
      <c r="T14">
        <v>0.18385251962264812</v>
      </c>
      <c r="U14">
        <v>6.145924683444879E-2</v>
      </c>
      <c r="V14">
        <v>4.1889861918581378E-2</v>
      </c>
      <c r="W14">
        <v>0.24320649157312244</v>
      </c>
      <c r="X14">
        <v>0.12401489041549243</v>
      </c>
      <c r="Y14">
        <v>0.10819300369067014</v>
      </c>
      <c r="Z14">
        <v>0.13533265084954613</v>
      </c>
      <c r="AA14">
        <v>0.17636823510479405</v>
      </c>
      <c r="AB14">
        <v>0.1615750115833573</v>
      </c>
      <c r="AC14">
        <v>6.7053541310771334E-2</v>
      </c>
      <c r="AD14">
        <v>8.3659910675376939E-2</v>
      </c>
      <c r="AE14">
        <v>4.5949958893847252E-2</v>
      </c>
      <c r="AF14">
        <v>0.13568180011097322</v>
      </c>
      <c r="AG14">
        <v>0.11364570354252834</v>
      </c>
      <c r="AH14">
        <v>0.15531931854659614</v>
      </c>
      <c r="AI14">
        <v>0.12577261160574754</v>
      </c>
      <c r="AJ14">
        <v>9.5563288526295934E-2</v>
      </c>
      <c r="AK14">
        <v>0.16011016816504639</v>
      </c>
      <c r="AL14">
        <v>0.13835301564102359</v>
      </c>
      <c r="AM14">
        <v>0.121383026582775</v>
      </c>
      <c r="AN14">
        <v>2.8848402891904424E-2</v>
      </c>
      <c r="AP14">
        <f t="shared" si="2"/>
        <v>1.0000000028852485</v>
      </c>
      <c r="AQ14">
        <f t="shared" si="3"/>
        <v>1.0000000014426242</v>
      </c>
      <c r="AS14">
        <f t="shared" si="4"/>
        <v>7.0527085012005844E-2</v>
      </c>
      <c r="AT14">
        <f t="shared" si="5"/>
        <v>0.20572758029325799</v>
      </c>
      <c r="AU14">
        <f t="shared" si="6"/>
        <v>0.36468173532723885</v>
      </c>
      <c r="AV14">
        <f t="shared" si="7"/>
        <v>0.32927442825495318</v>
      </c>
      <c r="AW14">
        <f t="shared" si="8"/>
        <v>0.25556768935006691</v>
      </c>
      <c r="AX14">
        <f t="shared" si="9"/>
        <v>0.17008176818189011</v>
      </c>
      <c r="AY14">
        <f t="shared" si="10"/>
        <v>0.20310501602005626</v>
      </c>
      <c r="AZ14">
        <f t="shared" si="11"/>
        <v>0.17862243657992657</v>
      </c>
      <c r="BA14">
        <f t="shared" si="12"/>
        <v>0.19223047660191511</v>
      </c>
      <c r="BB14">
        <f t="shared" si="13"/>
        <v>0.16245416017273864</v>
      </c>
      <c r="BC14">
        <f t="shared" si="14"/>
        <v>8.9114147510932357E-2</v>
      </c>
      <c r="BD14">
        <f t="shared" si="15"/>
        <v>0.16519315568249876</v>
      </c>
      <c r="BE14">
        <f t="shared" si="16"/>
        <v>6.0047878322192355E-2</v>
      </c>
      <c r="BF14">
        <f t="shared" si="17"/>
        <v>0.15293292619871662</v>
      </c>
      <c r="BG14">
        <f t="shared" si="18"/>
        <v>0.13078380740988071</v>
      </c>
      <c r="BH14">
        <f t="shared" si="19"/>
        <v>0.10797867868435643</v>
      </c>
      <c r="BI14">
        <f t="shared" si="20"/>
        <v>0.14025542163109608</v>
      </c>
      <c r="BJ14">
        <f t="shared" si="21"/>
        <v>0.1201603651032148</v>
      </c>
      <c r="BK14">
        <f t="shared" si="22"/>
        <v>0.18385251935741803</v>
      </c>
      <c r="BL14">
        <f t="shared" si="23"/>
        <v>6.1459246745786192E-2</v>
      </c>
      <c r="BM14">
        <f t="shared" si="24"/>
        <v>4.1889861858150045E-2</v>
      </c>
      <c r="BN14">
        <f t="shared" si="25"/>
        <v>0.24320649122226687</v>
      </c>
      <c r="BO14">
        <f t="shared" si="26"/>
        <v>0.12401489023658555</v>
      </c>
      <c r="BP14">
        <f t="shared" si="27"/>
        <v>0.10819300353458829</v>
      </c>
      <c r="BQ14">
        <f t="shared" si="28"/>
        <v>0.13533265065431196</v>
      </c>
      <c r="BR14">
        <f t="shared" si="29"/>
        <v>0.17636823485036096</v>
      </c>
      <c r="BS14">
        <f t="shared" si="30"/>
        <v>0.16157501135026528</v>
      </c>
      <c r="BT14">
        <f t="shared" si="31"/>
        <v>6.7053541214038268E-2</v>
      </c>
      <c r="BU14">
        <f t="shared" si="32"/>
        <v>8.365991055468712E-2</v>
      </c>
      <c r="BV14">
        <f t="shared" si="33"/>
        <v>4.5949958827558729E-2</v>
      </c>
      <c r="BW14">
        <f t="shared" si="34"/>
        <v>0.13568179991523538</v>
      </c>
      <c r="BX14">
        <f t="shared" si="35"/>
        <v>0.11364570337858029</v>
      </c>
      <c r="BY14">
        <f t="shared" si="36"/>
        <v>0.15531931832252874</v>
      </c>
      <c r="BZ14">
        <f t="shared" si="37"/>
        <v>0.12577261142430493</v>
      </c>
      <c r="CA14">
        <f t="shared" si="38"/>
        <v>9.5563288388434017E-2</v>
      </c>
      <c r="CB14">
        <f t="shared" si="39"/>
        <v>0.16011016793406757</v>
      </c>
      <c r="CC14">
        <f t="shared" si="40"/>
        <v>0.13835301544143216</v>
      </c>
      <c r="CD14">
        <f t="shared" si="41"/>
        <v>0.12138302640766491</v>
      </c>
      <c r="CE14">
        <f t="shared" si="42"/>
        <v>2.884840285028702E-2</v>
      </c>
      <c r="CG14">
        <f t="shared" si="43"/>
        <v>0.99999999999999978</v>
      </c>
      <c r="CH14">
        <f t="shared" si="44"/>
        <v>0.99999999999999989</v>
      </c>
      <c r="CJ14">
        <f t="shared" si="45"/>
        <v>0.89767385229638297</v>
      </c>
    </row>
    <row r="15" spans="1:88" ht="14.4" x14ac:dyDescent="0.3">
      <c r="A15" s="5" t="s">
        <v>16</v>
      </c>
      <c r="B15">
        <v>7.0527085113749929E-2</v>
      </c>
      <c r="C15">
        <v>0.20572758059004559</v>
      </c>
      <c r="D15">
        <v>0.36468173585333757</v>
      </c>
      <c r="E15">
        <v>0.32927442872997242</v>
      </c>
      <c r="F15">
        <v>0.25556768971875504</v>
      </c>
      <c r="G15">
        <v>0.1700817684272542</v>
      </c>
      <c r="H15">
        <v>0.20310501631306049</v>
      </c>
      <c r="I15">
        <v>0.17862243683761164</v>
      </c>
      <c r="J15">
        <v>0.19223047687923145</v>
      </c>
      <c r="K15">
        <v>0.16245416040709895</v>
      </c>
      <c r="L15">
        <v>8.911414763949059E-2</v>
      </c>
      <c r="M15">
        <v>0.16519315592081041</v>
      </c>
      <c r="N15">
        <v>6.0047878408818881E-2</v>
      </c>
      <c r="O15">
        <v>0.15293292641934136</v>
      </c>
      <c r="P15">
        <v>0.1307838075985526</v>
      </c>
      <c r="Q15">
        <v>0.10797867884012909</v>
      </c>
      <c r="R15">
        <v>0.14025542183343195</v>
      </c>
      <c r="S15">
        <v>0.12016036527656106</v>
      </c>
      <c r="T15">
        <v>0.18385251962264812</v>
      </c>
      <c r="U15">
        <v>6.145924683444879E-2</v>
      </c>
      <c r="V15">
        <v>4.1889861918581378E-2</v>
      </c>
      <c r="W15">
        <v>0.24320649157312244</v>
      </c>
      <c r="X15">
        <v>0.12401489041549243</v>
      </c>
      <c r="Y15">
        <v>0.10819300369067014</v>
      </c>
      <c r="Z15">
        <v>0.13533265084954613</v>
      </c>
      <c r="AA15">
        <v>0.17636823510479405</v>
      </c>
      <c r="AB15">
        <v>0.1615750115833573</v>
      </c>
      <c r="AC15">
        <v>6.7053541310771334E-2</v>
      </c>
      <c r="AD15">
        <v>8.3659910675376939E-2</v>
      </c>
      <c r="AE15">
        <v>4.5949958893847252E-2</v>
      </c>
      <c r="AF15">
        <v>0.13568180011097322</v>
      </c>
      <c r="AG15">
        <v>0.11364570354252834</v>
      </c>
      <c r="AH15">
        <v>0.15531931854659614</v>
      </c>
      <c r="AI15">
        <v>0.12577261160574754</v>
      </c>
      <c r="AJ15">
        <v>9.5563288526295934E-2</v>
      </c>
      <c r="AK15">
        <v>0.16011016816504639</v>
      </c>
      <c r="AL15">
        <v>0.13835301564102359</v>
      </c>
      <c r="AM15">
        <v>0.121383026582775</v>
      </c>
      <c r="AN15">
        <v>2.8848402891904424E-2</v>
      </c>
      <c r="AP15">
        <f t="shared" si="2"/>
        <v>1.0000000028852485</v>
      </c>
      <c r="AQ15">
        <f t="shared" si="3"/>
        <v>1.0000000014426242</v>
      </c>
      <c r="AS15">
        <f t="shared" si="4"/>
        <v>7.0527085012005844E-2</v>
      </c>
      <c r="AT15">
        <f t="shared" si="5"/>
        <v>0.20572758029325799</v>
      </c>
      <c r="AU15">
        <f t="shared" si="6"/>
        <v>0.36468173532723885</v>
      </c>
      <c r="AV15">
        <f t="shared" si="7"/>
        <v>0.32927442825495318</v>
      </c>
      <c r="AW15">
        <f t="shared" si="8"/>
        <v>0.25556768935006691</v>
      </c>
      <c r="AX15">
        <f t="shared" si="9"/>
        <v>0.17008176818189011</v>
      </c>
      <c r="AY15">
        <f t="shared" si="10"/>
        <v>0.20310501602005626</v>
      </c>
      <c r="AZ15">
        <f t="shared" si="11"/>
        <v>0.17862243657992657</v>
      </c>
      <c r="BA15">
        <f t="shared" si="12"/>
        <v>0.19223047660191511</v>
      </c>
      <c r="BB15">
        <f t="shared" si="13"/>
        <v>0.16245416017273864</v>
      </c>
      <c r="BC15">
        <f t="shared" si="14"/>
        <v>8.9114147510932357E-2</v>
      </c>
      <c r="BD15">
        <f t="shared" si="15"/>
        <v>0.16519315568249876</v>
      </c>
      <c r="BE15">
        <f t="shared" si="16"/>
        <v>6.0047878322192355E-2</v>
      </c>
      <c r="BF15">
        <f t="shared" si="17"/>
        <v>0.15293292619871662</v>
      </c>
      <c r="BG15">
        <f t="shared" si="18"/>
        <v>0.13078380740988071</v>
      </c>
      <c r="BH15">
        <f t="shared" si="19"/>
        <v>0.10797867868435643</v>
      </c>
      <c r="BI15">
        <f t="shared" si="20"/>
        <v>0.14025542163109608</v>
      </c>
      <c r="BJ15">
        <f t="shared" si="21"/>
        <v>0.1201603651032148</v>
      </c>
      <c r="BK15">
        <f t="shared" si="22"/>
        <v>0.18385251935741803</v>
      </c>
      <c r="BL15">
        <f t="shared" si="23"/>
        <v>6.1459246745786192E-2</v>
      </c>
      <c r="BM15">
        <f t="shared" si="24"/>
        <v>4.1889861858150045E-2</v>
      </c>
      <c r="BN15">
        <f t="shared" si="25"/>
        <v>0.24320649122226687</v>
      </c>
      <c r="BO15">
        <f t="shared" si="26"/>
        <v>0.12401489023658555</v>
      </c>
      <c r="BP15">
        <f t="shared" si="27"/>
        <v>0.10819300353458829</v>
      </c>
      <c r="BQ15">
        <f t="shared" si="28"/>
        <v>0.13533265065431196</v>
      </c>
      <c r="BR15">
        <f t="shared" si="29"/>
        <v>0.17636823485036096</v>
      </c>
      <c r="BS15">
        <f t="shared" si="30"/>
        <v>0.16157501135026528</v>
      </c>
      <c r="BT15">
        <f t="shared" si="31"/>
        <v>6.7053541214038268E-2</v>
      </c>
      <c r="BU15">
        <f t="shared" si="32"/>
        <v>8.365991055468712E-2</v>
      </c>
      <c r="BV15">
        <f t="shared" si="33"/>
        <v>4.5949958827558729E-2</v>
      </c>
      <c r="BW15">
        <f t="shared" si="34"/>
        <v>0.13568179991523538</v>
      </c>
      <c r="BX15">
        <f t="shared" si="35"/>
        <v>0.11364570337858029</v>
      </c>
      <c r="BY15">
        <f t="shared" si="36"/>
        <v>0.15531931832252874</v>
      </c>
      <c r="BZ15">
        <f t="shared" si="37"/>
        <v>0.12577261142430493</v>
      </c>
      <c r="CA15">
        <f t="shared" si="38"/>
        <v>9.5563288388434017E-2</v>
      </c>
      <c r="CB15">
        <f t="shared" si="39"/>
        <v>0.16011016793406757</v>
      </c>
      <c r="CC15">
        <f t="shared" si="40"/>
        <v>0.13835301544143216</v>
      </c>
      <c r="CD15">
        <f t="shared" si="41"/>
        <v>0.12138302640766491</v>
      </c>
      <c r="CE15">
        <f t="shared" si="42"/>
        <v>2.884840285028702E-2</v>
      </c>
      <c r="CG15">
        <f t="shared" si="43"/>
        <v>0.99999999999999978</v>
      </c>
      <c r="CH15">
        <f t="shared" si="44"/>
        <v>0.99999999999999989</v>
      </c>
      <c r="CJ15">
        <f t="shared" si="45"/>
        <v>0.89767385229638297</v>
      </c>
    </row>
    <row r="16" spans="1:88" ht="14.4" x14ac:dyDescent="0.3">
      <c r="A16" s="5" t="s">
        <v>17</v>
      </c>
      <c r="B16">
        <v>7.0527085113749929E-2</v>
      </c>
      <c r="C16">
        <v>0.20572758059004559</v>
      </c>
      <c r="D16">
        <v>0.36468173585333757</v>
      </c>
      <c r="E16">
        <v>0.32927442872997242</v>
      </c>
      <c r="F16">
        <v>0.25556768971875504</v>
      </c>
      <c r="G16">
        <v>0.1700817684272542</v>
      </c>
      <c r="H16">
        <v>0.20310501631306049</v>
      </c>
      <c r="I16">
        <v>0.17862243683761164</v>
      </c>
      <c r="J16">
        <v>0.19223047687923145</v>
      </c>
      <c r="K16">
        <v>0.16245416040709895</v>
      </c>
      <c r="L16">
        <v>8.911414763949059E-2</v>
      </c>
      <c r="M16">
        <v>0.16519315592081041</v>
      </c>
      <c r="N16">
        <v>6.0047878408818881E-2</v>
      </c>
      <c r="O16">
        <v>0.15293292641934136</v>
      </c>
      <c r="P16">
        <v>0.1307838075985526</v>
      </c>
      <c r="Q16">
        <v>0.10797867884012909</v>
      </c>
      <c r="R16">
        <v>0.14025542183343195</v>
      </c>
      <c r="S16">
        <v>0.12016036527656106</v>
      </c>
      <c r="T16">
        <v>0.18385251962264812</v>
      </c>
      <c r="U16">
        <v>6.145924683444879E-2</v>
      </c>
      <c r="V16">
        <v>4.1889861918581378E-2</v>
      </c>
      <c r="W16">
        <v>0.24320649157312244</v>
      </c>
      <c r="X16">
        <v>0.12401489041549243</v>
      </c>
      <c r="Y16">
        <v>0.10819300369067014</v>
      </c>
      <c r="Z16">
        <v>0.13533265084954613</v>
      </c>
      <c r="AA16">
        <v>0.17636823510479405</v>
      </c>
      <c r="AB16">
        <v>0.1615750115833573</v>
      </c>
      <c r="AC16">
        <v>6.7053541310771334E-2</v>
      </c>
      <c r="AD16">
        <v>8.3659910675376939E-2</v>
      </c>
      <c r="AE16">
        <v>4.5949958893847252E-2</v>
      </c>
      <c r="AF16">
        <v>0.13568180011097322</v>
      </c>
      <c r="AG16">
        <v>0.11364570354252834</v>
      </c>
      <c r="AH16">
        <v>0.15531931854659614</v>
      </c>
      <c r="AI16">
        <v>0.12577261160574754</v>
      </c>
      <c r="AJ16">
        <v>9.5563288526295934E-2</v>
      </c>
      <c r="AK16">
        <v>0.16011016816504639</v>
      </c>
      <c r="AL16">
        <v>0.13835301564102359</v>
      </c>
      <c r="AM16">
        <v>0.121383026582775</v>
      </c>
      <c r="AN16">
        <v>2.8848402891904424E-2</v>
      </c>
      <c r="AP16">
        <f t="shared" si="2"/>
        <v>1.0000000028852485</v>
      </c>
      <c r="AQ16">
        <f t="shared" si="3"/>
        <v>1.0000000014426242</v>
      </c>
      <c r="AS16">
        <f t="shared" si="4"/>
        <v>7.0527085012005844E-2</v>
      </c>
      <c r="AT16">
        <f t="shared" si="5"/>
        <v>0.20572758029325799</v>
      </c>
      <c r="AU16">
        <f t="shared" si="6"/>
        <v>0.36468173532723885</v>
      </c>
      <c r="AV16">
        <f t="shared" si="7"/>
        <v>0.32927442825495318</v>
      </c>
      <c r="AW16">
        <f t="shared" si="8"/>
        <v>0.25556768935006691</v>
      </c>
      <c r="AX16">
        <f t="shared" si="9"/>
        <v>0.17008176818189011</v>
      </c>
      <c r="AY16">
        <f t="shared" si="10"/>
        <v>0.20310501602005626</v>
      </c>
      <c r="AZ16">
        <f t="shared" si="11"/>
        <v>0.17862243657992657</v>
      </c>
      <c r="BA16">
        <f t="shared" si="12"/>
        <v>0.19223047660191511</v>
      </c>
      <c r="BB16">
        <f t="shared" si="13"/>
        <v>0.16245416017273864</v>
      </c>
      <c r="BC16">
        <f t="shared" si="14"/>
        <v>8.9114147510932357E-2</v>
      </c>
      <c r="BD16">
        <f t="shared" si="15"/>
        <v>0.16519315568249876</v>
      </c>
      <c r="BE16">
        <f t="shared" si="16"/>
        <v>6.0047878322192355E-2</v>
      </c>
      <c r="BF16">
        <f t="shared" si="17"/>
        <v>0.15293292619871662</v>
      </c>
      <c r="BG16">
        <f t="shared" si="18"/>
        <v>0.13078380740988071</v>
      </c>
      <c r="BH16">
        <f t="shared" si="19"/>
        <v>0.10797867868435643</v>
      </c>
      <c r="BI16">
        <f t="shared" si="20"/>
        <v>0.14025542163109608</v>
      </c>
      <c r="BJ16">
        <f t="shared" si="21"/>
        <v>0.1201603651032148</v>
      </c>
      <c r="BK16">
        <f t="shared" si="22"/>
        <v>0.18385251935741803</v>
      </c>
      <c r="BL16">
        <f t="shared" si="23"/>
        <v>6.1459246745786192E-2</v>
      </c>
      <c r="BM16">
        <f t="shared" si="24"/>
        <v>4.1889861858150045E-2</v>
      </c>
      <c r="BN16">
        <f t="shared" si="25"/>
        <v>0.24320649122226687</v>
      </c>
      <c r="BO16">
        <f t="shared" si="26"/>
        <v>0.12401489023658555</v>
      </c>
      <c r="BP16">
        <f t="shared" si="27"/>
        <v>0.10819300353458829</v>
      </c>
      <c r="BQ16">
        <f t="shared" si="28"/>
        <v>0.13533265065431196</v>
      </c>
      <c r="BR16">
        <f t="shared" si="29"/>
        <v>0.17636823485036096</v>
      </c>
      <c r="BS16">
        <f t="shared" si="30"/>
        <v>0.16157501135026528</v>
      </c>
      <c r="BT16">
        <f t="shared" si="31"/>
        <v>6.7053541214038268E-2</v>
      </c>
      <c r="BU16">
        <f t="shared" si="32"/>
        <v>8.365991055468712E-2</v>
      </c>
      <c r="BV16">
        <f t="shared" si="33"/>
        <v>4.5949958827558729E-2</v>
      </c>
      <c r="BW16">
        <f t="shared" si="34"/>
        <v>0.13568179991523538</v>
      </c>
      <c r="BX16">
        <f t="shared" si="35"/>
        <v>0.11364570337858029</v>
      </c>
      <c r="BY16">
        <f t="shared" si="36"/>
        <v>0.15531931832252874</v>
      </c>
      <c r="BZ16">
        <f t="shared" si="37"/>
        <v>0.12577261142430493</v>
      </c>
      <c r="CA16">
        <f t="shared" si="38"/>
        <v>9.5563288388434017E-2</v>
      </c>
      <c r="CB16">
        <f t="shared" si="39"/>
        <v>0.16011016793406757</v>
      </c>
      <c r="CC16">
        <f t="shared" si="40"/>
        <v>0.13835301544143216</v>
      </c>
      <c r="CD16">
        <f t="shared" si="41"/>
        <v>0.12138302640766491</v>
      </c>
      <c r="CE16">
        <f t="shared" si="42"/>
        <v>2.884840285028702E-2</v>
      </c>
      <c r="CG16">
        <f t="shared" si="43"/>
        <v>0.99999999999999978</v>
      </c>
      <c r="CH16">
        <f t="shared" si="44"/>
        <v>0.99999999999999989</v>
      </c>
      <c r="CJ16">
        <f t="shared" si="45"/>
        <v>0.89767385229638297</v>
      </c>
    </row>
    <row r="17" spans="1:88" ht="14.4" x14ac:dyDescent="0.3">
      <c r="A17" s="5" t="s">
        <v>18</v>
      </c>
      <c r="B17">
        <v>7.0527085113749929E-2</v>
      </c>
      <c r="C17">
        <v>0.20572758059004559</v>
      </c>
      <c r="D17">
        <v>0.36468173585333757</v>
      </c>
      <c r="E17">
        <v>0.32927442872997242</v>
      </c>
      <c r="F17">
        <v>0.25556768971875504</v>
      </c>
      <c r="G17">
        <v>0.1700817684272542</v>
      </c>
      <c r="H17">
        <v>0.20310501631306049</v>
      </c>
      <c r="I17">
        <v>0.17862243683761164</v>
      </c>
      <c r="J17">
        <v>0.19223047687923145</v>
      </c>
      <c r="K17">
        <v>0.16245416040709895</v>
      </c>
      <c r="L17">
        <v>8.911414763949059E-2</v>
      </c>
      <c r="M17">
        <v>0.16519315592081041</v>
      </c>
      <c r="N17">
        <v>6.0047878408818881E-2</v>
      </c>
      <c r="O17">
        <v>0.15293292641934136</v>
      </c>
      <c r="P17">
        <v>0.1307838075985526</v>
      </c>
      <c r="Q17">
        <v>0.10797867884012909</v>
      </c>
      <c r="R17">
        <v>0.14025542183343195</v>
      </c>
      <c r="S17">
        <v>0.12016036527656106</v>
      </c>
      <c r="T17">
        <v>0.18385251962264812</v>
      </c>
      <c r="U17">
        <v>6.145924683444879E-2</v>
      </c>
      <c r="V17">
        <v>4.1889861918581378E-2</v>
      </c>
      <c r="W17">
        <v>0.24320649157312244</v>
      </c>
      <c r="X17">
        <v>0.12401489041549243</v>
      </c>
      <c r="Y17">
        <v>0.10819300369067014</v>
      </c>
      <c r="Z17">
        <v>0.13533265084954613</v>
      </c>
      <c r="AA17">
        <v>0.17636823510479405</v>
      </c>
      <c r="AB17">
        <v>0.1615750115833573</v>
      </c>
      <c r="AC17">
        <v>6.7053541310771334E-2</v>
      </c>
      <c r="AD17">
        <v>8.3659910675376939E-2</v>
      </c>
      <c r="AE17">
        <v>4.5949958893847252E-2</v>
      </c>
      <c r="AF17">
        <v>0.13568180011097322</v>
      </c>
      <c r="AG17">
        <v>0.11364570354252834</v>
      </c>
      <c r="AH17">
        <v>0.15531931854659614</v>
      </c>
      <c r="AI17">
        <v>0.12577261160574754</v>
      </c>
      <c r="AJ17">
        <v>9.5563288526295934E-2</v>
      </c>
      <c r="AK17">
        <v>0.16011016816504639</v>
      </c>
      <c r="AL17">
        <v>0.13835301564102359</v>
      </c>
      <c r="AM17">
        <v>0.121383026582775</v>
      </c>
      <c r="AN17">
        <v>2.8848402891904424E-2</v>
      </c>
      <c r="AP17">
        <f t="shared" si="2"/>
        <v>1.0000000028852485</v>
      </c>
      <c r="AQ17">
        <f t="shared" si="3"/>
        <v>1.0000000014426242</v>
      </c>
      <c r="AS17">
        <f t="shared" si="4"/>
        <v>7.0527085012005844E-2</v>
      </c>
      <c r="AT17">
        <f t="shared" si="5"/>
        <v>0.20572758029325799</v>
      </c>
      <c r="AU17">
        <f t="shared" si="6"/>
        <v>0.36468173532723885</v>
      </c>
      <c r="AV17">
        <f t="shared" si="7"/>
        <v>0.32927442825495318</v>
      </c>
      <c r="AW17">
        <f t="shared" si="8"/>
        <v>0.25556768935006691</v>
      </c>
      <c r="AX17">
        <f t="shared" si="9"/>
        <v>0.17008176818189011</v>
      </c>
      <c r="AY17">
        <f t="shared" si="10"/>
        <v>0.20310501602005626</v>
      </c>
      <c r="AZ17">
        <f t="shared" si="11"/>
        <v>0.17862243657992657</v>
      </c>
      <c r="BA17">
        <f t="shared" si="12"/>
        <v>0.19223047660191511</v>
      </c>
      <c r="BB17">
        <f t="shared" si="13"/>
        <v>0.16245416017273864</v>
      </c>
      <c r="BC17">
        <f t="shared" si="14"/>
        <v>8.9114147510932357E-2</v>
      </c>
      <c r="BD17">
        <f t="shared" si="15"/>
        <v>0.16519315568249876</v>
      </c>
      <c r="BE17">
        <f t="shared" si="16"/>
        <v>6.0047878322192355E-2</v>
      </c>
      <c r="BF17">
        <f t="shared" si="17"/>
        <v>0.15293292619871662</v>
      </c>
      <c r="BG17">
        <f t="shared" si="18"/>
        <v>0.13078380740988071</v>
      </c>
      <c r="BH17">
        <f t="shared" si="19"/>
        <v>0.10797867868435643</v>
      </c>
      <c r="BI17">
        <f t="shared" si="20"/>
        <v>0.14025542163109608</v>
      </c>
      <c r="BJ17">
        <f t="shared" si="21"/>
        <v>0.1201603651032148</v>
      </c>
      <c r="BK17">
        <f t="shared" si="22"/>
        <v>0.18385251935741803</v>
      </c>
      <c r="BL17">
        <f t="shared" si="23"/>
        <v>6.1459246745786192E-2</v>
      </c>
      <c r="BM17">
        <f t="shared" si="24"/>
        <v>4.1889861858150045E-2</v>
      </c>
      <c r="BN17">
        <f t="shared" si="25"/>
        <v>0.24320649122226687</v>
      </c>
      <c r="BO17">
        <f t="shared" si="26"/>
        <v>0.12401489023658555</v>
      </c>
      <c r="BP17">
        <f t="shared" si="27"/>
        <v>0.10819300353458829</v>
      </c>
      <c r="BQ17">
        <f t="shared" si="28"/>
        <v>0.13533265065431196</v>
      </c>
      <c r="BR17">
        <f t="shared" si="29"/>
        <v>0.17636823485036096</v>
      </c>
      <c r="BS17">
        <f t="shared" si="30"/>
        <v>0.16157501135026528</v>
      </c>
      <c r="BT17">
        <f t="shared" si="31"/>
        <v>6.7053541214038268E-2</v>
      </c>
      <c r="BU17">
        <f t="shared" si="32"/>
        <v>8.365991055468712E-2</v>
      </c>
      <c r="BV17">
        <f t="shared" si="33"/>
        <v>4.5949958827558729E-2</v>
      </c>
      <c r="BW17">
        <f t="shared" si="34"/>
        <v>0.13568179991523538</v>
      </c>
      <c r="BX17">
        <f t="shared" si="35"/>
        <v>0.11364570337858029</v>
      </c>
      <c r="BY17">
        <f t="shared" si="36"/>
        <v>0.15531931832252874</v>
      </c>
      <c r="BZ17">
        <f t="shared" si="37"/>
        <v>0.12577261142430493</v>
      </c>
      <c r="CA17">
        <f t="shared" si="38"/>
        <v>9.5563288388434017E-2</v>
      </c>
      <c r="CB17">
        <f t="shared" si="39"/>
        <v>0.16011016793406757</v>
      </c>
      <c r="CC17">
        <f t="shared" si="40"/>
        <v>0.13835301544143216</v>
      </c>
      <c r="CD17">
        <f t="shared" si="41"/>
        <v>0.12138302640766491</v>
      </c>
      <c r="CE17">
        <f t="shared" si="42"/>
        <v>2.884840285028702E-2</v>
      </c>
      <c r="CG17">
        <f t="shared" si="43"/>
        <v>0.99999999999999978</v>
      </c>
      <c r="CH17">
        <f t="shared" si="44"/>
        <v>0.99999999999999989</v>
      </c>
      <c r="CJ17">
        <f t="shared" si="45"/>
        <v>0.89767385229638297</v>
      </c>
    </row>
    <row r="18" spans="1:88" ht="14.4" x14ac:dyDescent="0.3">
      <c r="A18" s="5" t="s">
        <v>19</v>
      </c>
      <c r="B18">
        <v>7.0527085113749929E-2</v>
      </c>
      <c r="C18">
        <v>0.20572758059004559</v>
      </c>
      <c r="D18">
        <v>0.36468173585333757</v>
      </c>
      <c r="E18">
        <v>0.32927442872997242</v>
      </c>
      <c r="F18">
        <v>0.25556768971875504</v>
      </c>
      <c r="G18">
        <v>0.1700817684272542</v>
      </c>
      <c r="H18">
        <v>0.20310501631306049</v>
      </c>
      <c r="I18">
        <v>0.17862243683761164</v>
      </c>
      <c r="J18">
        <v>0.19223047687923145</v>
      </c>
      <c r="K18">
        <v>0.16245416040709895</v>
      </c>
      <c r="L18">
        <v>8.911414763949059E-2</v>
      </c>
      <c r="M18">
        <v>0.16519315592081041</v>
      </c>
      <c r="N18">
        <v>6.0047878408818881E-2</v>
      </c>
      <c r="O18">
        <v>0.15293292641934136</v>
      </c>
      <c r="P18">
        <v>0.1307838075985526</v>
      </c>
      <c r="Q18">
        <v>0.10797867884012909</v>
      </c>
      <c r="R18">
        <v>0.14025542183343195</v>
      </c>
      <c r="S18">
        <v>0.12016036527656106</v>
      </c>
      <c r="T18">
        <v>0.18385251962264812</v>
      </c>
      <c r="U18">
        <v>6.145924683444879E-2</v>
      </c>
      <c r="V18">
        <v>4.1889861918581378E-2</v>
      </c>
      <c r="W18">
        <v>0.24320649157312244</v>
      </c>
      <c r="X18">
        <v>0.12401489041549243</v>
      </c>
      <c r="Y18">
        <v>0.10819300369067014</v>
      </c>
      <c r="Z18">
        <v>0.13533265084954613</v>
      </c>
      <c r="AA18">
        <v>0.17636823510479405</v>
      </c>
      <c r="AB18">
        <v>0.1615750115833573</v>
      </c>
      <c r="AC18">
        <v>6.7053541310771334E-2</v>
      </c>
      <c r="AD18">
        <v>8.3659910675376939E-2</v>
      </c>
      <c r="AE18">
        <v>4.5949958893847252E-2</v>
      </c>
      <c r="AF18">
        <v>0.13568180011097322</v>
      </c>
      <c r="AG18">
        <v>0.11364570354252834</v>
      </c>
      <c r="AH18">
        <v>0.15531931854659614</v>
      </c>
      <c r="AI18">
        <v>0.12577261160574754</v>
      </c>
      <c r="AJ18">
        <v>9.5563288526295934E-2</v>
      </c>
      <c r="AK18">
        <v>0.16011016816504639</v>
      </c>
      <c r="AL18">
        <v>0.13835301564102359</v>
      </c>
      <c r="AM18">
        <v>0.121383026582775</v>
      </c>
      <c r="AN18">
        <v>2.8848402891904424E-2</v>
      </c>
      <c r="AP18">
        <f t="shared" si="2"/>
        <v>1.0000000028852485</v>
      </c>
      <c r="AQ18">
        <f t="shared" si="3"/>
        <v>1.0000000014426242</v>
      </c>
      <c r="AS18">
        <f t="shared" si="4"/>
        <v>7.0527085012005844E-2</v>
      </c>
      <c r="AT18">
        <f t="shared" si="5"/>
        <v>0.20572758029325799</v>
      </c>
      <c r="AU18">
        <f t="shared" si="6"/>
        <v>0.36468173532723885</v>
      </c>
      <c r="AV18">
        <f t="shared" si="7"/>
        <v>0.32927442825495318</v>
      </c>
      <c r="AW18">
        <f t="shared" si="8"/>
        <v>0.25556768935006691</v>
      </c>
      <c r="AX18">
        <f t="shared" si="9"/>
        <v>0.17008176818189011</v>
      </c>
      <c r="AY18">
        <f t="shared" si="10"/>
        <v>0.20310501602005626</v>
      </c>
      <c r="AZ18">
        <f t="shared" si="11"/>
        <v>0.17862243657992657</v>
      </c>
      <c r="BA18">
        <f t="shared" si="12"/>
        <v>0.19223047660191511</v>
      </c>
      <c r="BB18">
        <f t="shared" si="13"/>
        <v>0.16245416017273864</v>
      </c>
      <c r="BC18">
        <f t="shared" si="14"/>
        <v>8.9114147510932357E-2</v>
      </c>
      <c r="BD18">
        <f t="shared" si="15"/>
        <v>0.16519315568249876</v>
      </c>
      <c r="BE18">
        <f t="shared" si="16"/>
        <v>6.0047878322192355E-2</v>
      </c>
      <c r="BF18">
        <f t="shared" si="17"/>
        <v>0.15293292619871662</v>
      </c>
      <c r="BG18">
        <f t="shared" si="18"/>
        <v>0.13078380740988071</v>
      </c>
      <c r="BH18">
        <f t="shared" si="19"/>
        <v>0.10797867868435643</v>
      </c>
      <c r="BI18">
        <f t="shared" si="20"/>
        <v>0.14025542163109608</v>
      </c>
      <c r="BJ18">
        <f t="shared" si="21"/>
        <v>0.1201603651032148</v>
      </c>
      <c r="BK18">
        <f t="shared" si="22"/>
        <v>0.18385251935741803</v>
      </c>
      <c r="BL18">
        <f t="shared" si="23"/>
        <v>6.1459246745786192E-2</v>
      </c>
      <c r="BM18">
        <f t="shared" si="24"/>
        <v>4.1889861858150045E-2</v>
      </c>
      <c r="BN18">
        <f t="shared" si="25"/>
        <v>0.24320649122226687</v>
      </c>
      <c r="BO18">
        <f t="shared" si="26"/>
        <v>0.12401489023658555</v>
      </c>
      <c r="BP18">
        <f t="shared" si="27"/>
        <v>0.10819300353458829</v>
      </c>
      <c r="BQ18">
        <f t="shared" si="28"/>
        <v>0.13533265065431196</v>
      </c>
      <c r="BR18">
        <f t="shared" si="29"/>
        <v>0.17636823485036096</v>
      </c>
      <c r="BS18">
        <f t="shared" si="30"/>
        <v>0.16157501135026528</v>
      </c>
      <c r="BT18">
        <f t="shared" si="31"/>
        <v>6.7053541214038268E-2</v>
      </c>
      <c r="BU18">
        <f t="shared" si="32"/>
        <v>8.365991055468712E-2</v>
      </c>
      <c r="BV18">
        <f t="shared" si="33"/>
        <v>4.5949958827558729E-2</v>
      </c>
      <c r="BW18">
        <f t="shared" si="34"/>
        <v>0.13568179991523538</v>
      </c>
      <c r="BX18">
        <f t="shared" si="35"/>
        <v>0.11364570337858029</v>
      </c>
      <c r="BY18">
        <f t="shared" si="36"/>
        <v>0.15531931832252874</v>
      </c>
      <c r="BZ18">
        <f t="shared" si="37"/>
        <v>0.12577261142430493</v>
      </c>
      <c r="CA18">
        <f t="shared" si="38"/>
        <v>9.5563288388434017E-2</v>
      </c>
      <c r="CB18">
        <f t="shared" si="39"/>
        <v>0.16011016793406757</v>
      </c>
      <c r="CC18">
        <f t="shared" si="40"/>
        <v>0.13835301544143216</v>
      </c>
      <c r="CD18">
        <f t="shared" si="41"/>
        <v>0.12138302640766491</v>
      </c>
      <c r="CE18">
        <f t="shared" si="42"/>
        <v>2.884840285028702E-2</v>
      </c>
      <c r="CG18">
        <f t="shared" si="43"/>
        <v>0.99999999999999978</v>
      </c>
      <c r="CH18">
        <f t="shared" si="44"/>
        <v>0.99999999999999989</v>
      </c>
      <c r="CJ18">
        <f t="shared" si="45"/>
        <v>0.89767385229638297</v>
      </c>
    </row>
    <row r="19" spans="1:88" ht="14.4" x14ac:dyDescent="0.3">
      <c r="A19" s="5" t="s">
        <v>20</v>
      </c>
      <c r="B19">
        <v>7.0527085113749929E-2</v>
      </c>
      <c r="C19">
        <v>0.20572758059004559</v>
      </c>
      <c r="D19">
        <v>0.36468173585333757</v>
      </c>
      <c r="E19">
        <v>0.32927442872997242</v>
      </c>
      <c r="F19">
        <v>0.25556768971875504</v>
      </c>
      <c r="G19">
        <v>0.1700817684272542</v>
      </c>
      <c r="H19">
        <v>0.20310501631306049</v>
      </c>
      <c r="I19">
        <v>0.17862243683761164</v>
      </c>
      <c r="J19">
        <v>0.19223047687923145</v>
      </c>
      <c r="K19">
        <v>0.16245416040709895</v>
      </c>
      <c r="L19">
        <v>8.911414763949059E-2</v>
      </c>
      <c r="M19">
        <v>0.16519315592081041</v>
      </c>
      <c r="N19">
        <v>6.0047878408818881E-2</v>
      </c>
      <c r="O19">
        <v>0.15293292641934136</v>
      </c>
      <c r="P19">
        <v>0.1307838075985526</v>
      </c>
      <c r="Q19">
        <v>0.10797867884012909</v>
      </c>
      <c r="R19">
        <v>0.14025542183343195</v>
      </c>
      <c r="S19">
        <v>0.12016036527656106</v>
      </c>
      <c r="T19">
        <v>0.18385251962264812</v>
      </c>
      <c r="U19">
        <v>6.145924683444879E-2</v>
      </c>
      <c r="V19">
        <v>4.1889861918581378E-2</v>
      </c>
      <c r="W19">
        <v>0.24320649157312244</v>
      </c>
      <c r="X19">
        <v>0.12401489041549243</v>
      </c>
      <c r="Y19">
        <v>0.10819300369067014</v>
      </c>
      <c r="Z19">
        <v>0.13533265084954613</v>
      </c>
      <c r="AA19">
        <v>0.17636823510479405</v>
      </c>
      <c r="AB19">
        <v>0.1615750115833573</v>
      </c>
      <c r="AC19">
        <v>6.7053541310771334E-2</v>
      </c>
      <c r="AD19">
        <v>8.3659910675376939E-2</v>
      </c>
      <c r="AE19">
        <v>4.5949958893847252E-2</v>
      </c>
      <c r="AF19">
        <v>0.13568180011097322</v>
      </c>
      <c r="AG19">
        <v>0.11364570354252834</v>
      </c>
      <c r="AH19">
        <v>0.15531931854659614</v>
      </c>
      <c r="AI19">
        <v>0.12577261160574754</v>
      </c>
      <c r="AJ19">
        <v>9.5563288526295934E-2</v>
      </c>
      <c r="AK19">
        <v>0.16011016816504639</v>
      </c>
      <c r="AL19">
        <v>0.13835301564102359</v>
      </c>
      <c r="AM19">
        <v>0.121383026582775</v>
      </c>
      <c r="AN19">
        <v>2.8848402891904424E-2</v>
      </c>
      <c r="AP19">
        <f t="shared" si="2"/>
        <v>1.0000000028852485</v>
      </c>
      <c r="AQ19">
        <f t="shared" si="3"/>
        <v>1.0000000014426242</v>
      </c>
      <c r="AS19">
        <f t="shared" si="4"/>
        <v>7.0527085012005844E-2</v>
      </c>
      <c r="AT19">
        <f t="shared" si="5"/>
        <v>0.20572758029325799</v>
      </c>
      <c r="AU19">
        <f t="shared" si="6"/>
        <v>0.36468173532723885</v>
      </c>
      <c r="AV19">
        <f t="shared" si="7"/>
        <v>0.32927442825495318</v>
      </c>
      <c r="AW19">
        <f t="shared" si="8"/>
        <v>0.25556768935006691</v>
      </c>
      <c r="AX19">
        <f t="shared" si="9"/>
        <v>0.17008176818189011</v>
      </c>
      <c r="AY19">
        <f t="shared" si="10"/>
        <v>0.20310501602005626</v>
      </c>
      <c r="AZ19">
        <f t="shared" si="11"/>
        <v>0.17862243657992657</v>
      </c>
      <c r="BA19">
        <f t="shared" si="12"/>
        <v>0.19223047660191511</v>
      </c>
      <c r="BB19">
        <f t="shared" si="13"/>
        <v>0.16245416017273864</v>
      </c>
      <c r="BC19">
        <f t="shared" si="14"/>
        <v>8.9114147510932357E-2</v>
      </c>
      <c r="BD19">
        <f t="shared" si="15"/>
        <v>0.16519315568249876</v>
      </c>
      <c r="BE19">
        <f t="shared" si="16"/>
        <v>6.0047878322192355E-2</v>
      </c>
      <c r="BF19">
        <f t="shared" si="17"/>
        <v>0.15293292619871662</v>
      </c>
      <c r="BG19">
        <f t="shared" si="18"/>
        <v>0.13078380740988071</v>
      </c>
      <c r="BH19">
        <f t="shared" si="19"/>
        <v>0.10797867868435643</v>
      </c>
      <c r="BI19">
        <f t="shared" si="20"/>
        <v>0.14025542163109608</v>
      </c>
      <c r="BJ19">
        <f t="shared" si="21"/>
        <v>0.1201603651032148</v>
      </c>
      <c r="BK19">
        <f t="shared" si="22"/>
        <v>0.18385251935741803</v>
      </c>
      <c r="BL19">
        <f t="shared" si="23"/>
        <v>6.1459246745786192E-2</v>
      </c>
      <c r="BM19">
        <f t="shared" si="24"/>
        <v>4.1889861858150045E-2</v>
      </c>
      <c r="BN19">
        <f t="shared" si="25"/>
        <v>0.24320649122226687</v>
      </c>
      <c r="BO19">
        <f t="shared" si="26"/>
        <v>0.12401489023658555</v>
      </c>
      <c r="BP19">
        <f t="shared" si="27"/>
        <v>0.10819300353458829</v>
      </c>
      <c r="BQ19">
        <f t="shared" si="28"/>
        <v>0.13533265065431196</v>
      </c>
      <c r="BR19">
        <f t="shared" si="29"/>
        <v>0.17636823485036096</v>
      </c>
      <c r="BS19">
        <f t="shared" si="30"/>
        <v>0.16157501135026528</v>
      </c>
      <c r="BT19">
        <f t="shared" si="31"/>
        <v>6.7053541214038268E-2</v>
      </c>
      <c r="BU19">
        <f t="shared" si="32"/>
        <v>8.365991055468712E-2</v>
      </c>
      <c r="BV19">
        <f t="shared" si="33"/>
        <v>4.5949958827558729E-2</v>
      </c>
      <c r="BW19">
        <f t="shared" si="34"/>
        <v>0.13568179991523538</v>
      </c>
      <c r="BX19">
        <f t="shared" si="35"/>
        <v>0.11364570337858029</v>
      </c>
      <c r="BY19">
        <f t="shared" si="36"/>
        <v>0.15531931832252874</v>
      </c>
      <c r="BZ19">
        <f t="shared" si="37"/>
        <v>0.12577261142430493</v>
      </c>
      <c r="CA19">
        <f t="shared" si="38"/>
        <v>9.5563288388434017E-2</v>
      </c>
      <c r="CB19">
        <f t="shared" si="39"/>
        <v>0.16011016793406757</v>
      </c>
      <c r="CC19">
        <f t="shared" si="40"/>
        <v>0.13835301544143216</v>
      </c>
      <c r="CD19">
        <f t="shared" si="41"/>
        <v>0.12138302640766491</v>
      </c>
      <c r="CE19">
        <f t="shared" si="42"/>
        <v>2.884840285028702E-2</v>
      </c>
      <c r="CG19">
        <f t="shared" si="43"/>
        <v>0.99999999999999978</v>
      </c>
      <c r="CH19">
        <f t="shared" si="44"/>
        <v>0.99999999999999989</v>
      </c>
      <c r="CJ19">
        <f t="shared" si="45"/>
        <v>0.89767385229638297</v>
      </c>
    </row>
    <row r="20" spans="1:88" ht="14.4" x14ac:dyDescent="0.3">
      <c r="A20" s="5" t="s">
        <v>21</v>
      </c>
      <c r="B20">
        <v>7.0527085113749929E-2</v>
      </c>
      <c r="C20">
        <v>0.20572758059004559</v>
      </c>
      <c r="D20">
        <v>0.36468173585333757</v>
      </c>
      <c r="E20">
        <v>0.32927442872997242</v>
      </c>
      <c r="F20">
        <v>0.25556768971875504</v>
      </c>
      <c r="G20">
        <v>0.1700817684272542</v>
      </c>
      <c r="H20">
        <v>0.20310501631306049</v>
      </c>
      <c r="I20">
        <v>0.17862243683761164</v>
      </c>
      <c r="J20">
        <v>0.19223047687923145</v>
      </c>
      <c r="K20">
        <v>0.16245416040709895</v>
      </c>
      <c r="L20">
        <v>8.911414763949059E-2</v>
      </c>
      <c r="M20">
        <v>0.16519315592081041</v>
      </c>
      <c r="N20">
        <v>6.0047878408818881E-2</v>
      </c>
      <c r="O20">
        <v>0.15293292641934136</v>
      </c>
      <c r="P20">
        <v>0.1307838075985526</v>
      </c>
      <c r="Q20">
        <v>0.10797867884012909</v>
      </c>
      <c r="R20">
        <v>0.14025542183343195</v>
      </c>
      <c r="S20">
        <v>0.12016036527656106</v>
      </c>
      <c r="T20">
        <v>0.18385251962264812</v>
      </c>
      <c r="U20">
        <v>6.145924683444879E-2</v>
      </c>
      <c r="V20">
        <v>4.1889861918581378E-2</v>
      </c>
      <c r="W20">
        <v>0.24320649157312244</v>
      </c>
      <c r="X20">
        <v>0.12401489041549243</v>
      </c>
      <c r="Y20">
        <v>0.10819300369067014</v>
      </c>
      <c r="Z20">
        <v>0.13533265084954613</v>
      </c>
      <c r="AA20">
        <v>0.17636823510479405</v>
      </c>
      <c r="AB20">
        <v>0.1615750115833573</v>
      </c>
      <c r="AC20">
        <v>6.7053541310771334E-2</v>
      </c>
      <c r="AD20">
        <v>8.3659910675376939E-2</v>
      </c>
      <c r="AE20">
        <v>4.5949958893847252E-2</v>
      </c>
      <c r="AF20">
        <v>0.13568180011097322</v>
      </c>
      <c r="AG20">
        <v>0.11364570354252834</v>
      </c>
      <c r="AH20">
        <v>0.15531931854659614</v>
      </c>
      <c r="AI20">
        <v>0.12577261160574754</v>
      </c>
      <c r="AJ20">
        <v>9.5563288526295934E-2</v>
      </c>
      <c r="AK20">
        <v>0.16011016816504639</v>
      </c>
      <c r="AL20">
        <v>0.13835301564102359</v>
      </c>
      <c r="AM20">
        <v>0.121383026582775</v>
      </c>
      <c r="AN20">
        <v>2.8848402891904424E-2</v>
      </c>
      <c r="AP20">
        <f t="shared" si="2"/>
        <v>1.0000000028852485</v>
      </c>
      <c r="AQ20">
        <f t="shared" si="3"/>
        <v>1.0000000014426242</v>
      </c>
      <c r="AS20">
        <f t="shared" si="4"/>
        <v>7.0527085012005844E-2</v>
      </c>
      <c r="AT20">
        <f t="shared" si="5"/>
        <v>0.20572758029325799</v>
      </c>
      <c r="AU20">
        <f t="shared" si="6"/>
        <v>0.36468173532723885</v>
      </c>
      <c r="AV20">
        <f t="shared" si="7"/>
        <v>0.32927442825495318</v>
      </c>
      <c r="AW20">
        <f t="shared" si="8"/>
        <v>0.25556768935006691</v>
      </c>
      <c r="AX20">
        <f t="shared" si="9"/>
        <v>0.17008176818189011</v>
      </c>
      <c r="AY20">
        <f t="shared" si="10"/>
        <v>0.20310501602005626</v>
      </c>
      <c r="AZ20">
        <f t="shared" si="11"/>
        <v>0.17862243657992657</v>
      </c>
      <c r="BA20">
        <f t="shared" si="12"/>
        <v>0.19223047660191511</v>
      </c>
      <c r="BB20">
        <f t="shared" si="13"/>
        <v>0.16245416017273864</v>
      </c>
      <c r="BC20">
        <f t="shared" si="14"/>
        <v>8.9114147510932357E-2</v>
      </c>
      <c r="BD20">
        <f t="shared" si="15"/>
        <v>0.16519315568249876</v>
      </c>
      <c r="BE20">
        <f t="shared" si="16"/>
        <v>6.0047878322192355E-2</v>
      </c>
      <c r="BF20">
        <f t="shared" si="17"/>
        <v>0.15293292619871662</v>
      </c>
      <c r="BG20">
        <f t="shared" si="18"/>
        <v>0.13078380740988071</v>
      </c>
      <c r="BH20">
        <f t="shared" si="19"/>
        <v>0.10797867868435643</v>
      </c>
      <c r="BI20">
        <f t="shared" si="20"/>
        <v>0.14025542163109608</v>
      </c>
      <c r="BJ20">
        <f t="shared" si="21"/>
        <v>0.1201603651032148</v>
      </c>
      <c r="BK20">
        <f t="shared" si="22"/>
        <v>0.18385251935741803</v>
      </c>
      <c r="BL20">
        <f t="shared" si="23"/>
        <v>6.1459246745786192E-2</v>
      </c>
      <c r="BM20">
        <f t="shared" si="24"/>
        <v>4.1889861858150045E-2</v>
      </c>
      <c r="BN20">
        <f t="shared" si="25"/>
        <v>0.24320649122226687</v>
      </c>
      <c r="BO20">
        <f t="shared" si="26"/>
        <v>0.12401489023658555</v>
      </c>
      <c r="BP20">
        <f t="shared" si="27"/>
        <v>0.10819300353458829</v>
      </c>
      <c r="BQ20">
        <f t="shared" si="28"/>
        <v>0.13533265065431196</v>
      </c>
      <c r="BR20">
        <f t="shared" si="29"/>
        <v>0.17636823485036096</v>
      </c>
      <c r="BS20">
        <f t="shared" si="30"/>
        <v>0.16157501135026528</v>
      </c>
      <c r="BT20">
        <f t="shared" si="31"/>
        <v>6.7053541214038268E-2</v>
      </c>
      <c r="BU20">
        <f t="shared" si="32"/>
        <v>8.365991055468712E-2</v>
      </c>
      <c r="BV20">
        <f t="shared" si="33"/>
        <v>4.5949958827558729E-2</v>
      </c>
      <c r="BW20">
        <f t="shared" si="34"/>
        <v>0.13568179991523538</v>
      </c>
      <c r="BX20">
        <f t="shared" si="35"/>
        <v>0.11364570337858029</v>
      </c>
      <c r="BY20">
        <f t="shared" si="36"/>
        <v>0.15531931832252874</v>
      </c>
      <c r="BZ20">
        <f t="shared" si="37"/>
        <v>0.12577261142430493</v>
      </c>
      <c r="CA20">
        <f t="shared" si="38"/>
        <v>9.5563288388434017E-2</v>
      </c>
      <c r="CB20">
        <f t="shared" si="39"/>
        <v>0.16011016793406757</v>
      </c>
      <c r="CC20">
        <f t="shared" si="40"/>
        <v>0.13835301544143216</v>
      </c>
      <c r="CD20">
        <f t="shared" si="41"/>
        <v>0.12138302640766491</v>
      </c>
      <c r="CE20">
        <f t="shared" si="42"/>
        <v>2.884840285028702E-2</v>
      </c>
      <c r="CG20">
        <f t="shared" si="43"/>
        <v>0.99999999999999978</v>
      </c>
      <c r="CH20">
        <f t="shared" si="44"/>
        <v>0.99999999999999989</v>
      </c>
      <c r="CJ20">
        <f t="shared" si="45"/>
        <v>0.89767385229638297</v>
      </c>
    </row>
    <row r="21" spans="1:88" ht="14.4" x14ac:dyDescent="0.3">
      <c r="A21" s="5" t="s">
        <v>22</v>
      </c>
      <c r="B21">
        <v>7.0527085113749929E-2</v>
      </c>
      <c r="C21">
        <v>0.20572758059004559</v>
      </c>
      <c r="D21">
        <v>0.36468173585333757</v>
      </c>
      <c r="E21">
        <v>0.32927442872997242</v>
      </c>
      <c r="F21">
        <v>0.25556768971875504</v>
      </c>
      <c r="G21">
        <v>0.1700817684272542</v>
      </c>
      <c r="H21">
        <v>0.20310501631306049</v>
      </c>
      <c r="I21">
        <v>0.17862243683761164</v>
      </c>
      <c r="J21">
        <v>0.19223047687923145</v>
      </c>
      <c r="K21">
        <v>0.16245416040709895</v>
      </c>
      <c r="L21">
        <v>8.911414763949059E-2</v>
      </c>
      <c r="M21">
        <v>0.16519315592081041</v>
      </c>
      <c r="N21">
        <v>6.0047878408818881E-2</v>
      </c>
      <c r="O21">
        <v>0.15293292641934136</v>
      </c>
      <c r="P21">
        <v>0.1307838075985526</v>
      </c>
      <c r="Q21">
        <v>0.10797867884012909</v>
      </c>
      <c r="R21">
        <v>0.14025542183343195</v>
      </c>
      <c r="S21">
        <v>0.12016036527656106</v>
      </c>
      <c r="T21">
        <v>0.18385251962264812</v>
      </c>
      <c r="U21">
        <v>6.145924683444879E-2</v>
      </c>
      <c r="V21">
        <v>4.1889861918581378E-2</v>
      </c>
      <c r="W21">
        <v>0.24320649157312244</v>
      </c>
      <c r="X21">
        <v>0.12401489041549243</v>
      </c>
      <c r="Y21">
        <v>0.10819300369067014</v>
      </c>
      <c r="Z21">
        <v>0.13533265084954613</v>
      </c>
      <c r="AA21">
        <v>0.17636823510479405</v>
      </c>
      <c r="AB21">
        <v>0.1615750115833573</v>
      </c>
      <c r="AC21">
        <v>6.7053541310771334E-2</v>
      </c>
      <c r="AD21">
        <v>8.3659910675376939E-2</v>
      </c>
      <c r="AE21">
        <v>4.5949958893847252E-2</v>
      </c>
      <c r="AF21">
        <v>0.13568180011097322</v>
      </c>
      <c r="AG21">
        <v>0.11364570354252834</v>
      </c>
      <c r="AH21">
        <v>0.15531931854659614</v>
      </c>
      <c r="AI21">
        <v>0.12577261160574754</v>
      </c>
      <c r="AJ21">
        <v>9.5563288526295934E-2</v>
      </c>
      <c r="AK21">
        <v>0.16011016816504639</v>
      </c>
      <c r="AL21">
        <v>0.13835301564102359</v>
      </c>
      <c r="AM21">
        <v>0.121383026582775</v>
      </c>
      <c r="AN21">
        <v>2.8848402891904424E-2</v>
      </c>
      <c r="AP21">
        <f t="shared" si="2"/>
        <v>1.0000000028852485</v>
      </c>
      <c r="AQ21">
        <f t="shared" si="3"/>
        <v>1.0000000014426242</v>
      </c>
      <c r="AS21">
        <f t="shared" si="4"/>
        <v>7.0527085012005844E-2</v>
      </c>
      <c r="AT21">
        <f t="shared" si="5"/>
        <v>0.20572758029325799</v>
      </c>
      <c r="AU21">
        <f t="shared" si="6"/>
        <v>0.36468173532723885</v>
      </c>
      <c r="AV21">
        <f t="shared" si="7"/>
        <v>0.32927442825495318</v>
      </c>
      <c r="AW21">
        <f t="shared" si="8"/>
        <v>0.25556768935006691</v>
      </c>
      <c r="AX21">
        <f t="shared" si="9"/>
        <v>0.17008176818189011</v>
      </c>
      <c r="AY21">
        <f t="shared" si="10"/>
        <v>0.20310501602005626</v>
      </c>
      <c r="AZ21">
        <f t="shared" si="11"/>
        <v>0.17862243657992657</v>
      </c>
      <c r="BA21">
        <f t="shared" si="12"/>
        <v>0.19223047660191511</v>
      </c>
      <c r="BB21">
        <f t="shared" si="13"/>
        <v>0.16245416017273864</v>
      </c>
      <c r="BC21">
        <f t="shared" si="14"/>
        <v>8.9114147510932357E-2</v>
      </c>
      <c r="BD21">
        <f t="shared" si="15"/>
        <v>0.16519315568249876</v>
      </c>
      <c r="BE21">
        <f t="shared" si="16"/>
        <v>6.0047878322192355E-2</v>
      </c>
      <c r="BF21">
        <f t="shared" si="17"/>
        <v>0.15293292619871662</v>
      </c>
      <c r="BG21">
        <f t="shared" si="18"/>
        <v>0.13078380740988071</v>
      </c>
      <c r="BH21">
        <f t="shared" si="19"/>
        <v>0.10797867868435643</v>
      </c>
      <c r="BI21">
        <f t="shared" si="20"/>
        <v>0.14025542163109608</v>
      </c>
      <c r="BJ21">
        <f t="shared" si="21"/>
        <v>0.1201603651032148</v>
      </c>
      <c r="BK21">
        <f t="shared" si="22"/>
        <v>0.18385251935741803</v>
      </c>
      <c r="BL21">
        <f t="shared" si="23"/>
        <v>6.1459246745786192E-2</v>
      </c>
      <c r="BM21">
        <f t="shared" si="24"/>
        <v>4.1889861858150045E-2</v>
      </c>
      <c r="BN21">
        <f t="shared" si="25"/>
        <v>0.24320649122226687</v>
      </c>
      <c r="BO21">
        <f t="shared" si="26"/>
        <v>0.12401489023658555</v>
      </c>
      <c r="BP21">
        <f t="shared" si="27"/>
        <v>0.10819300353458829</v>
      </c>
      <c r="BQ21">
        <f t="shared" si="28"/>
        <v>0.13533265065431196</v>
      </c>
      <c r="BR21">
        <f t="shared" si="29"/>
        <v>0.17636823485036096</v>
      </c>
      <c r="BS21">
        <f t="shared" si="30"/>
        <v>0.16157501135026528</v>
      </c>
      <c r="BT21">
        <f t="shared" si="31"/>
        <v>6.7053541214038268E-2</v>
      </c>
      <c r="BU21">
        <f t="shared" si="32"/>
        <v>8.365991055468712E-2</v>
      </c>
      <c r="BV21">
        <f t="shared" si="33"/>
        <v>4.5949958827558729E-2</v>
      </c>
      <c r="BW21">
        <f t="shared" si="34"/>
        <v>0.13568179991523538</v>
      </c>
      <c r="BX21">
        <f t="shared" si="35"/>
        <v>0.11364570337858029</v>
      </c>
      <c r="BY21">
        <f t="shared" si="36"/>
        <v>0.15531931832252874</v>
      </c>
      <c r="BZ21">
        <f t="shared" si="37"/>
        <v>0.12577261142430493</v>
      </c>
      <c r="CA21">
        <f t="shared" si="38"/>
        <v>9.5563288388434017E-2</v>
      </c>
      <c r="CB21">
        <f t="shared" si="39"/>
        <v>0.16011016793406757</v>
      </c>
      <c r="CC21">
        <f t="shared" si="40"/>
        <v>0.13835301544143216</v>
      </c>
      <c r="CD21">
        <f t="shared" si="41"/>
        <v>0.12138302640766491</v>
      </c>
      <c r="CE21">
        <f t="shared" si="42"/>
        <v>2.884840285028702E-2</v>
      </c>
      <c r="CG21">
        <f t="shared" si="43"/>
        <v>0.99999999999999978</v>
      </c>
      <c r="CH21">
        <f t="shared" si="44"/>
        <v>0.99999999999999989</v>
      </c>
      <c r="CJ21">
        <f t="shared" si="45"/>
        <v>0.89767385229638297</v>
      </c>
    </row>
    <row r="22" spans="1:88" ht="14.4" x14ac:dyDescent="0.3">
      <c r="A22" s="5" t="s">
        <v>23</v>
      </c>
      <c r="B22">
        <v>7.0527085113749929E-2</v>
      </c>
      <c r="C22">
        <v>0.20572758059004559</v>
      </c>
      <c r="D22">
        <v>0.36468173585333757</v>
      </c>
      <c r="E22">
        <v>0.32927442872997242</v>
      </c>
      <c r="F22">
        <v>0.25556768971875504</v>
      </c>
      <c r="G22">
        <v>0.1700817684272542</v>
      </c>
      <c r="H22">
        <v>0.20310501631306049</v>
      </c>
      <c r="I22">
        <v>0.17862243683761164</v>
      </c>
      <c r="J22">
        <v>0.19223047687923145</v>
      </c>
      <c r="K22">
        <v>0.16245416040709895</v>
      </c>
      <c r="L22">
        <v>8.911414763949059E-2</v>
      </c>
      <c r="M22">
        <v>0.16519315592081041</v>
      </c>
      <c r="N22">
        <v>6.0047878408818881E-2</v>
      </c>
      <c r="O22">
        <v>0.15293292641934136</v>
      </c>
      <c r="P22">
        <v>0.1307838075985526</v>
      </c>
      <c r="Q22">
        <v>0.10797867884012909</v>
      </c>
      <c r="R22">
        <v>0.14025542183343195</v>
      </c>
      <c r="S22">
        <v>0.12016036527656106</v>
      </c>
      <c r="T22">
        <v>0.18385251962264812</v>
      </c>
      <c r="U22">
        <v>6.145924683444879E-2</v>
      </c>
      <c r="V22">
        <v>4.1889861918581378E-2</v>
      </c>
      <c r="W22">
        <v>0.24320649157312244</v>
      </c>
      <c r="X22">
        <v>0.12401489041549243</v>
      </c>
      <c r="Y22">
        <v>0.10819300369067014</v>
      </c>
      <c r="Z22">
        <v>0.13533265084954613</v>
      </c>
      <c r="AA22">
        <v>0.17636823510479405</v>
      </c>
      <c r="AB22">
        <v>0.1615750115833573</v>
      </c>
      <c r="AC22">
        <v>6.7053541310771334E-2</v>
      </c>
      <c r="AD22">
        <v>8.3659910675376939E-2</v>
      </c>
      <c r="AE22">
        <v>4.5949958893847252E-2</v>
      </c>
      <c r="AF22">
        <v>0.13568180011097322</v>
      </c>
      <c r="AG22">
        <v>0.11364570354252834</v>
      </c>
      <c r="AH22">
        <v>0.15531931854659614</v>
      </c>
      <c r="AI22">
        <v>0.12577261160574754</v>
      </c>
      <c r="AJ22">
        <v>9.5563288526295934E-2</v>
      </c>
      <c r="AK22">
        <v>0.16011016816504639</v>
      </c>
      <c r="AL22">
        <v>0.13835301564102359</v>
      </c>
      <c r="AM22">
        <v>0.121383026582775</v>
      </c>
      <c r="AN22">
        <v>2.8848402891904424E-2</v>
      </c>
      <c r="AP22">
        <f t="shared" si="2"/>
        <v>1.0000000028852485</v>
      </c>
      <c r="AQ22">
        <f t="shared" si="3"/>
        <v>1.0000000014426242</v>
      </c>
      <c r="AS22">
        <f t="shared" si="4"/>
        <v>7.0527085012005844E-2</v>
      </c>
      <c r="AT22">
        <f t="shared" si="5"/>
        <v>0.20572758029325799</v>
      </c>
      <c r="AU22">
        <f t="shared" si="6"/>
        <v>0.36468173532723885</v>
      </c>
      <c r="AV22">
        <f t="shared" si="7"/>
        <v>0.32927442825495318</v>
      </c>
      <c r="AW22">
        <f t="shared" si="8"/>
        <v>0.25556768935006691</v>
      </c>
      <c r="AX22">
        <f t="shared" si="9"/>
        <v>0.17008176818189011</v>
      </c>
      <c r="AY22">
        <f t="shared" si="10"/>
        <v>0.20310501602005626</v>
      </c>
      <c r="AZ22">
        <f t="shared" si="11"/>
        <v>0.17862243657992657</v>
      </c>
      <c r="BA22">
        <f t="shared" si="12"/>
        <v>0.19223047660191511</v>
      </c>
      <c r="BB22">
        <f t="shared" si="13"/>
        <v>0.16245416017273864</v>
      </c>
      <c r="BC22">
        <f t="shared" si="14"/>
        <v>8.9114147510932357E-2</v>
      </c>
      <c r="BD22">
        <f t="shared" si="15"/>
        <v>0.16519315568249876</v>
      </c>
      <c r="BE22">
        <f t="shared" si="16"/>
        <v>6.0047878322192355E-2</v>
      </c>
      <c r="BF22">
        <f t="shared" si="17"/>
        <v>0.15293292619871662</v>
      </c>
      <c r="BG22">
        <f t="shared" si="18"/>
        <v>0.13078380740988071</v>
      </c>
      <c r="BH22">
        <f t="shared" si="19"/>
        <v>0.10797867868435643</v>
      </c>
      <c r="BI22">
        <f t="shared" si="20"/>
        <v>0.14025542163109608</v>
      </c>
      <c r="BJ22">
        <f t="shared" si="21"/>
        <v>0.1201603651032148</v>
      </c>
      <c r="BK22">
        <f t="shared" si="22"/>
        <v>0.18385251935741803</v>
      </c>
      <c r="BL22">
        <f t="shared" si="23"/>
        <v>6.1459246745786192E-2</v>
      </c>
      <c r="BM22">
        <f t="shared" si="24"/>
        <v>4.1889861858150045E-2</v>
      </c>
      <c r="BN22">
        <f t="shared" si="25"/>
        <v>0.24320649122226687</v>
      </c>
      <c r="BO22">
        <f t="shared" si="26"/>
        <v>0.12401489023658555</v>
      </c>
      <c r="BP22">
        <f t="shared" si="27"/>
        <v>0.10819300353458829</v>
      </c>
      <c r="BQ22">
        <f t="shared" si="28"/>
        <v>0.13533265065431196</v>
      </c>
      <c r="BR22">
        <f t="shared" si="29"/>
        <v>0.17636823485036096</v>
      </c>
      <c r="BS22">
        <f t="shared" si="30"/>
        <v>0.16157501135026528</v>
      </c>
      <c r="BT22">
        <f t="shared" si="31"/>
        <v>6.7053541214038268E-2</v>
      </c>
      <c r="BU22">
        <f t="shared" si="32"/>
        <v>8.365991055468712E-2</v>
      </c>
      <c r="BV22">
        <f t="shared" si="33"/>
        <v>4.5949958827558729E-2</v>
      </c>
      <c r="BW22">
        <f t="shared" si="34"/>
        <v>0.13568179991523538</v>
      </c>
      <c r="BX22">
        <f t="shared" si="35"/>
        <v>0.11364570337858029</v>
      </c>
      <c r="BY22">
        <f t="shared" si="36"/>
        <v>0.15531931832252874</v>
      </c>
      <c r="BZ22">
        <f t="shared" si="37"/>
        <v>0.12577261142430493</v>
      </c>
      <c r="CA22">
        <f t="shared" si="38"/>
        <v>9.5563288388434017E-2</v>
      </c>
      <c r="CB22">
        <f t="shared" si="39"/>
        <v>0.16011016793406757</v>
      </c>
      <c r="CC22">
        <f t="shared" si="40"/>
        <v>0.13835301544143216</v>
      </c>
      <c r="CD22">
        <f t="shared" si="41"/>
        <v>0.12138302640766491</v>
      </c>
      <c r="CE22">
        <f t="shared" si="42"/>
        <v>2.884840285028702E-2</v>
      </c>
      <c r="CG22">
        <f t="shared" si="43"/>
        <v>0.99999999999999978</v>
      </c>
      <c r="CH22">
        <f t="shared" si="44"/>
        <v>0.99999999999999989</v>
      </c>
      <c r="CJ22">
        <f t="shared" si="45"/>
        <v>0.89767385229638297</v>
      </c>
    </row>
    <row r="23" spans="1:88" ht="14.4" x14ac:dyDescent="0.3">
      <c r="A23" s="5" t="s">
        <v>24</v>
      </c>
      <c r="B23">
        <v>7.0527085113749929E-2</v>
      </c>
      <c r="C23">
        <v>0.20572758059004559</v>
      </c>
      <c r="D23">
        <v>0.36468173585333757</v>
      </c>
      <c r="E23">
        <v>0.32927442872997242</v>
      </c>
      <c r="F23">
        <v>0.25556768971875504</v>
      </c>
      <c r="G23">
        <v>0.1700817684272542</v>
      </c>
      <c r="H23">
        <v>0.20310501631306049</v>
      </c>
      <c r="I23">
        <v>0.17862243683761164</v>
      </c>
      <c r="J23">
        <v>0.19223047687923145</v>
      </c>
      <c r="K23">
        <v>0.16245416040709895</v>
      </c>
      <c r="L23">
        <v>8.911414763949059E-2</v>
      </c>
      <c r="M23">
        <v>0.16519315592081041</v>
      </c>
      <c r="N23">
        <v>6.0047878408818881E-2</v>
      </c>
      <c r="O23">
        <v>0.15293292641934136</v>
      </c>
      <c r="P23">
        <v>0.1307838075985526</v>
      </c>
      <c r="Q23">
        <v>0.10797867884012909</v>
      </c>
      <c r="R23">
        <v>0.14025542183343195</v>
      </c>
      <c r="S23">
        <v>0.12016036527656106</v>
      </c>
      <c r="T23">
        <v>0.18385251962264812</v>
      </c>
      <c r="U23">
        <v>6.145924683444879E-2</v>
      </c>
      <c r="V23">
        <v>4.1889861918581378E-2</v>
      </c>
      <c r="W23">
        <v>0.24320649157312244</v>
      </c>
      <c r="X23">
        <v>0.12401489041549243</v>
      </c>
      <c r="Y23">
        <v>0.10819300369067014</v>
      </c>
      <c r="Z23">
        <v>0.13533265084954613</v>
      </c>
      <c r="AA23">
        <v>0.17636823510479405</v>
      </c>
      <c r="AB23">
        <v>0.1615750115833573</v>
      </c>
      <c r="AC23">
        <v>6.7053541310771334E-2</v>
      </c>
      <c r="AD23">
        <v>8.3659910675376939E-2</v>
      </c>
      <c r="AE23">
        <v>4.5949958893847252E-2</v>
      </c>
      <c r="AF23">
        <v>0.13568180011097322</v>
      </c>
      <c r="AG23">
        <v>0.11364570354252834</v>
      </c>
      <c r="AH23">
        <v>0.15531931854659614</v>
      </c>
      <c r="AI23">
        <v>0.12577261160574754</v>
      </c>
      <c r="AJ23">
        <v>9.5563288526295934E-2</v>
      </c>
      <c r="AK23">
        <v>0.16011016816504639</v>
      </c>
      <c r="AL23">
        <v>0.13835301564102359</v>
      </c>
      <c r="AM23">
        <v>0.121383026582775</v>
      </c>
      <c r="AN23">
        <v>2.8848402891904424E-2</v>
      </c>
      <c r="AP23">
        <f t="shared" si="2"/>
        <v>1.0000000028852485</v>
      </c>
      <c r="AQ23">
        <f t="shared" si="3"/>
        <v>1.0000000014426242</v>
      </c>
      <c r="AS23">
        <f t="shared" si="4"/>
        <v>7.0527085012005844E-2</v>
      </c>
      <c r="AT23">
        <f t="shared" si="5"/>
        <v>0.20572758029325799</v>
      </c>
      <c r="AU23">
        <f t="shared" si="6"/>
        <v>0.36468173532723885</v>
      </c>
      <c r="AV23">
        <f t="shared" si="7"/>
        <v>0.32927442825495318</v>
      </c>
      <c r="AW23">
        <f t="shared" si="8"/>
        <v>0.25556768935006691</v>
      </c>
      <c r="AX23">
        <f t="shared" si="9"/>
        <v>0.17008176818189011</v>
      </c>
      <c r="AY23">
        <f t="shared" si="10"/>
        <v>0.20310501602005626</v>
      </c>
      <c r="AZ23">
        <f t="shared" si="11"/>
        <v>0.17862243657992657</v>
      </c>
      <c r="BA23">
        <f t="shared" si="12"/>
        <v>0.19223047660191511</v>
      </c>
      <c r="BB23">
        <f t="shared" si="13"/>
        <v>0.16245416017273864</v>
      </c>
      <c r="BC23">
        <f t="shared" si="14"/>
        <v>8.9114147510932357E-2</v>
      </c>
      <c r="BD23">
        <f t="shared" si="15"/>
        <v>0.16519315568249876</v>
      </c>
      <c r="BE23">
        <f t="shared" si="16"/>
        <v>6.0047878322192355E-2</v>
      </c>
      <c r="BF23">
        <f t="shared" si="17"/>
        <v>0.15293292619871662</v>
      </c>
      <c r="BG23">
        <f t="shared" si="18"/>
        <v>0.13078380740988071</v>
      </c>
      <c r="BH23">
        <f t="shared" si="19"/>
        <v>0.10797867868435643</v>
      </c>
      <c r="BI23">
        <f t="shared" si="20"/>
        <v>0.14025542163109608</v>
      </c>
      <c r="BJ23">
        <f t="shared" si="21"/>
        <v>0.1201603651032148</v>
      </c>
      <c r="BK23">
        <f t="shared" si="22"/>
        <v>0.18385251935741803</v>
      </c>
      <c r="BL23">
        <f t="shared" si="23"/>
        <v>6.1459246745786192E-2</v>
      </c>
      <c r="BM23">
        <f t="shared" si="24"/>
        <v>4.1889861858150045E-2</v>
      </c>
      <c r="BN23">
        <f t="shared" si="25"/>
        <v>0.24320649122226687</v>
      </c>
      <c r="BO23">
        <f t="shared" si="26"/>
        <v>0.12401489023658555</v>
      </c>
      <c r="BP23">
        <f t="shared" si="27"/>
        <v>0.10819300353458829</v>
      </c>
      <c r="BQ23">
        <f t="shared" si="28"/>
        <v>0.13533265065431196</v>
      </c>
      <c r="BR23">
        <f t="shared" si="29"/>
        <v>0.17636823485036096</v>
      </c>
      <c r="BS23">
        <f t="shared" si="30"/>
        <v>0.16157501135026528</v>
      </c>
      <c r="BT23">
        <f t="shared" si="31"/>
        <v>6.7053541214038268E-2</v>
      </c>
      <c r="BU23">
        <f t="shared" si="32"/>
        <v>8.365991055468712E-2</v>
      </c>
      <c r="BV23">
        <f t="shared" si="33"/>
        <v>4.5949958827558729E-2</v>
      </c>
      <c r="BW23">
        <f t="shared" si="34"/>
        <v>0.13568179991523538</v>
      </c>
      <c r="BX23">
        <f t="shared" si="35"/>
        <v>0.11364570337858029</v>
      </c>
      <c r="BY23">
        <f t="shared" si="36"/>
        <v>0.15531931832252874</v>
      </c>
      <c r="BZ23">
        <f t="shared" si="37"/>
        <v>0.12577261142430493</v>
      </c>
      <c r="CA23">
        <f t="shared" si="38"/>
        <v>9.5563288388434017E-2</v>
      </c>
      <c r="CB23">
        <f t="shared" si="39"/>
        <v>0.16011016793406757</v>
      </c>
      <c r="CC23">
        <f t="shared" si="40"/>
        <v>0.13835301544143216</v>
      </c>
      <c r="CD23">
        <f t="shared" si="41"/>
        <v>0.12138302640766491</v>
      </c>
      <c r="CE23">
        <f t="shared" si="42"/>
        <v>2.884840285028702E-2</v>
      </c>
      <c r="CG23">
        <f t="shared" si="43"/>
        <v>0.99999999999999978</v>
      </c>
      <c r="CH23">
        <f t="shared" si="44"/>
        <v>0.99999999999999989</v>
      </c>
      <c r="CJ23">
        <f t="shared" si="45"/>
        <v>0.89767385229638297</v>
      </c>
    </row>
    <row r="24" spans="1:88" ht="14.4" x14ac:dyDescent="0.3">
      <c r="A24" s="5" t="s">
        <v>25</v>
      </c>
      <c r="B24">
        <v>7.0527085113749929E-2</v>
      </c>
      <c r="C24">
        <v>0.20572758059004559</v>
      </c>
      <c r="D24">
        <v>0.36468173585333757</v>
      </c>
      <c r="E24">
        <v>0.32927442872997242</v>
      </c>
      <c r="F24">
        <v>0.25556768971875504</v>
      </c>
      <c r="G24">
        <v>0.1700817684272542</v>
      </c>
      <c r="H24">
        <v>0.20310501631306049</v>
      </c>
      <c r="I24">
        <v>0.17862243683761164</v>
      </c>
      <c r="J24">
        <v>0.19223047687923145</v>
      </c>
      <c r="K24">
        <v>0.16245416040709895</v>
      </c>
      <c r="L24">
        <v>8.911414763949059E-2</v>
      </c>
      <c r="M24">
        <v>0.16519315592081041</v>
      </c>
      <c r="N24">
        <v>6.0047878408818881E-2</v>
      </c>
      <c r="O24">
        <v>0.15293292641934136</v>
      </c>
      <c r="P24">
        <v>0.1307838075985526</v>
      </c>
      <c r="Q24">
        <v>0.10797867884012909</v>
      </c>
      <c r="R24">
        <v>0.14025542183343195</v>
      </c>
      <c r="S24">
        <v>0.12016036527656106</v>
      </c>
      <c r="T24">
        <v>0.18385251962264812</v>
      </c>
      <c r="U24">
        <v>6.145924683444879E-2</v>
      </c>
      <c r="V24">
        <v>4.1889861918581378E-2</v>
      </c>
      <c r="W24">
        <v>0.24320649157312244</v>
      </c>
      <c r="X24">
        <v>0.12401489041549243</v>
      </c>
      <c r="Y24">
        <v>0.10819300369067014</v>
      </c>
      <c r="Z24">
        <v>0.13533265084954613</v>
      </c>
      <c r="AA24">
        <v>0.17636823510479405</v>
      </c>
      <c r="AB24">
        <v>0.1615750115833573</v>
      </c>
      <c r="AC24">
        <v>6.7053541310771334E-2</v>
      </c>
      <c r="AD24">
        <v>8.3659910675376939E-2</v>
      </c>
      <c r="AE24">
        <v>4.5949958893847252E-2</v>
      </c>
      <c r="AF24">
        <v>0.13568180011097322</v>
      </c>
      <c r="AG24">
        <v>0.11364570354252834</v>
      </c>
      <c r="AH24">
        <v>0.15531931854659614</v>
      </c>
      <c r="AI24">
        <v>0.12577261160574754</v>
      </c>
      <c r="AJ24">
        <v>9.5563288526295934E-2</v>
      </c>
      <c r="AK24">
        <v>0.16011016816504639</v>
      </c>
      <c r="AL24">
        <v>0.13835301564102359</v>
      </c>
      <c r="AM24">
        <v>0.121383026582775</v>
      </c>
      <c r="AN24">
        <v>2.8848402891904424E-2</v>
      </c>
      <c r="AP24">
        <f t="shared" si="2"/>
        <v>1.0000000028852485</v>
      </c>
      <c r="AQ24">
        <f t="shared" si="3"/>
        <v>1.0000000014426242</v>
      </c>
      <c r="AS24">
        <f t="shared" si="4"/>
        <v>7.0527085012005844E-2</v>
      </c>
      <c r="AT24">
        <f t="shared" si="5"/>
        <v>0.20572758029325799</v>
      </c>
      <c r="AU24">
        <f t="shared" si="6"/>
        <v>0.36468173532723885</v>
      </c>
      <c r="AV24">
        <f t="shared" si="7"/>
        <v>0.32927442825495318</v>
      </c>
      <c r="AW24">
        <f t="shared" si="8"/>
        <v>0.25556768935006691</v>
      </c>
      <c r="AX24">
        <f t="shared" si="9"/>
        <v>0.17008176818189011</v>
      </c>
      <c r="AY24">
        <f t="shared" si="10"/>
        <v>0.20310501602005626</v>
      </c>
      <c r="AZ24">
        <f t="shared" si="11"/>
        <v>0.17862243657992657</v>
      </c>
      <c r="BA24">
        <f t="shared" si="12"/>
        <v>0.19223047660191511</v>
      </c>
      <c r="BB24">
        <f t="shared" si="13"/>
        <v>0.16245416017273864</v>
      </c>
      <c r="BC24">
        <f t="shared" si="14"/>
        <v>8.9114147510932357E-2</v>
      </c>
      <c r="BD24">
        <f t="shared" si="15"/>
        <v>0.16519315568249876</v>
      </c>
      <c r="BE24">
        <f t="shared" si="16"/>
        <v>6.0047878322192355E-2</v>
      </c>
      <c r="BF24">
        <f t="shared" si="17"/>
        <v>0.15293292619871662</v>
      </c>
      <c r="BG24">
        <f t="shared" si="18"/>
        <v>0.13078380740988071</v>
      </c>
      <c r="BH24">
        <f t="shared" si="19"/>
        <v>0.10797867868435643</v>
      </c>
      <c r="BI24">
        <f t="shared" si="20"/>
        <v>0.14025542163109608</v>
      </c>
      <c r="BJ24">
        <f t="shared" si="21"/>
        <v>0.1201603651032148</v>
      </c>
      <c r="BK24">
        <f t="shared" si="22"/>
        <v>0.18385251935741803</v>
      </c>
      <c r="BL24">
        <f t="shared" si="23"/>
        <v>6.1459246745786192E-2</v>
      </c>
      <c r="BM24">
        <f t="shared" si="24"/>
        <v>4.1889861858150045E-2</v>
      </c>
      <c r="BN24">
        <f t="shared" si="25"/>
        <v>0.24320649122226687</v>
      </c>
      <c r="BO24">
        <f t="shared" si="26"/>
        <v>0.12401489023658555</v>
      </c>
      <c r="BP24">
        <f t="shared" si="27"/>
        <v>0.10819300353458829</v>
      </c>
      <c r="BQ24">
        <f t="shared" si="28"/>
        <v>0.13533265065431196</v>
      </c>
      <c r="BR24">
        <f t="shared" si="29"/>
        <v>0.17636823485036096</v>
      </c>
      <c r="BS24">
        <f t="shared" si="30"/>
        <v>0.16157501135026528</v>
      </c>
      <c r="BT24">
        <f t="shared" si="31"/>
        <v>6.7053541214038268E-2</v>
      </c>
      <c r="BU24">
        <f t="shared" si="32"/>
        <v>8.365991055468712E-2</v>
      </c>
      <c r="BV24">
        <f t="shared" si="33"/>
        <v>4.5949958827558729E-2</v>
      </c>
      <c r="BW24">
        <f t="shared" si="34"/>
        <v>0.13568179991523538</v>
      </c>
      <c r="BX24">
        <f t="shared" si="35"/>
        <v>0.11364570337858029</v>
      </c>
      <c r="BY24">
        <f t="shared" si="36"/>
        <v>0.15531931832252874</v>
      </c>
      <c r="BZ24">
        <f t="shared" si="37"/>
        <v>0.12577261142430493</v>
      </c>
      <c r="CA24">
        <f t="shared" si="38"/>
        <v>9.5563288388434017E-2</v>
      </c>
      <c r="CB24">
        <f t="shared" si="39"/>
        <v>0.16011016793406757</v>
      </c>
      <c r="CC24">
        <f t="shared" si="40"/>
        <v>0.13835301544143216</v>
      </c>
      <c r="CD24">
        <f t="shared" si="41"/>
        <v>0.12138302640766491</v>
      </c>
      <c r="CE24">
        <f t="shared" si="42"/>
        <v>2.884840285028702E-2</v>
      </c>
      <c r="CG24">
        <f t="shared" si="43"/>
        <v>0.99999999999999978</v>
      </c>
      <c r="CH24">
        <f t="shared" si="44"/>
        <v>0.99999999999999989</v>
      </c>
      <c r="CJ24">
        <f t="shared" si="45"/>
        <v>0.89767385229638297</v>
      </c>
    </row>
    <row r="25" spans="1:88" ht="14.4" x14ac:dyDescent="0.3">
      <c r="A25" s="5" t="s">
        <v>26</v>
      </c>
      <c r="B25">
        <v>7.0527085113749929E-2</v>
      </c>
      <c r="C25">
        <v>0.20572758059004559</v>
      </c>
      <c r="D25">
        <v>0.36468173585333757</v>
      </c>
      <c r="E25">
        <v>0.32927442872997242</v>
      </c>
      <c r="F25">
        <v>0.25556768971875504</v>
      </c>
      <c r="G25">
        <v>0.1700817684272542</v>
      </c>
      <c r="H25">
        <v>0.20310501631306049</v>
      </c>
      <c r="I25">
        <v>0.17862243683761164</v>
      </c>
      <c r="J25">
        <v>0.19223047687923145</v>
      </c>
      <c r="K25">
        <v>0.16245416040709895</v>
      </c>
      <c r="L25">
        <v>8.911414763949059E-2</v>
      </c>
      <c r="M25">
        <v>0.16519315592081041</v>
      </c>
      <c r="N25">
        <v>6.0047878408818881E-2</v>
      </c>
      <c r="O25">
        <v>0.15293292641934136</v>
      </c>
      <c r="P25">
        <v>0.1307838075985526</v>
      </c>
      <c r="Q25">
        <v>0.10797867884012909</v>
      </c>
      <c r="R25">
        <v>0.14025542183343195</v>
      </c>
      <c r="S25">
        <v>0.12016036527656106</v>
      </c>
      <c r="T25">
        <v>0.18385251962264812</v>
      </c>
      <c r="U25">
        <v>6.145924683444879E-2</v>
      </c>
      <c r="V25">
        <v>4.1889861918581378E-2</v>
      </c>
      <c r="W25">
        <v>0.24320649157312244</v>
      </c>
      <c r="X25">
        <v>0.12401489041549243</v>
      </c>
      <c r="Y25">
        <v>0.10819300369067014</v>
      </c>
      <c r="Z25">
        <v>0.13533265084954613</v>
      </c>
      <c r="AA25">
        <v>0.17636823510479405</v>
      </c>
      <c r="AB25">
        <v>0.1615750115833573</v>
      </c>
      <c r="AC25">
        <v>6.7053541310771334E-2</v>
      </c>
      <c r="AD25">
        <v>8.3659910675376939E-2</v>
      </c>
      <c r="AE25">
        <v>4.5949958893847252E-2</v>
      </c>
      <c r="AF25">
        <v>0.13568180011097322</v>
      </c>
      <c r="AG25">
        <v>0.11364570354252834</v>
      </c>
      <c r="AH25">
        <v>0.15531931854659614</v>
      </c>
      <c r="AI25">
        <v>0.12577261160574754</v>
      </c>
      <c r="AJ25">
        <v>9.5563288526295934E-2</v>
      </c>
      <c r="AK25">
        <v>0.16011016816504639</v>
      </c>
      <c r="AL25">
        <v>0.13835301564102359</v>
      </c>
      <c r="AM25">
        <v>0.121383026582775</v>
      </c>
      <c r="AN25">
        <v>2.8848402891904424E-2</v>
      </c>
      <c r="AP25">
        <f t="shared" si="2"/>
        <v>1.0000000028852485</v>
      </c>
      <c r="AQ25">
        <f t="shared" si="3"/>
        <v>1.0000000014426242</v>
      </c>
      <c r="AS25">
        <f t="shared" si="4"/>
        <v>7.0527085012005844E-2</v>
      </c>
      <c r="AT25">
        <f t="shared" si="5"/>
        <v>0.20572758029325799</v>
      </c>
      <c r="AU25">
        <f t="shared" si="6"/>
        <v>0.36468173532723885</v>
      </c>
      <c r="AV25">
        <f t="shared" si="7"/>
        <v>0.32927442825495318</v>
      </c>
      <c r="AW25">
        <f t="shared" si="8"/>
        <v>0.25556768935006691</v>
      </c>
      <c r="AX25">
        <f t="shared" si="9"/>
        <v>0.17008176818189011</v>
      </c>
      <c r="AY25">
        <f t="shared" si="10"/>
        <v>0.20310501602005626</v>
      </c>
      <c r="AZ25">
        <f t="shared" si="11"/>
        <v>0.17862243657992657</v>
      </c>
      <c r="BA25">
        <f t="shared" si="12"/>
        <v>0.19223047660191511</v>
      </c>
      <c r="BB25">
        <f t="shared" si="13"/>
        <v>0.16245416017273864</v>
      </c>
      <c r="BC25">
        <f t="shared" si="14"/>
        <v>8.9114147510932357E-2</v>
      </c>
      <c r="BD25">
        <f t="shared" si="15"/>
        <v>0.16519315568249876</v>
      </c>
      <c r="BE25">
        <f t="shared" si="16"/>
        <v>6.0047878322192355E-2</v>
      </c>
      <c r="BF25">
        <f t="shared" si="17"/>
        <v>0.15293292619871662</v>
      </c>
      <c r="BG25">
        <f t="shared" si="18"/>
        <v>0.13078380740988071</v>
      </c>
      <c r="BH25">
        <f t="shared" si="19"/>
        <v>0.10797867868435643</v>
      </c>
      <c r="BI25">
        <f t="shared" si="20"/>
        <v>0.14025542163109608</v>
      </c>
      <c r="BJ25">
        <f t="shared" si="21"/>
        <v>0.1201603651032148</v>
      </c>
      <c r="BK25">
        <f t="shared" si="22"/>
        <v>0.18385251935741803</v>
      </c>
      <c r="BL25">
        <f t="shared" si="23"/>
        <v>6.1459246745786192E-2</v>
      </c>
      <c r="BM25">
        <f t="shared" si="24"/>
        <v>4.1889861858150045E-2</v>
      </c>
      <c r="BN25">
        <f t="shared" si="25"/>
        <v>0.24320649122226687</v>
      </c>
      <c r="BO25">
        <f t="shared" si="26"/>
        <v>0.12401489023658555</v>
      </c>
      <c r="BP25">
        <f t="shared" si="27"/>
        <v>0.10819300353458829</v>
      </c>
      <c r="BQ25">
        <f t="shared" si="28"/>
        <v>0.13533265065431196</v>
      </c>
      <c r="BR25">
        <f t="shared" si="29"/>
        <v>0.17636823485036096</v>
      </c>
      <c r="BS25">
        <f t="shared" si="30"/>
        <v>0.16157501135026528</v>
      </c>
      <c r="BT25">
        <f t="shared" si="31"/>
        <v>6.7053541214038268E-2</v>
      </c>
      <c r="BU25">
        <f t="shared" si="32"/>
        <v>8.365991055468712E-2</v>
      </c>
      <c r="BV25">
        <f t="shared" si="33"/>
        <v>4.5949958827558729E-2</v>
      </c>
      <c r="BW25">
        <f t="shared" si="34"/>
        <v>0.13568179991523538</v>
      </c>
      <c r="BX25">
        <f t="shared" si="35"/>
        <v>0.11364570337858029</v>
      </c>
      <c r="BY25">
        <f t="shared" si="36"/>
        <v>0.15531931832252874</v>
      </c>
      <c r="BZ25">
        <f t="shared" si="37"/>
        <v>0.12577261142430493</v>
      </c>
      <c r="CA25">
        <f t="shared" si="38"/>
        <v>9.5563288388434017E-2</v>
      </c>
      <c r="CB25">
        <f t="shared" si="39"/>
        <v>0.16011016793406757</v>
      </c>
      <c r="CC25">
        <f t="shared" si="40"/>
        <v>0.13835301544143216</v>
      </c>
      <c r="CD25">
        <f t="shared" si="41"/>
        <v>0.12138302640766491</v>
      </c>
      <c r="CE25">
        <f t="shared" si="42"/>
        <v>2.884840285028702E-2</v>
      </c>
      <c r="CG25">
        <f t="shared" si="43"/>
        <v>0.99999999999999978</v>
      </c>
      <c r="CH25">
        <f t="shared" si="44"/>
        <v>0.99999999999999989</v>
      </c>
      <c r="CJ25">
        <f t="shared" si="45"/>
        <v>0.89767385229638297</v>
      </c>
    </row>
    <row r="26" spans="1:88" ht="14.4" x14ac:dyDescent="0.3">
      <c r="A26" s="5" t="s">
        <v>27</v>
      </c>
      <c r="B26">
        <v>7.0527085113749929E-2</v>
      </c>
      <c r="C26">
        <v>0.20572758059004559</v>
      </c>
      <c r="D26">
        <v>0.36468173585333757</v>
      </c>
      <c r="E26">
        <v>0.32927442872997242</v>
      </c>
      <c r="F26">
        <v>0.25556768971875504</v>
      </c>
      <c r="G26">
        <v>0.1700817684272542</v>
      </c>
      <c r="H26">
        <v>0.20310501631306049</v>
      </c>
      <c r="I26">
        <v>0.17862243683761164</v>
      </c>
      <c r="J26">
        <v>0.19223047687923145</v>
      </c>
      <c r="K26">
        <v>0.16245416040709895</v>
      </c>
      <c r="L26">
        <v>8.911414763949059E-2</v>
      </c>
      <c r="M26">
        <v>0.16519315592081041</v>
      </c>
      <c r="N26">
        <v>6.0047878408818881E-2</v>
      </c>
      <c r="O26">
        <v>0.15293292641934136</v>
      </c>
      <c r="P26">
        <v>0.1307838075985526</v>
      </c>
      <c r="Q26">
        <v>0.10797867884012909</v>
      </c>
      <c r="R26">
        <v>0.14025542183343195</v>
      </c>
      <c r="S26">
        <v>0.12016036527656106</v>
      </c>
      <c r="T26">
        <v>0.18385251962264812</v>
      </c>
      <c r="U26">
        <v>6.145924683444879E-2</v>
      </c>
      <c r="V26">
        <v>4.1889861918581378E-2</v>
      </c>
      <c r="W26">
        <v>0.24320649157312244</v>
      </c>
      <c r="X26">
        <v>0.12401489041549243</v>
      </c>
      <c r="Y26">
        <v>0.10819300369067014</v>
      </c>
      <c r="Z26">
        <v>0.13533265084954613</v>
      </c>
      <c r="AA26">
        <v>0.17636823510479405</v>
      </c>
      <c r="AB26">
        <v>0.1615750115833573</v>
      </c>
      <c r="AC26">
        <v>6.7053541310771334E-2</v>
      </c>
      <c r="AD26">
        <v>8.3659910675376939E-2</v>
      </c>
      <c r="AE26">
        <v>4.5949958893847252E-2</v>
      </c>
      <c r="AF26">
        <v>0.13568180011097322</v>
      </c>
      <c r="AG26">
        <v>0.11364570354252834</v>
      </c>
      <c r="AH26">
        <v>0.15531931854659614</v>
      </c>
      <c r="AI26">
        <v>0.12577261160574754</v>
      </c>
      <c r="AJ26">
        <v>9.5563288526295934E-2</v>
      </c>
      <c r="AK26">
        <v>0.16011016816504639</v>
      </c>
      <c r="AL26">
        <v>0.13835301564102359</v>
      </c>
      <c r="AM26">
        <v>0.121383026582775</v>
      </c>
      <c r="AN26">
        <v>2.8848402891904424E-2</v>
      </c>
      <c r="AP26">
        <f t="shared" si="2"/>
        <v>1.0000000028852485</v>
      </c>
      <c r="AQ26">
        <f t="shared" si="3"/>
        <v>1.0000000014426242</v>
      </c>
      <c r="AS26">
        <f t="shared" si="4"/>
        <v>7.0527085012005844E-2</v>
      </c>
      <c r="AT26">
        <f t="shared" si="5"/>
        <v>0.20572758029325799</v>
      </c>
      <c r="AU26">
        <f t="shared" si="6"/>
        <v>0.36468173532723885</v>
      </c>
      <c r="AV26">
        <f t="shared" si="7"/>
        <v>0.32927442825495318</v>
      </c>
      <c r="AW26">
        <f t="shared" si="8"/>
        <v>0.25556768935006691</v>
      </c>
      <c r="AX26">
        <f t="shared" si="9"/>
        <v>0.17008176818189011</v>
      </c>
      <c r="AY26">
        <f t="shared" si="10"/>
        <v>0.20310501602005626</v>
      </c>
      <c r="AZ26">
        <f t="shared" si="11"/>
        <v>0.17862243657992657</v>
      </c>
      <c r="BA26">
        <f t="shared" si="12"/>
        <v>0.19223047660191511</v>
      </c>
      <c r="BB26">
        <f t="shared" si="13"/>
        <v>0.16245416017273864</v>
      </c>
      <c r="BC26">
        <f t="shared" si="14"/>
        <v>8.9114147510932357E-2</v>
      </c>
      <c r="BD26">
        <f t="shared" si="15"/>
        <v>0.16519315568249876</v>
      </c>
      <c r="BE26">
        <f t="shared" si="16"/>
        <v>6.0047878322192355E-2</v>
      </c>
      <c r="BF26">
        <f t="shared" si="17"/>
        <v>0.15293292619871662</v>
      </c>
      <c r="BG26">
        <f t="shared" si="18"/>
        <v>0.13078380740988071</v>
      </c>
      <c r="BH26">
        <f t="shared" si="19"/>
        <v>0.10797867868435643</v>
      </c>
      <c r="BI26">
        <f t="shared" si="20"/>
        <v>0.14025542163109608</v>
      </c>
      <c r="BJ26">
        <f t="shared" si="21"/>
        <v>0.1201603651032148</v>
      </c>
      <c r="BK26">
        <f t="shared" si="22"/>
        <v>0.18385251935741803</v>
      </c>
      <c r="BL26">
        <f t="shared" si="23"/>
        <v>6.1459246745786192E-2</v>
      </c>
      <c r="BM26">
        <f t="shared" si="24"/>
        <v>4.1889861858150045E-2</v>
      </c>
      <c r="BN26">
        <f t="shared" si="25"/>
        <v>0.24320649122226687</v>
      </c>
      <c r="BO26">
        <f t="shared" si="26"/>
        <v>0.12401489023658555</v>
      </c>
      <c r="BP26">
        <f t="shared" si="27"/>
        <v>0.10819300353458829</v>
      </c>
      <c r="BQ26">
        <f t="shared" si="28"/>
        <v>0.13533265065431196</v>
      </c>
      <c r="BR26">
        <f t="shared" si="29"/>
        <v>0.17636823485036096</v>
      </c>
      <c r="BS26">
        <f t="shared" si="30"/>
        <v>0.16157501135026528</v>
      </c>
      <c r="BT26">
        <f t="shared" si="31"/>
        <v>6.7053541214038268E-2</v>
      </c>
      <c r="BU26">
        <f t="shared" si="32"/>
        <v>8.365991055468712E-2</v>
      </c>
      <c r="BV26">
        <f t="shared" si="33"/>
        <v>4.5949958827558729E-2</v>
      </c>
      <c r="BW26">
        <f t="shared" si="34"/>
        <v>0.13568179991523538</v>
      </c>
      <c r="BX26">
        <f t="shared" si="35"/>
        <v>0.11364570337858029</v>
      </c>
      <c r="BY26">
        <f t="shared" si="36"/>
        <v>0.15531931832252874</v>
      </c>
      <c r="BZ26">
        <f t="shared" si="37"/>
        <v>0.12577261142430493</v>
      </c>
      <c r="CA26">
        <f t="shared" si="38"/>
        <v>9.5563288388434017E-2</v>
      </c>
      <c r="CB26">
        <f t="shared" si="39"/>
        <v>0.16011016793406757</v>
      </c>
      <c r="CC26">
        <f t="shared" si="40"/>
        <v>0.13835301544143216</v>
      </c>
      <c r="CD26">
        <f t="shared" si="41"/>
        <v>0.12138302640766491</v>
      </c>
      <c r="CE26">
        <f t="shared" si="42"/>
        <v>2.884840285028702E-2</v>
      </c>
      <c r="CG26">
        <f t="shared" si="43"/>
        <v>0.99999999999999978</v>
      </c>
      <c r="CH26">
        <f t="shared" si="44"/>
        <v>0.99999999999999989</v>
      </c>
      <c r="CJ26">
        <f t="shared" si="45"/>
        <v>0.89767385229638297</v>
      </c>
    </row>
    <row r="27" spans="1:88" ht="14.4" x14ac:dyDescent="0.3">
      <c r="A27" s="5" t="s">
        <v>28</v>
      </c>
      <c r="B27">
        <v>7.0527085113749929E-2</v>
      </c>
      <c r="C27">
        <v>0.20572758059004559</v>
      </c>
      <c r="D27">
        <v>0.36468173585333757</v>
      </c>
      <c r="E27">
        <v>0.32927442872997242</v>
      </c>
      <c r="F27">
        <v>0.25556768971875504</v>
      </c>
      <c r="G27">
        <v>0.1700817684272542</v>
      </c>
      <c r="H27">
        <v>0.20310501631306049</v>
      </c>
      <c r="I27">
        <v>0.17862243683761164</v>
      </c>
      <c r="J27">
        <v>0.19223047687923145</v>
      </c>
      <c r="K27">
        <v>0.16245416040709895</v>
      </c>
      <c r="L27">
        <v>8.911414763949059E-2</v>
      </c>
      <c r="M27">
        <v>0.16519315592081041</v>
      </c>
      <c r="N27">
        <v>6.0047878408818881E-2</v>
      </c>
      <c r="O27">
        <v>0.15293292641934136</v>
      </c>
      <c r="P27">
        <v>0.1307838075985526</v>
      </c>
      <c r="Q27">
        <v>0.10797867884012909</v>
      </c>
      <c r="R27">
        <v>0.14025542183343195</v>
      </c>
      <c r="S27">
        <v>0.12016036527656106</v>
      </c>
      <c r="T27">
        <v>0.18385251962264812</v>
      </c>
      <c r="U27">
        <v>6.145924683444879E-2</v>
      </c>
      <c r="V27">
        <v>4.1889861918581378E-2</v>
      </c>
      <c r="W27">
        <v>0.24320649157312244</v>
      </c>
      <c r="X27">
        <v>0.12401489041549243</v>
      </c>
      <c r="Y27">
        <v>0.10819300369067014</v>
      </c>
      <c r="Z27">
        <v>0.13533265084954613</v>
      </c>
      <c r="AA27">
        <v>0.17636823510479405</v>
      </c>
      <c r="AB27">
        <v>0.1615750115833573</v>
      </c>
      <c r="AC27">
        <v>6.7053541310771334E-2</v>
      </c>
      <c r="AD27">
        <v>8.3659910675376939E-2</v>
      </c>
      <c r="AE27">
        <v>4.5949958893847252E-2</v>
      </c>
      <c r="AF27">
        <v>0.13568180011097322</v>
      </c>
      <c r="AG27">
        <v>0.11364570354252834</v>
      </c>
      <c r="AH27">
        <v>0.15531931854659614</v>
      </c>
      <c r="AI27">
        <v>0.12577261160574754</v>
      </c>
      <c r="AJ27">
        <v>9.5563288526295934E-2</v>
      </c>
      <c r="AK27">
        <v>0.16011016816504639</v>
      </c>
      <c r="AL27">
        <v>0.13835301564102359</v>
      </c>
      <c r="AM27">
        <v>0.121383026582775</v>
      </c>
      <c r="AN27">
        <v>2.8848402891904424E-2</v>
      </c>
      <c r="AP27">
        <f t="shared" si="2"/>
        <v>1.0000000028852485</v>
      </c>
      <c r="AQ27">
        <f t="shared" si="3"/>
        <v>1.0000000014426242</v>
      </c>
      <c r="AS27">
        <f t="shared" si="4"/>
        <v>7.0527085012005844E-2</v>
      </c>
      <c r="AT27">
        <f t="shared" si="5"/>
        <v>0.20572758029325799</v>
      </c>
      <c r="AU27">
        <f t="shared" si="6"/>
        <v>0.36468173532723885</v>
      </c>
      <c r="AV27">
        <f t="shared" si="7"/>
        <v>0.32927442825495318</v>
      </c>
      <c r="AW27">
        <f t="shared" si="8"/>
        <v>0.25556768935006691</v>
      </c>
      <c r="AX27">
        <f t="shared" si="9"/>
        <v>0.17008176818189011</v>
      </c>
      <c r="AY27">
        <f t="shared" si="10"/>
        <v>0.20310501602005626</v>
      </c>
      <c r="AZ27">
        <f t="shared" si="11"/>
        <v>0.17862243657992657</v>
      </c>
      <c r="BA27">
        <f t="shared" si="12"/>
        <v>0.19223047660191511</v>
      </c>
      <c r="BB27">
        <f t="shared" si="13"/>
        <v>0.16245416017273864</v>
      </c>
      <c r="BC27">
        <f t="shared" si="14"/>
        <v>8.9114147510932357E-2</v>
      </c>
      <c r="BD27">
        <f t="shared" si="15"/>
        <v>0.16519315568249876</v>
      </c>
      <c r="BE27">
        <f t="shared" si="16"/>
        <v>6.0047878322192355E-2</v>
      </c>
      <c r="BF27">
        <f t="shared" si="17"/>
        <v>0.15293292619871662</v>
      </c>
      <c r="BG27">
        <f t="shared" si="18"/>
        <v>0.13078380740988071</v>
      </c>
      <c r="BH27">
        <f t="shared" si="19"/>
        <v>0.10797867868435643</v>
      </c>
      <c r="BI27">
        <f t="shared" si="20"/>
        <v>0.14025542163109608</v>
      </c>
      <c r="BJ27">
        <f t="shared" si="21"/>
        <v>0.1201603651032148</v>
      </c>
      <c r="BK27">
        <f t="shared" si="22"/>
        <v>0.18385251935741803</v>
      </c>
      <c r="BL27">
        <f t="shared" si="23"/>
        <v>6.1459246745786192E-2</v>
      </c>
      <c r="BM27">
        <f t="shared" si="24"/>
        <v>4.1889861858150045E-2</v>
      </c>
      <c r="BN27">
        <f t="shared" si="25"/>
        <v>0.24320649122226687</v>
      </c>
      <c r="BO27">
        <f t="shared" si="26"/>
        <v>0.12401489023658555</v>
      </c>
      <c r="BP27">
        <f t="shared" si="27"/>
        <v>0.10819300353458829</v>
      </c>
      <c r="BQ27">
        <f t="shared" si="28"/>
        <v>0.13533265065431196</v>
      </c>
      <c r="BR27">
        <f t="shared" si="29"/>
        <v>0.17636823485036096</v>
      </c>
      <c r="BS27">
        <f t="shared" si="30"/>
        <v>0.16157501135026528</v>
      </c>
      <c r="BT27">
        <f t="shared" si="31"/>
        <v>6.7053541214038268E-2</v>
      </c>
      <c r="BU27">
        <f t="shared" si="32"/>
        <v>8.365991055468712E-2</v>
      </c>
      <c r="BV27">
        <f t="shared" si="33"/>
        <v>4.5949958827558729E-2</v>
      </c>
      <c r="BW27">
        <f t="shared" si="34"/>
        <v>0.13568179991523538</v>
      </c>
      <c r="BX27">
        <f t="shared" si="35"/>
        <v>0.11364570337858029</v>
      </c>
      <c r="BY27">
        <f t="shared" si="36"/>
        <v>0.15531931832252874</v>
      </c>
      <c r="BZ27">
        <f t="shared" si="37"/>
        <v>0.12577261142430493</v>
      </c>
      <c r="CA27">
        <f t="shared" si="38"/>
        <v>9.5563288388434017E-2</v>
      </c>
      <c r="CB27">
        <f t="shared" si="39"/>
        <v>0.16011016793406757</v>
      </c>
      <c r="CC27">
        <f t="shared" si="40"/>
        <v>0.13835301544143216</v>
      </c>
      <c r="CD27">
        <f t="shared" si="41"/>
        <v>0.12138302640766491</v>
      </c>
      <c r="CE27">
        <f t="shared" si="42"/>
        <v>2.884840285028702E-2</v>
      </c>
      <c r="CG27">
        <f t="shared" si="43"/>
        <v>0.99999999999999978</v>
      </c>
      <c r="CH27">
        <f t="shared" si="44"/>
        <v>0.99999999999999989</v>
      </c>
      <c r="CJ27">
        <f t="shared" si="45"/>
        <v>0.89767385229638297</v>
      </c>
    </row>
    <row r="28" spans="1:88" ht="14.4" x14ac:dyDescent="0.3">
      <c r="A28" s="5" t="s">
        <v>29</v>
      </c>
      <c r="B28">
        <v>7.0527085113749929E-2</v>
      </c>
      <c r="C28">
        <v>0.20572758059004559</v>
      </c>
      <c r="D28">
        <v>0.36468173585333757</v>
      </c>
      <c r="E28">
        <v>0.32927442872997242</v>
      </c>
      <c r="F28">
        <v>0.25556768971875504</v>
      </c>
      <c r="G28">
        <v>0.1700817684272542</v>
      </c>
      <c r="H28">
        <v>0.20310501631306049</v>
      </c>
      <c r="I28">
        <v>0.17862243683761164</v>
      </c>
      <c r="J28">
        <v>0.19223047687923145</v>
      </c>
      <c r="K28">
        <v>0.16245416040709895</v>
      </c>
      <c r="L28">
        <v>8.911414763949059E-2</v>
      </c>
      <c r="M28">
        <v>0.16519315592081041</v>
      </c>
      <c r="N28">
        <v>6.0047878408818881E-2</v>
      </c>
      <c r="O28">
        <v>0.15293292641934136</v>
      </c>
      <c r="P28">
        <v>0.1307838075985526</v>
      </c>
      <c r="Q28">
        <v>0.10797867884012909</v>
      </c>
      <c r="R28">
        <v>0.14025542183343195</v>
      </c>
      <c r="S28">
        <v>0.12016036527656106</v>
      </c>
      <c r="T28">
        <v>0.18385251962264812</v>
      </c>
      <c r="U28">
        <v>6.145924683444879E-2</v>
      </c>
      <c r="V28">
        <v>4.1889861918581378E-2</v>
      </c>
      <c r="W28">
        <v>0.24320649157312244</v>
      </c>
      <c r="X28">
        <v>0.12401489041549243</v>
      </c>
      <c r="Y28">
        <v>0.10819300369067014</v>
      </c>
      <c r="Z28">
        <v>0.13533265084954613</v>
      </c>
      <c r="AA28">
        <v>0.17636823510479405</v>
      </c>
      <c r="AB28">
        <v>0.1615750115833573</v>
      </c>
      <c r="AC28">
        <v>6.7053541310771334E-2</v>
      </c>
      <c r="AD28">
        <v>8.3659910675376939E-2</v>
      </c>
      <c r="AE28">
        <v>4.5949958893847252E-2</v>
      </c>
      <c r="AF28">
        <v>0.13568180011097322</v>
      </c>
      <c r="AG28">
        <v>0.11364570354252834</v>
      </c>
      <c r="AH28">
        <v>0.15531931854659614</v>
      </c>
      <c r="AI28">
        <v>0.12577261160574754</v>
      </c>
      <c r="AJ28">
        <v>9.5563288526295934E-2</v>
      </c>
      <c r="AK28">
        <v>0.16011016816504639</v>
      </c>
      <c r="AL28">
        <v>0.13835301564102359</v>
      </c>
      <c r="AM28">
        <v>0.121383026582775</v>
      </c>
      <c r="AN28">
        <v>2.8848402891904424E-2</v>
      </c>
      <c r="AP28">
        <f t="shared" si="2"/>
        <v>1.0000000028852485</v>
      </c>
      <c r="AQ28">
        <f t="shared" si="3"/>
        <v>1.0000000014426242</v>
      </c>
      <c r="AS28">
        <f t="shared" si="4"/>
        <v>7.0527085012005844E-2</v>
      </c>
      <c r="AT28">
        <f t="shared" si="5"/>
        <v>0.20572758029325799</v>
      </c>
      <c r="AU28">
        <f t="shared" si="6"/>
        <v>0.36468173532723885</v>
      </c>
      <c r="AV28">
        <f t="shared" si="7"/>
        <v>0.32927442825495318</v>
      </c>
      <c r="AW28">
        <f t="shared" si="8"/>
        <v>0.25556768935006691</v>
      </c>
      <c r="AX28">
        <f t="shared" si="9"/>
        <v>0.17008176818189011</v>
      </c>
      <c r="AY28">
        <f t="shared" si="10"/>
        <v>0.20310501602005626</v>
      </c>
      <c r="AZ28">
        <f t="shared" si="11"/>
        <v>0.17862243657992657</v>
      </c>
      <c r="BA28">
        <f t="shared" si="12"/>
        <v>0.19223047660191511</v>
      </c>
      <c r="BB28">
        <f t="shared" si="13"/>
        <v>0.16245416017273864</v>
      </c>
      <c r="BC28">
        <f t="shared" si="14"/>
        <v>8.9114147510932357E-2</v>
      </c>
      <c r="BD28">
        <f t="shared" si="15"/>
        <v>0.16519315568249876</v>
      </c>
      <c r="BE28">
        <f t="shared" si="16"/>
        <v>6.0047878322192355E-2</v>
      </c>
      <c r="BF28">
        <f t="shared" si="17"/>
        <v>0.15293292619871662</v>
      </c>
      <c r="BG28">
        <f t="shared" si="18"/>
        <v>0.13078380740988071</v>
      </c>
      <c r="BH28">
        <f t="shared" si="19"/>
        <v>0.10797867868435643</v>
      </c>
      <c r="BI28">
        <f t="shared" si="20"/>
        <v>0.14025542163109608</v>
      </c>
      <c r="BJ28">
        <f t="shared" si="21"/>
        <v>0.1201603651032148</v>
      </c>
      <c r="BK28">
        <f t="shared" si="22"/>
        <v>0.18385251935741803</v>
      </c>
      <c r="BL28">
        <f t="shared" si="23"/>
        <v>6.1459246745786192E-2</v>
      </c>
      <c r="BM28">
        <f t="shared" si="24"/>
        <v>4.1889861858150045E-2</v>
      </c>
      <c r="BN28">
        <f t="shared" si="25"/>
        <v>0.24320649122226687</v>
      </c>
      <c r="BO28">
        <f t="shared" si="26"/>
        <v>0.12401489023658555</v>
      </c>
      <c r="BP28">
        <f t="shared" si="27"/>
        <v>0.10819300353458829</v>
      </c>
      <c r="BQ28">
        <f t="shared" si="28"/>
        <v>0.13533265065431196</v>
      </c>
      <c r="BR28">
        <f t="shared" si="29"/>
        <v>0.17636823485036096</v>
      </c>
      <c r="BS28">
        <f t="shared" si="30"/>
        <v>0.16157501135026528</v>
      </c>
      <c r="BT28">
        <f t="shared" si="31"/>
        <v>6.7053541214038268E-2</v>
      </c>
      <c r="BU28">
        <f t="shared" si="32"/>
        <v>8.365991055468712E-2</v>
      </c>
      <c r="BV28">
        <f t="shared" si="33"/>
        <v>4.5949958827558729E-2</v>
      </c>
      <c r="BW28">
        <f t="shared" si="34"/>
        <v>0.13568179991523538</v>
      </c>
      <c r="BX28">
        <f t="shared" si="35"/>
        <v>0.11364570337858029</v>
      </c>
      <c r="BY28">
        <f t="shared" si="36"/>
        <v>0.15531931832252874</v>
      </c>
      <c r="BZ28">
        <f t="shared" si="37"/>
        <v>0.12577261142430493</v>
      </c>
      <c r="CA28">
        <f t="shared" si="38"/>
        <v>9.5563288388434017E-2</v>
      </c>
      <c r="CB28">
        <f t="shared" si="39"/>
        <v>0.16011016793406757</v>
      </c>
      <c r="CC28">
        <f t="shared" si="40"/>
        <v>0.13835301544143216</v>
      </c>
      <c r="CD28">
        <f t="shared" si="41"/>
        <v>0.12138302640766491</v>
      </c>
      <c r="CE28">
        <f t="shared" si="42"/>
        <v>2.884840285028702E-2</v>
      </c>
      <c r="CG28">
        <f t="shared" si="43"/>
        <v>0.99999999999999978</v>
      </c>
      <c r="CH28">
        <f t="shared" si="44"/>
        <v>0.99999999999999989</v>
      </c>
      <c r="CJ28">
        <f t="shared" si="45"/>
        <v>0.89767385229638297</v>
      </c>
    </row>
    <row r="29" spans="1:88" ht="14.4" x14ac:dyDescent="0.3">
      <c r="A29" s="5" t="s">
        <v>30</v>
      </c>
      <c r="B29">
        <v>7.0527085113749929E-2</v>
      </c>
      <c r="C29">
        <v>0.20572758059004559</v>
      </c>
      <c r="D29">
        <v>0.36468173585333757</v>
      </c>
      <c r="E29">
        <v>0.32927442872997242</v>
      </c>
      <c r="F29">
        <v>0.25556768971875504</v>
      </c>
      <c r="G29">
        <v>0.1700817684272542</v>
      </c>
      <c r="H29">
        <v>0.20310501631306049</v>
      </c>
      <c r="I29">
        <v>0.17862243683761164</v>
      </c>
      <c r="J29">
        <v>0.19223047687923145</v>
      </c>
      <c r="K29">
        <v>0.16245416040709895</v>
      </c>
      <c r="L29">
        <v>8.911414763949059E-2</v>
      </c>
      <c r="M29">
        <v>0.16519315592081041</v>
      </c>
      <c r="N29">
        <v>6.0047878408818881E-2</v>
      </c>
      <c r="O29">
        <v>0.15293292641934136</v>
      </c>
      <c r="P29">
        <v>0.1307838075985526</v>
      </c>
      <c r="Q29">
        <v>0.10797867884012909</v>
      </c>
      <c r="R29">
        <v>0.14025542183343195</v>
      </c>
      <c r="S29">
        <v>0.12016036527656106</v>
      </c>
      <c r="T29">
        <v>0.18385251962264812</v>
      </c>
      <c r="U29">
        <v>6.145924683444879E-2</v>
      </c>
      <c r="V29">
        <v>4.1889861918581378E-2</v>
      </c>
      <c r="W29">
        <v>0.24320649157312244</v>
      </c>
      <c r="X29">
        <v>0.12401489041549243</v>
      </c>
      <c r="Y29">
        <v>0.10819300369067014</v>
      </c>
      <c r="Z29">
        <v>0.13533265084954613</v>
      </c>
      <c r="AA29">
        <v>0.17636823510479405</v>
      </c>
      <c r="AB29">
        <v>0.1615750115833573</v>
      </c>
      <c r="AC29">
        <v>6.7053541310771334E-2</v>
      </c>
      <c r="AD29">
        <v>8.3659910675376939E-2</v>
      </c>
      <c r="AE29">
        <v>4.5949958893847252E-2</v>
      </c>
      <c r="AF29">
        <v>0.13568180011097322</v>
      </c>
      <c r="AG29">
        <v>0.11364570354252834</v>
      </c>
      <c r="AH29">
        <v>0.15531931854659614</v>
      </c>
      <c r="AI29">
        <v>0.12577261160574754</v>
      </c>
      <c r="AJ29">
        <v>9.5563288526295934E-2</v>
      </c>
      <c r="AK29">
        <v>0.16011016816504639</v>
      </c>
      <c r="AL29">
        <v>0.13835301564102359</v>
      </c>
      <c r="AM29">
        <v>0.121383026582775</v>
      </c>
      <c r="AN29">
        <v>2.8848402891904424E-2</v>
      </c>
      <c r="AP29">
        <f t="shared" si="2"/>
        <v>1.0000000028852485</v>
      </c>
      <c r="AQ29">
        <f t="shared" si="3"/>
        <v>1.0000000014426242</v>
      </c>
      <c r="AS29">
        <f t="shared" si="4"/>
        <v>7.0527085012005844E-2</v>
      </c>
      <c r="AT29">
        <f t="shared" si="5"/>
        <v>0.20572758029325799</v>
      </c>
      <c r="AU29">
        <f t="shared" si="6"/>
        <v>0.36468173532723885</v>
      </c>
      <c r="AV29">
        <f t="shared" si="7"/>
        <v>0.32927442825495318</v>
      </c>
      <c r="AW29">
        <f t="shared" si="8"/>
        <v>0.25556768935006691</v>
      </c>
      <c r="AX29">
        <f t="shared" si="9"/>
        <v>0.17008176818189011</v>
      </c>
      <c r="AY29">
        <f t="shared" si="10"/>
        <v>0.20310501602005626</v>
      </c>
      <c r="AZ29">
        <f t="shared" si="11"/>
        <v>0.17862243657992657</v>
      </c>
      <c r="BA29">
        <f t="shared" si="12"/>
        <v>0.19223047660191511</v>
      </c>
      <c r="BB29">
        <f t="shared" si="13"/>
        <v>0.16245416017273864</v>
      </c>
      <c r="BC29">
        <f t="shared" si="14"/>
        <v>8.9114147510932357E-2</v>
      </c>
      <c r="BD29">
        <f t="shared" si="15"/>
        <v>0.16519315568249876</v>
      </c>
      <c r="BE29">
        <f t="shared" si="16"/>
        <v>6.0047878322192355E-2</v>
      </c>
      <c r="BF29">
        <f t="shared" si="17"/>
        <v>0.15293292619871662</v>
      </c>
      <c r="BG29">
        <f t="shared" si="18"/>
        <v>0.13078380740988071</v>
      </c>
      <c r="BH29">
        <f t="shared" si="19"/>
        <v>0.10797867868435643</v>
      </c>
      <c r="BI29">
        <f t="shared" si="20"/>
        <v>0.14025542163109608</v>
      </c>
      <c r="BJ29">
        <f t="shared" si="21"/>
        <v>0.1201603651032148</v>
      </c>
      <c r="BK29">
        <f t="shared" si="22"/>
        <v>0.18385251935741803</v>
      </c>
      <c r="BL29">
        <f t="shared" si="23"/>
        <v>6.1459246745786192E-2</v>
      </c>
      <c r="BM29">
        <f t="shared" si="24"/>
        <v>4.1889861858150045E-2</v>
      </c>
      <c r="BN29">
        <f t="shared" si="25"/>
        <v>0.24320649122226687</v>
      </c>
      <c r="BO29">
        <f t="shared" si="26"/>
        <v>0.12401489023658555</v>
      </c>
      <c r="BP29">
        <f t="shared" si="27"/>
        <v>0.10819300353458829</v>
      </c>
      <c r="BQ29">
        <f t="shared" si="28"/>
        <v>0.13533265065431196</v>
      </c>
      <c r="BR29">
        <f t="shared" si="29"/>
        <v>0.17636823485036096</v>
      </c>
      <c r="BS29">
        <f t="shared" si="30"/>
        <v>0.16157501135026528</v>
      </c>
      <c r="BT29">
        <f t="shared" si="31"/>
        <v>6.7053541214038268E-2</v>
      </c>
      <c r="BU29">
        <f t="shared" si="32"/>
        <v>8.365991055468712E-2</v>
      </c>
      <c r="BV29">
        <f t="shared" si="33"/>
        <v>4.5949958827558729E-2</v>
      </c>
      <c r="BW29">
        <f t="shared" si="34"/>
        <v>0.13568179991523538</v>
      </c>
      <c r="BX29">
        <f t="shared" si="35"/>
        <v>0.11364570337858029</v>
      </c>
      <c r="BY29">
        <f t="shared" si="36"/>
        <v>0.15531931832252874</v>
      </c>
      <c r="BZ29">
        <f t="shared" si="37"/>
        <v>0.12577261142430493</v>
      </c>
      <c r="CA29">
        <f t="shared" si="38"/>
        <v>9.5563288388434017E-2</v>
      </c>
      <c r="CB29">
        <f t="shared" si="39"/>
        <v>0.16011016793406757</v>
      </c>
      <c r="CC29">
        <f t="shared" si="40"/>
        <v>0.13835301544143216</v>
      </c>
      <c r="CD29">
        <f t="shared" si="41"/>
        <v>0.12138302640766491</v>
      </c>
      <c r="CE29">
        <f t="shared" si="42"/>
        <v>2.884840285028702E-2</v>
      </c>
      <c r="CG29">
        <f t="shared" si="43"/>
        <v>0.99999999999999978</v>
      </c>
      <c r="CH29">
        <f t="shared" si="44"/>
        <v>0.99999999999999989</v>
      </c>
      <c r="CJ29">
        <f t="shared" si="45"/>
        <v>0.89767385229638297</v>
      </c>
    </row>
    <row r="30" spans="1:88" ht="14.4" x14ac:dyDescent="0.3">
      <c r="A30" s="5" t="s">
        <v>31</v>
      </c>
      <c r="B30">
        <v>7.0527085113749929E-2</v>
      </c>
      <c r="C30">
        <v>0.20572758059004559</v>
      </c>
      <c r="D30">
        <v>0.36468173585333757</v>
      </c>
      <c r="E30">
        <v>0.32927442872997242</v>
      </c>
      <c r="F30">
        <v>0.25556768971875504</v>
      </c>
      <c r="G30">
        <v>0.1700817684272542</v>
      </c>
      <c r="H30">
        <v>0.20310501631306049</v>
      </c>
      <c r="I30">
        <v>0.17862243683761164</v>
      </c>
      <c r="J30">
        <v>0.19223047687923145</v>
      </c>
      <c r="K30">
        <v>0.16245416040709895</v>
      </c>
      <c r="L30">
        <v>8.911414763949059E-2</v>
      </c>
      <c r="M30">
        <v>0.16519315592081041</v>
      </c>
      <c r="N30">
        <v>6.0047878408818881E-2</v>
      </c>
      <c r="O30">
        <v>0.15293292641934136</v>
      </c>
      <c r="P30">
        <v>0.1307838075985526</v>
      </c>
      <c r="Q30">
        <v>0.10797867884012909</v>
      </c>
      <c r="R30">
        <v>0.14025542183343195</v>
      </c>
      <c r="S30">
        <v>0.12016036527656106</v>
      </c>
      <c r="T30">
        <v>0.18385251962264812</v>
      </c>
      <c r="U30">
        <v>6.145924683444879E-2</v>
      </c>
      <c r="V30">
        <v>4.1889861918581378E-2</v>
      </c>
      <c r="W30">
        <v>0.24320649157312244</v>
      </c>
      <c r="X30">
        <v>0.12401489041549243</v>
      </c>
      <c r="Y30">
        <v>0.10819300369067014</v>
      </c>
      <c r="Z30">
        <v>0.13533265084954613</v>
      </c>
      <c r="AA30">
        <v>0.17636823510479405</v>
      </c>
      <c r="AB30">
        <v>0.1615750115833573</v>
      </c>
      <c r="AC30">
        <v>6.7053541310771334E-2</v>
      </c>
      <c r="AD30">
        <v>8.3659910675376939E-2</v>
      </c>
      <c r="AE30">
        <v>4.5949958893847252E-2</v>
      </c>
      <c r="AF30">
        <v>0.13568180011097322</v>
      </c>
      <c r="AG30">
        <v>0.11364570354252834</v>
      </c>
      <c r="AH30">
        <v>0.15531931854659614</v>
      </c>
      <c r="AI30">
        <v>0.12577261160574754</v>
      </c>
      <c r="AJ30">
        <v>9.5563288526295934E-2</v>
      </c>
      <c r="AK30">
        <v>0.16011016816504639</v>
      </c>
      <c r="AL30">
        <v>0.13835301564102359</v>
      </c>
      <c r="AM30">
        <v>0.121383026582775</v>
      </c>
      <c r="AN30">
        <v>2.8848402891904424E-2</v>
      </c>
      <c r="AP30">
        <f t="shared" si="2"/>
        <v>1.0000000028852485</v>
      </c>
      <c r="AQ30">
        <f t="shared" si="3"/>
        <v>1.0000000014426242</v>
      </c>
      <c r="AS30">
        <f t="shared" si="4"/>
        <v>7.0527085012005844E-2</v>
      </c>
      <c r="AT30">
        <f t="shared" si="5"/>
        <v>0.20572758029325799</v>
      </c>
      <c r="AU30">
        <f t="shared" si="6"/>
        <v>0.36468173532723885</v>
      </c>
      <c r="AV30">
        <f t="shared" si="7"/>
        <v>0.32927442825495318</v>
      </c>
      <c r="AW30">
        <f t="shared" si="8"/>
        <v>0.25556768935006691</v>
      </c>
      <c r="AX30">
        <f t="shared" si="9"/>
        <v>0.17008176818189011</v>
      </c>
      <c r="AY30">
        <f t="shared" si="10"/>
        <v>0.20310501602005626</v>
      </c>
      <c r="AZ30">
        <f t="shared" si="11"/>
        <v>0.17862243657992657</v>
      </c>
      <c r="BA30">
        <f t="shared" si="12"/>
        <v>0.19223047660191511</v>
      </c>
      <c r="BB30">
        <f t="shared" si="13"/>
        <v>0.16245416017273864</v>
      </c>
      <c r="BC30">
        <f t="shared" si="14"/>
        <v>8.9114147510932357E-2</v>
      </c>
      <c r="BD30">
        <f t="shared" si="15"/>
        <v>0.16519315568249876</v>
      </c>
      <c r="BE30">
        <f t="shared" si="16"/>
        <v>6.0047878322192355E-2</v>
      </c>
      <c r="BF30">
        <f t="shared" si="17"/>
        <v>0.15293292619871662</v>
      </c>
      <c r="BG30">
        <f t="shared" si="18"/>
        <v>0.13078380740988071</v>
      </c>
      <c r="BH30">
        <f t="shared" si="19"/>
        <v>0.10797867868435643</v>
      </c>
      <c r="BI30">
        <f t="shared" si="20"/>
        <v>0.14025542163109608</v>
      </c>
      <c r="BJ30">
        <f t="shared" si="21"/>
        <v>0.1201603651032148</v>
      </c>
      <c r="BK30">
        <f t="shared" si="22"/>
        <v>0.18385251935741803</v>
      </c>
      <c r="BL30">
        <f t="shared" si="23"/>
        <v>6.1459246745786192E-2</v>
      </c>
      <c r="BM30">
        <f t="shared" si="24"/>
        <v>4.1889861858150045E-2</v>
      </c>
      <c r="BN30">
        <f t="shared" si="25"/>
        <v>0.24320649122226687</v>
      </c>
      <c r="BO30">
        <f t="shared" si="26"/>
        <v>0.12401489023658555</v>
      </c>
      <c r="BP30">
        <f t="shared" si="27"/>
        <v>0.10819300353458829</v>
      </c>
      <c r="BQ30">
        <f t="shared" si="28"/>
        <v>0.13533265065431196</v>
      </c>
      <c r="BR30">
        <f t="shared" si="29"/>
        <v>0.17636823485036096</v>
      </c>
      <c r="BS30">
        <f t="shared" si="30"/>
        <v>0.16157501135026528</v>
      </c>
      <c r="BT30">
        <f t="shared" si="31"/>
        <v>6.7053541214038268E-2</v>
      </c>
      <c r="BU30">
        <f t="shared" si="32"/>
        <v>8.365991055468712E-2</v>
      </c>
      <c r="BV30">
        <f t="shared" si="33"/>
        <v>4.5949958827558729E-2</v>
      </c>
      <c r="BW30">
        <f t="shared" si="34"/>
        <v>0.13568179991523538</v>
      </c>
      <c r="BX30">
        <f t="shared" si="35"/>
        <v>0.11364570337858029</v>
      </c>
      <c r="BY30">
        <f t="shared" si="36"/>
        <v>0.15531931832252874</v>
      </c>
      <c r="BZ30">
        <f t="shared" si="37"/>
        <v>0.12577261142430493</v>
      </c>
      <c r="CA30">
        <f t="shared" si="38"/>
        <v>9.5563288388434017E-2</v>
      </c>
      <c r="CB30">
        <f t="shared" si="39"/>
        <v>0.16011016793406757</v>
      </c>
      <c r="CC30">
        <f t="shared" si="40"/>
        <v>0.13835301544143216</v>
      </c>
      <c r="CD30">
        <f t="shared" si="41"/>
        <v>0.12138302640766491</v>
      </c>
      <c r="CE30">
        <f t="shared" si="42"/>
        <v>2.884840285028702E-2</v>
      </c>
      <c r="CG30">
        <f t="shared" si="43"/>
        <v>0.99999999999999978</v>
      </c>
      <c r="CH30">
        <f t="shared" si="44"/>
        <v>0.99999999999999989</v>
      </c>
      <c r="CJ30">
        <f t="shared" si="45"/>
        <v>0.89767385229638297</v>
      </c>
    </row>
    <row r="31" spans="1:88" ht="14.4" x14ac:dyDescent="0.3">
      <c r="A31" s="5" t="s">
        <v>32</v>
      </c>
      <c r="B31">
        <v>7.0527085113749929E-2</v>
      </c>
      <c r="C31">
        <v>0.20572758059004559</v>
      </c>
      <c r="D31">
        <v>0.36468173585333757</v>
      </c>
      <c r="E31">
        <v>0.32927442872997242</v>
      </c>
      <c r="F31">
        <v>0.25556768971875504</v>
      </c>
      <c r="G31">
        <v>0.1700817684272542</v>
      </c>
      <c r="H31">
        <v>0.20310501631306049</v>
      </c>
      <c r="I31">
        <v>0.17862243683761164</v>
      </c>
      <c r="J31">
        <v>0.19223047687923145</v>
      </c>
      <c r="K31">
        <v>0.16245416040709895</v>
      </c>
      <c r="L31">
        <v>8.911414763949059E-2</v>
      </c>
      <c r="M31">
        <v>0.16519315592081041</v>
      </c>
      <c r="N31">
        <v>6.0047878408818881E-2</v>
      </c>
      <c r="O31">
        <v>0.15293292641934136</v>
      </c>
      <c r="P31">
        <v>0.1307838075985526</v>
      </c>
      <c r="Q31">
        <v>0.10797867884012909</v>
      </c>
      <c r="R31">
        <v>0.14025542183343195</v>
      </c>
      <c r="S31">
        <v>0.12016036527656106</v>
      </c>
      <c r="T31">
        <v>0.18385251962264812</v>
      </c>
      <c r="U31">
        <v>6.145924683444879E-2</v>
      </c>
      <c r="V31">
        <v>4.1889861918581378E-2</v>
      </c>
      <c r="W31">
        <v>0.24320649157312244</v>
      </c>
      <c r="X31">
        <v>0.12401489041549243</v>
      </c>
      <c r="Y31">
        <v>0.10819300369067014</v>
      </c>
      <c r="Z31">
        <v>0.13533265084954613</v>
      </c>
      <c r="AA31">
        <v>0.17636823510479405</v>
      </c>
      <c r="AB31">
        <v>0.1615750115833573</v>
      </c>
      <c r="AC31">
        <v>6.7053541310771334E-2</v>
      </c>
      <c r="AD31">
        <v>8.3659910675376939E-2</v>
      </c>
      <c r="AE31">
        <v>4.5949958893847252E-2</v>
      </c>
      <c r="AF31">
        <v>0.13568180011097322</v>
      </c>
      <c r="AG31">
        <v>0.11364570354252834</v>
      </c>
      <c r="AH31">
        <v>0.15531931854659614</v>
      </c>
      <c r="AI31">
        <v>0.12577261160574754</v>
      </c>
      <c r="AJ31">
        <v>9.5563288526295934E-2</v>
      </c>
      <c r="AK31">
        <v>0.16011016816504639</v>
      </c>
      <c r="AL31">
        <v>0.13835301564102359</v>
      </c>
      <c r="AM31">
        <v>0.121383026582775</v>
      </c>
      <c r="AN31">
        <v>2.8848402891904424E-2</v>
      </c>
      <c r="AP31">
        <f t="shared" si="2"/>
        <v>1.0000000028852485</v>
      </c>
      <c r="AQ31">
        <f t="shared" si="3"/>
        <v>1.0000000014426242</v>
      </c>
      <c r="AS31">
        <f t="shared" si="4"/>
        <v>7.0527085012005844E-2</v>
      </c>
      <c r="AT31">
        <f t="shared" si="5"/>
        <v>0.20572758029325799</v>
      </c>
      <c r="AU31">
        <f t="shared" si="6"/>
        <v>0.36468173532723885</v>
      </c>
      <c r="AV31">
        <f t="shared" si="7"/>
        <v>0.32927442825495318</v>
      </c>
      <c r="AW31">
        <f t="shared" si="8"/>
        <v>0.25556768935006691</v>
      </c>
      <c r="AX31">
        <f t="shared" si="9"/>
        <v>0.17008176818189011</v>
      </c>
      <c r="AY31">
        <f t="shared" si="10"/>
        <v>0.20310501602005626</v>
      </c>
      <c r="AZ31">
        <f t="shared" si="11"/>
        <v>0.17862243657992657</v>
      </c>
      <c r="BA31">
        <f t="shared" si="12"/>
        <v>0.19223047660191511</v>
      </c>
      <c r="BB31">
        <f t="shared" si="13"/>
        <v>0.16245416017273864</v>
      </c>
      <c r="BC31">
        <f t="shared" si="14"/>
        <v>8.9114147510932357E-2</v>
      </c>
      <c r="BD31">
        <f t="shared" si="15"/>
        <v>0.16519315568249876</v>
      </c>
      <c r="BE31">
        <f t="shared" si="16"/>
        <v>6.0047878322192355E-2</v>
      </c>
      <c r="BF31">
        <f t="shared" si="17"/>
        <v>0.15293292619871662</v>
      </c>
      <c r="BG31">
        <f t="shared" si="18"/>
        <v>0.13078380740988071</v>
      </c>
      <c r="BH31">
        <f t="shared" si="19"/>
        <v>0.10797867868435643</v>
      </c>
      <c r="BI31">
        <f t="shared" si="20"/>
        <v>0.14025542163109608</v>
      </c>
      <c r="BJ31">
        <f t="shared" si="21"/>
        <v>0.1201603651032148</v>
      </c>
      <c r="BK31">
        <f t="shared" si="22"/>
        <v>0.18385251935741803</v>
      </c>
      <c r="BL31">
        <f t="shared" si="23"/>
        <v>6.1459246745786192E-2</v>
      </c>
      <c r="BM31">
        <f t="shared" si="24"/>
        <v>4.1889861858150045E-2</v>
      </c>
      <c r="BN31">
        <f t="shared" si="25"/>
        <v>0.24320649122226687</v>
      </c>
      <c r="BO31">
        <f t="shared" si="26"/>
        <v>0.12401489023658555</v>
      </c>
      <c r="BP31">
        <f t="shared" si="27"/>
        <v>0.10819300353458829</v>
      </c>
      <c r="BQ31">
        <f t="shared" si="28"/>
        <v>0.13533265065431196</v>
      </c>
      <c r="BR31">
        <f t="shared" si="29"/>
        <v>0.17636823485036096</v>
      </c>
      <c r="BS31">
        <f t="shared" si="30"/>
        <v>0.16157501135026528</v>
      </c>
      <c r="BT31">
        <f t="shared" si="31"/>
        <v>6.7053541214038268E-2</v>
      </c>
      <c r="BU31">
        <f t="shared" si="32"/>
        <v>8.365991055468712E-2</v>
      </c>
      <c r="BV31">
        <f t="shared" si="33"/>
        <v>4.5949958827558729E-2</v>
      </c>
      <c r="BW31">
        <f t="shared" si="34"/>
        <v>0.13568179991523538</v>
      </c>
      <c r="BX31">
        <f t="shared" si="35"/>
        <v>0.11364570337858029</v>
      </c>
      <c r="BY31">
        <f t="shared" si="36"/>
        <v>0.15531931832252874</v>
      </c>
      <c r="BZ31">
        <f t="shared" si="37"/>
        <v>0.12577261142430493</v>
      </c>
      <c r="CA31">
        <f t="shared" si="38"/>
        <v>9.5563288388434017E-2</v>
      </c>
      <c r="CB31">
        <f t="shared" si="39"/>
        <v>0.16011016793406757</v>
      </c>
      <c r="CC31">
        <f t="shared" si="40"/>
        <v>0.13835301544143216</v>
      </c>
      <c r="CD31">
        <f t="shared" si="41"/>
        <v>0.12138302640766491</v>
      </c>
      <c r="CE31">
        <f t="shared" si="42"/>
        <v>2.884840285028702E-2</v>
      </c>
      <c r="CG31">
        <f t="shared" si="43"/>
        <v>0.99999999999999978</v>
      </c>
      <c r="CH31">
        <f t="shared" si="44"/>
        <v>0.99999999999999989</v>
      </c>
      <c r="CJ31">
        <f t="shared" si="45"/>
        <v>0.89767385229638297</v>
      </c>
    </row>
    <row r="32" spans="1:88" ht="14.4" x14ac:dyDescent="0.3">
      <c r="A32" s="5" t="s">
        <v>33</v>
      </c>
      <c r="B32">
        <v>7.0527085113749929E-2</v>
      </c>
      <c r="C32">
        <v>0.20572758059004559</v>
      </c>
      <c r="D32">
        <v>0.36468173585333757</v>
      </c>
      <c r="E32">
        <v>0.32927442872997242</v>
      </c>
      <c r="F32">
        <v>0.25556768971875504</v>
      </c>
      <c r="G32">
        <v>0.1700817684272542</v>
      </c>
      <c r="H32">
        <v>0.20310501631306049</v>
      </c>
      <c r="I32">
        <v>0.17862243683761164</v>
      </c>
      <c r="J32">
        <v>0.19223047687923145</v>
      </c>
      <c r="K32">
        <v>0.16245416040709895</v>
      </c>
      <c r="L32">
        <v>8.911414763949059E-2</v>
      </c>
      <c r="M32">
        <v>0.16519315592081041</v>
      </c>
      <c r="N32">
        <v>6.0047878408818881E-2</v>
      </c>
      <c r="O32">
        <v>0.15293292641934136</v>
      </c>
      <c r="P32">
        <v>0.1307838075985526</v>
      </c>
      <c r="Q32">
        <v>0.10797867884012909</v>
      </c>
      <c r="R32">
        <v>0.14025542183343195</v>
      </c>
      <c r="S32">
        <v>0.12016036527656106</v>
      </c>
      <c r="T32">
        <v>0.18385251962264812</v>
      </c>
      <c r="U32">
        <v>6.145924683444879E-2</v>
      </c>
      <c r="V32">
        <v>4.1889861918581378E-2</v>
      </c>
      <c r="W32">
        <v>0.24320649157312244</v>
      </c>
      <c r="X32">
        <v>0.12401489041549243</v>
      </c>
      <c r="Y32">
        <v>0.10819300369067014</v>
      </c>
      <c r="Z32">
        <v>0.13533265084954613</v>
      </c>
      <c r="AA32">
        <v>0.17636823510479405</v>
      </c>
      <c r="AB32">
        <v>0.1615750115833573</v>
      </c>
      <c r="AC32">
        <v>6.7053541310771334E-2</v>
      </c>
      <c r="AD32">
        <v>8.3659910675376939E-2</v>
      </c>
      <c r="AE32">
        <v>4.5949958893847252E-2</v>
      </c>
      <c r="AF32">
        <v>0.13568180011097322</v>
      </c>
      <c r="AG32">
        <v>0.11364570354252834</v>
      </c>
      <c r="AH32">
        <v>0.15531931854659614</v>
      </c>
      <c r="AI32">
        <v>0.12577261160574754</v>
      </c>
      <c r="AJ32">
        <v>9.5563288526295934E-2</v>
      </c>
      <c r="AK32">
        <v>0.16011016816504639</v>
      </c>
      <c r="AL32">
        <v>0.13835301564102359</v>
      </c>
      <c r="AM32">
        <v>0.121383026582775</v>
      </c>
      <c r="AN32">
        <v>2.8848402891904424E-2</v>
      </c>
      <c r="AP32">
        <f t="shared" si="2"/>
        <v>1.0000000028852485</v>
      </c>
      <c r="AQ32">
        <f t="shared" si="3"/>
        <v>1.0000000014426242</v>
      </c>
      <c r="AS32">
        <f t="shared" si="4"/>
        <v>7.0527085012005844E-2</v>
      </c>
      <c r="AT32">
        <f t="shared" si="5"/>
        <v>0.20572758029325799</v>
      </c>
      <c r="AU32">
        <f t="shared" si="6"/>
        <v>0.36468173532723885</v>
      </c>
      <c r="AV32">
        <f t="shared" si="7"/>
        <v>0.32927442825495318</v>
      </c>
      <c r="AW32">
        <f t="shared" si="8"/>
        <v>0.25556768935006691</v>
      </c>
      <c r="AX32">
        <f t="shared" si="9"/>
        <v>0.17008176818189011</v>
      </c>
      <c r="AY32">
        <f t="shared" si="10"/>
        <v>0.20310501602005626</v>
      </c>
      <c r="AZ32">
        <f t="shared" si="11"/>
        <v>0.17862243657992657</v>
      </c>
      <c r="BA32">
        <f t="shared" si="12"/>
        <v>0.19223047660191511</v>
      </c>
      <c r="BB32">
        <f t="shared" si="13"/>
        <v>0.16245416017273864</v>
      </c>
      <c r="BC32">
        <f t="shared" si="14"/>
        <v>8.9114147510932357E-2</v>
      </c>
      <c r="BD32">
        <f t="shared" si="15"/>
        <v>0.16519315568249876</v>
      </c>
      <c r="BE32">
        <f t="shared" si="16"/>
        <v>6.0047878322192355E-2</v>
      </c>
      <c r="BF32">
        <f t="shared" si="17"/>
        <v>0.15293292619871662</v>
      </c>
      <c r="BG32">
        <f t="shared" si="18"/>
        <v>0.13078380740988071</v>
      </c>
      <c r="BH32">
        <f t="shared" si="19"/>
        <v>0.10797867868435643</v>
      </c>
      <c r="BI32">
        <f t="shared" si="20"/>
        <v>0.14025542163109608</v>
      </c>
      <c r="BJ32">
        <f t="shared" si="21"/>
        <v>0.1201603651032148</v>
      </c>
      <c r="BK32">
        <f t="shared" si="22"/>
        <v>0.18385251935741803</v>
      </c>
      <c r="BL32">
        <f t="shared" si="23"/>
        <v>6.1459246745786192E-2</v>
      </c>
      <c r="BM32">
        <f t="shared" si="24"/>
        <v>4.1889861858150045E-2</v>
      </c>
      <c r="BN32">
        <f t="shared" si="25"/>
        <v>0.24320649122226687</v>
      </c>
      <c r="BO32">
        <f t="shared" si="26"/>
        <v>0.12401489023658555</v>
      </c>
      <c r="BP32">
        <f t="shared" si="27"/>
        <v>0.10819300353458829</v>
      </c>
      <c r="BQ32">
        <f t="shared" si="28"/>
        <v>0.13533265065431196</v>
      </c>
      <c r="BR32">
        <f t="shared" si="29"/>
        <v>0.17636823485036096</v>
      </c>
      <c r="BS32">
        <f t="shared" si="30"/>
        <v>0.16157501135026528</v>
      </c>
      <c r="BT32">
        <f t="shared" si="31"/>
        <v>6.7053541214038268E-2</v>
      </c>
      <c r="BU32">
        <f t="shared" si="32"/>
        <v>8.365991055468712E-2</v>
      </c>
      <c r="BV32">
        <f t="shared" si="33"/>
        <v>4.5949958827558729E-2</v>
      </c>
      <c r="BW32">
        <f t="shared" si="34"/>
        <v>0.13568179991523538</v>
      </c>
      <c r="BX32">
        <f t="shared" si="35"/>
        <v>0.11364570337858029</v>
      </c>
      <c r="BY32">
        <f t="shared" si="36"/>
        <v>0.15531931832252874</v>
      </c>
      <c r="BZ32">
        <f t="shared" si="37"/>
        <v>0.12577261142430493</v>
      </c>
      <c r="CA32">
        <f t="shared" si="38"/>
        <v>9.5563288388434017E-2</v>
      </c>
      <c r="CB32">
        <f t="shared" si="39"/>
        <v>0.16011016793406757</v>
      </c>
      <c r="CC32">
        <f t="shared" si="40"/>
        <v>0.13835301544143216</v>
      </c>
      <c r="CD32">
        <f t="shared" si="41"/>
        <v>0.12138302640766491</v>
      </c>
      <c r="CE32">
        <f t="shared" si="42"/>
        <v>2.884840285028702E-2</v>
      </c>
      <c r="CG32">
        <f t="shared" si="43"/>
        <v>0.99999999999999978</v>
      </c>
      <c r="CH32">
        <f t="shared" si="44"/>
        <v>0.99999999999999989</v>
      </c>
      <c r="CJ32">
        <f t="shared" si="45"/>
        <v>0.89767385229638297</v>
      </c>
    </row>
    <row r="33" spans="1:88" ht="14.4" x14ac:dyDescent="0.3">
      <c r="A33" s="5" t="s">
        <v>34</v>
      </c>
      <c r="B33">
        <v>7.0527085113749929E-2</v>
      </c>
      <c r="C33">
        <v>0.20572758059004559</v>
      </c>
      <c r="D33">
        <v>0.36468173585333757</v>
      </c>
      <c r="E33">
        <v>0.32927442872997242</v>
      </c>
      <c r="F33">
        <v>0.25556768971875504</v>
      </c>
      <c r="G33">
        <v>0.1700817684272542</v>
      </c>
      <c r="H33">
        <v>0.20310501631306049</v>
      </c>
      <c r="I33">
        <v>0.17862243683761164</v>
      </c>
      <c r="J33">
        <v>0.19223047687923145</v>
      </c>
      <c r="K33">
        <v>0.16245416040709895</v>
      </c>
      <c r="L33">
        <v>8.911414763949059E-2</v>
      </c>
      <c r="M33">
        <v>0.16519315592081041</v>
      </c>
      <c r="N33">
        <v>6.0047878408818881E-2</v>
      </c>
      <c r="O33">
        <v>0.15293292641934136</v>
      </c>
      <c r="P33">
        <v>0.1307838075985526</v>
      </c>
      <c r="Q33">
        <v>0.10797867884012909</v>
      </c>
      <c r="R33">
        <v>0.14025542183343195</v>
      </c>
      <c r="S33">
        <v>0.12016036527656106</v>
      </c>
      <c r="T33">
        <v>0.18385251962264812</v>
      </c>
      <c r="U33">
        <v>6.145924683444879E-2</v>
      </c>
      <c r="V33">
        <v>4.1889861918581378E-2</v>
      </c>
      <c r="W33">
        <v>0.24320649157312244</v>
      </c>
      <c r="X33">
        <v>0.12401489041549243</v>
      </c>
      <c r="Y33">
        <v>0.10819300369067014</v>
      </c>
      <c r="Z33">
        <v>0.13533265084954613</v>
      </c>
      <c r="AA33">
        <v>0.17636823510479405</v>
      </c>
      <c r="AB33">
        <v>0.1615750115833573</v>
      </c>
      <c r="AC33">
        <v>6.7053541310771334E-2</v>
      </c>
      <c r="AD33">
        <v>8.3659910675376939E-2</v>
      </c>
      <c r="AE33">
        <v>4.5949958893847252E-2</v>
      </c>
      <c r="AF33">
        <v>0.13568180011097322</v>
      </c>
      <c r="AG33">
        <v>0.11364570354252834</v>
      </c>
      <c r="AH33">
        <v>0.15531931854659614</v>
      </c>
      <c r="AI33">
        <v>0.12577261160574754</v>
      </c>
      <c r="AJ33">
        <v>9.5563288526295934E-2</v>
      </c>
      <c r="AK33">
        <v>0.16011016816504639</v>
      </c>
      <c r="AL33">
        <v>0.13835301564102359</v>
      </c>
      <c r="AM33">
        <v>0.121383026582775</v>
      </c>
      <c r="AN33">
        <v>2.8848402891904424E-2</v>
      </c>
      <c r="AP33">
        <f t="shared" si="2"/>
        <v>1.0000000028852485</v>
      </c>
      <c r="AQ33">
        <f t="shared" si="3"/>
        <v>1.0000000014426242</v>
      </c>
      <c r="AS33">
        <f t="shared" si="4"/>
        <v>7.0527085012005844E-2</v>
      </c>
      <c r="AT33">
        <f t="shared" si="5"/>
        <v>0.20572758029325799</v>
      </c>
      <c r="AU33">
        <f t="shared" si="6"/>
        <v>0.36468173532723885</v>
      </c>
      <c r="AV33">
        <f t="shared" si="7"/>
        <v>0.32927442825495318</v>
      </c>
      <c r="AW33">
        <f t="shared" si="8"/>
        <v>0.25556768935006691</v>
      </c>
      <c r="AX33">
        <f t="shared" si="9"/>
        <v>0.17008176818189011</v>
      </c>
      <c r="AY33">
        <f t="shared" si="10"/>
        <v>0.20310501602005626</v>
      </c>
      <c r="AZ33">
        <f t="shared" si="11"/>
        <v>0.17862243657992657</v>
      </c>
      <c r="BA33">
        <f t="shared" si="12"/>
        <v>0.19223047660191511</v>
      </c>
      <c r="BB33">
        <f t="shared" si="13"/>
        <v>0.16245416017273864</v>
      </c>
      <c r="BC33">
        <f t="shared" si="14"/>
        <v>8.9114147510932357E-2</v>
      </c>
      <c r="BD33">
        <f t="shared" si="15"/>
        <v>0.16519315568249876</v>
      </c>
      <c r="BE33">
        <f t="shared" si="16"/>
        <v>6.0047878322192355E-2</v>
      </c>
      <c r="BF33">
        <f t="shared" si="17"/>
        <v>0.15293292619871662</v>
      </c>
      <c r="BG33">
        <f t="shared" si="18"/>
        <v>0.13078380740988071</v>
      </c>
      <c r="BH33">
        <f t="shared" si="19"/>
        <v>0.10797867868435643</v>
      </c>
      <c r="BI33">
        <f t="shared" si="20"/>
        <v>0.14025542163109608</v>
      </c>
      <c r="BJ33">
        <f t="shared" si="21"/>
        <v>0.1201603651032148</v>
      </c>
      <c r="BK33">
        <f t="shared" si="22"/>
        <v>0.18385251935741803</v>
      </c>
      <c r="BL33">
        <f t="shared" si="23"/>
        <v>6.1459246745786192E-2</v>
      </c>
      <c r="BM33">
        <f t="shared" si="24"/>
        <v>4.1889861858150045E-2</v>
      </c>
      <c r="BN33">
        <f t="shared" si="25"/>
        <v>0.24320649122226687</v>
      </c>
      <c r="BO33">
        <f t="shared" si="26"/>
        <v>0.12401489023658555</v>
      </c>
      <c r="BP33">
        <f t="shared" si="27"/>
        <v>0.10819300353458829</v>
      </c>
      <c r="BQ33">
        <f t="shared" si="28"/>
        <v>0.13533265065431196</v>
      </c>
      <c r="BR33">
        <f t="shared" si="29"/>
        <v>0.17636823485036096</v>
      </c>
      <c r="BS33">
        <f t="shared" si="30"/>
        <v>0.16157501135026528</v>
      </c>
      <c r="BT33">
        <f t="shared" si="31"/>
        <v>6.7053541214038268E-2</v>
      </c>
      <c r="BU33">
        <f t="shared" si="32"/>
        <v>8.365991055468712E-2</v>
      </c>
      <c r="BV33">
        <f t="shared" si="33"/>
        <v>4.5949958827558729E-2</v>
      </c>
      <c r="BW33">
        <f t="shared" si="34"/>
        <v>0.13568179991523538</v>
      </c>
      <c r="BX33">
        <f t="shared" si="35"/>
        <v>0.11364570337858029</v>
      </c>
      <c r="BY33">
        <f t="shared" si="36"/>
        <v>0.15531931832252874</v>
      </c>
      <c r="BZ33">
        <f t="shared" si="37"/>
        <v>0.12577261142430493</v>
      </c>
      <c r="CA33">
        <f t="shared" si="38"/>
        <v>9.5563288388434017E-2</v>
      </c>
      <c r="CB33">
        <f t="shared" si="39"/>
        <v>0.16011016793406757</v>
      </c>
      <c r="CC33">
        <f t="shared" si="40"/>
        <v>0.13835301544143216</v>
      </c>
      <c r="CD33">
        <f t="shared" si="41"/>
        <v>0.12138302640766491</v>
      </c>
      <c r="CE33">
        <f t="shared" si="42"/>
        <v>2.884840285028702E-2</v>
      </c>
      <c r="CG33">
        <f t="shared" si="43"/>
        <v>0.99999999999999978</v>
      </c>
      <c r="CH33">
        <f t="shared" si="44"/>
        <v>0.99999999999999989</v>
      </c>
      <c r="CJ33">
        <f t="shared" si="45"/>
        <v>0.89767385229638297</v>
      </c>
    </row>
    <row r="34" spans="1:88" ht="14.4" x14ac:dyDescent="0.3">
      <c r="A34" s="5" t="s">
        <v>35</v>
      </c>
      <c r="B34">
        <v>7.0527085113749929E-2</v>
      </c>
      <c r="C34">
        <v>0.20572758059004559</v>
      </c>
      <c r="D34">
        <v>0.36468173585333757</v>
      </c>
      <c r="E34">
        <v>0.32927442872997242</v>
      </c>
      <c r="F34">
        <v>0.25556768971875504</v>
      </c>
      <c r="G34">
        <v>0.1700817684272542</v>
      </c>
      <c r="H34">
        <v>0.20310501631306049</v>
      </c>
      <c r="I34">
        <v>0.17862243683761164</v>
      </c>
      <c r="J34">
        <v>0.19223047687923145</v>
      </c>
      <c r="K34">
        <v>0.16245416040709895</v>
      </c>
      <c r="L34">
        <v>8.911414763949059E-2</v>
      </c>
      <c r="M34">
        <v>0.16519315592081041</v>
      </c>
      <c r="N34">
        <v>6.0047878408818881E-2</v>
      </c>
      <c r="O34">
        <v>0.15293292641934136</v>
      </c>
      <c r="P34">
        <v>0.1307838075985526</v>
      </c>
      <c r="Q34">
        <v>0.10797867884012909</v>
      </c>
      <c r="R34">
        <v>0.14025542183343195</v>
      </c>
      <c r="S34">
        <v>0.12016036527656106</v>
      </c>
      <c r="T34">
        <v>0.18385251962264812</v>
      </c>
      <c r="U34">
        <v>6.145924683444879E-2</v>
      </c>
      <c r="V34">
        <v>4.1889861918581378E-2</v>
      </c>
      <c r="W34">
        <v>0.24320649157312244</v>
      </c>
      <c r="X34">
        <v>0.12401489041549243</v>
      </c>
      <c r="Y34">
        <v>0.10819300369067014</v>
      </c>
      <c r="Z34">
        <v>0.13533265084954613</v>
      </c>
      <c r="AA34">
        <v>0.17636823510479405</v>
      </c>
      <c r="AB34">
        <v>0.1615750115833573</v>
      </c>
      <c r="AC34">
        <v>6.7053541310771334E-2</v>
      </c>
      <c r="AD34">
        <v>8.3659910675376939E-2</v>
      </c>
      <c r="AE34">
        <v>4.5949958893847252E-2</v>
      </c>
      <c r="AF34">
        <v>0.13568180011097322</v>
      </c>
      <c r="AG34">
        <v>0.11364570354252834</v>
      </c>
      <c r="AH34">
        <v>0.15531931854659614</v>
      </c>
      <c r="AI34">
        <v>0.12577261160574754</v>
      </c>
      <c r="AJ34">
        <v>9.5563288526295934E-2</v>
      </c>
      <c r="AK34">
        <v>0.16011016816504639</v>
      </c>
      <c r="AL34">
        <v>0.13835301564102359</v>
      </c>
      <c r="AM34">
        <v>0.121383026582775</v>
      </c>
      <c r="AN34">
        <v>2.8848402891904424E-2</v>
      </c>
      <c r="AP34">
        <f t="shared" si="2"/>
        <v>1.0000000028852485</v>
      </c>
      <c r="AQ34">
        <f t="shared" si="3"/>
        <v>1.0000000014426242</v>
      </c>
      <c r="AS34">
        <f t="shared" si="4"/>
        <v>7.0527085012005844E-2</v>
      </c>
      <c r="AT34">
        <f t="shared" si="5"/>
        <v>0.20572758029325799</v>
      </c>
      <c r="AU34">
        <f t="shared" si="6"/>
        <v>0.36468173532723885</v>
      </c>
      <c r="AV34">
        <f t="shared" si="7"/>
        <v>0.32927442825495318</v>
      </c>
      <c r="AW34">
        <f t="shared" si="8"/>
        <v>0.25556768935006691</v>
      </c>
      <c r="AX34">
        <f t="shared" si="9"/>
        <v>0.17008176818189011</v>
      </c>
      <c r="AY34">
        <f t="shared" si="10"/>
        <v>0.20310501602005626</v>
      </c>
      <c r="AZ34">
        <f t="shared" si="11"/>
        <v>0.17862243657992657</v>
      </c>
      <c r="BA34">
        <f t="shared" si="12"/>
        <v>0.19223047660191511</v>
      </c>
      <c r="BB34">
        <f t="shared" si="13"/>
        <v>0.16245416017273864</v>
      </c>
      <c r="BC34">
        <f t="shared" si="14"/>
        <v>8.9114147510932357E-2</v>
      </c>
      <c r="BD34">
        <f t="shared" si="15"/>
        <v>0.16519315568249876</v>
      </c>
      <c r="BE34">
        <f t="shared" si="16"/>
        <v>6.0047878322192355E-2</v>
      </c>
      <c r="BF34">
        <f t="shared" si="17"/>
        <v>0.15293292619871662</v>
      </c>
      <c r="BG34">
        <f t="shared" si="18"/>
        <v>0.13078380740988071</v>
      </c>
      <c r="BH34">
        <f t="shared" si="19"/>
        <v>0.10797867868435643</v>
      </c>
      <c r="BI34">
        <f t="shared" si="20"/>
        <v>0.14025542163109608</v>
      </c>
      <c r="BJ34">
        <f t="shared" si="21"/>
        <v>0.1201603651032148</v>
      </c>
      <c r="BK34">
        <f t="shared" si="22"/>
        <v>0.18385251935741803</v>
      </c>
      <c r="BL34">
        <f t="shared" si="23"/>
        <v>6.1459246745786192E-2</v>
      </c>
      <c r="BM34">
        <f t="shared" si="24"/>
        <v>4.1889861858150045E-2</v>
      </c>
      <c r="BN34">
        <f t="shared" si="25"/>
        <v>0.24320649122226687</v>
      </c>
      <c r="BO34">
        <f t="shared" si="26"/>
        <v>0.12401489023658555</v>
      </c>
      <c r="BP34">
        <f t="shared" si="27"/>
        <v>0.10819300353458829</v>
      </c>
      <c r="BQ34">
        <f t="shared" si="28"/>
        <v>0.13533265065431196</v>
      </c>
      <c r="BR34">
        <f t="shared" si="29"/>
        <v>0.17636823485036096</v>
      </c>
      <c r="BS34">
        <f t="shared" si="30"/>
        <v>0.16157501135026528</v>
      </c>
      <c r="BT34">
        <f t="shared" si="31"/>
        <v>6.7053541214038268E-2</v>
      </c>
      <c r="BU34">
        <f t="shared" si="32"/>
        <v>8.365991055468712E-2</v>
      </c>
      <c r="BV34">
        <f t="shared" si="33"/>
        <v>4.5949958827558729E-2</v>
      </c>
      <c r="BW34">
        <f t="shared" si="34"/>
        <v>0.13568179991523538</v>
      </c>
      <c r="BX34">
        <f t="shared" si="35"/>
        <v>0.11364570337858029</v>
      </c>
      <c r="BY34">
        <f t="shared" si="36"/>
        <v>0.15531931832252874</v>
      </c>
      <c r="BZ34">
        <f t="shared" si="37"/>
        <v>0.12577261142430493</v>
      </c>
      <c r="CA34">
        <f t="shared" si="38"/>
        <v>9.5563288388434017E-2</v>
      </c>
      <c r="CB34">
        <f t="shared" si="39"/>
        <v>0.16011016793406757</v>
      </c>
      <c r="CC34">
        <f t="shared" si="40"/>
        <v>0.13835301544143216</v>
      </c>
      <c r="CD34">
        <f t="shared" si="41"/>
        <v>0.12138302640766491</v>
      </c>
      <c r="CE34">
        <f t="shared" si="42"/>
        <v>2.884840285028702E-2</v>
      </c>
      <c r="CG34">
        <f t="shared" si="43"/>
        <v>0.99999999999999978</v>
      </c>
      <c r="CH34">
        <f t="shared" si="44"/>
        <v>0.99999999999999989</v>
      </c>
      <c r="CJ34">
        <f t="shared" si="45"/>
        <v>0.89767385229638297</v>
      </c>
    </row>
    <row r="35" spans="1:88" ht="14.4" x14ac:dyDescent="0.3">
      <c r="A35" s="5" t="s">
        <v>36</v>
      </c>
      <c r="B35">
        <v>7.0527085113749929E-2</v>
      </c>
      <c r="C35">
        <v>0.20572758059004559</v>
      </c>
      <c r="D35">
        <v>0.36468173585333757</v>
      </c>
      <c r="E35">
        <v>0.32927442872997242</v>
      </c>
      <c r="F35">
        <v>0.25556768971875504</v>
      </c>
      <c r="G35">
        <v>0.1700817684272542</v>
      </c>
      <c r="H35">
        <v>0.20310501631306049</v>
      </c>
      <c r="I35">
        <v>0.17862243683761164</v>
      </c>
      <c r="J35">
        <v>0.19223047687923145</v>
      </c>
      <c r="K35">
        <v>0.16245416040709895</v>
      </c>
      <c r="L35">
        <v>8.911414763949059E-2</v>
      </c>
      <c r="M35">
        <v>0.16519315592081041</v>
      </c>
      <c r="N35">
        <v>6.0047878408818881E-2</v>
      </c>
      <c r="O35">
        <v>0.15293292641934136</v>
      </c>
      <c r="P35">
        <v>0.1307838075985526</v>
      </c>
      <c r="Q35">
        <v>0.10797867884012909</v>
      </c>
      <c r="R35">
        <v>0.14025542183343195</v>
      </c>
      <c r="S35">
        <v>0.12016036527656106</v>
      </c>
      <c r="T35">
        <v>0.18385251962264812</v>
      </c>
      <c r="U35">
        <v>6.145924683444879E-2</v>
      </c>
      <c r="V35">
        <v>4.1889861918581378E-2</v>
      </c>
      <c r="W35">
        <v>0.24320649157312244</v>
      </c>
      <c r="X35">
        <v>0.12401489041549243</v>
      </c>
      <c r="Y35">
        <v>0.10819300369067014</v>
      </c>
      <c r="Z35">
        <v>0.13533265084954613</v>
      </c>
      <c r="AA35">
        <v>0.17636823510479405</v>
      </c>
      <c r="AB35">
        <v>0.1615750115833573</v>
      </c>
      <c r="AC35">
        <v>6.7053541310771334E-2</v>
      </c>
      <c r="AD35">
        <v>8.3659910675376939E-2</v>
      </c>
      <c r="AE35">
        <v>4.5949958893847252E-2</v>
      </c>
      <c r="AF35">
        <v>0.13568180011097322</v>
      </c>
      <c r="AG35">
        <v>0.11364570354252834</v>
      </c>
      <c r="AH35">
        <v>0.15531931854659614</v>
      </c>
      <c r="AI35">
        <v>0.12577261160574754</v>
      </c>
      <c r="AJ35">
        <v>9.5563288526295934E-2</v>
      </c>
      <c r="AK35">
        <v>0.16011016816504639</v>
      </c>
      <c r="AL35">
        <v>0.13835301564102359</v>
      </c>
      <c r="AM35">
        <v>0.121383026582775</v>
      </c>
      <c r="AN35">
        <v>2.8848402891904424E-2</v>
      </c>
      <c r="AP35">
        <f t="shared" si="2"/>
        <v>1.0000000028852485</v>
      </c>
      <c r="AQ35">
        <f t="shared" si="3"/>
        <v>1.0000000014426242</v>
      </c>
      <c r="AS35">
        <f t="shared" si="4"/>
        <v>7.0527085012005844E-2</v>
      </c>
      <c r="AT35">
        <f t="shared" si="5"/>
        <v>0.20572758029325799</v>
      </c>
      <c r="AU35">
        <f t="shared" si="6"/>
        <v>0.36468173532723885</v>
      </c>
      <c r="AV35">
        <f t="shared" si="7"/>
        <v>0.32927442825495318</v>
      </c>
      <c r="AW35">
        <f t="shared" si="8"/>
        <v>0.25556768935006691</v>
      </c>
      <c r="AX35">
        <f t="shared" si="9"/>
        <v>0.17008176818189011</v>
      </c>
      <c r="AY35">
        <f t="shared" si="10"/>
        <v>0.20310501602005626</v>
      </c>
      <c r="AZ35">
        <f t="shared" si="11"/>
        <v>0.17862243657992657</v>
      </c>
      <c r="BA35">
        <f t="shared" si="12"/>
        <v>0.19223047660191511</v>
      </c>
      <c r="BB35">
        <f t="shared" si="13"/>
        <v>0.16245416017273864</v>
      </c>
      <c r="BC35">
        <f t="shared" si="14"/>
        <v>8.9114147510932357E-2</v>
      </c>
      <c r="BD35">
        <f t="shared" si="15"/>
        <v>0.16519315568249876</v>
      </c>
      <c r="BE35">
        <f t="shared" si="16"/>
        <v>6.0047878322192355E-2</v>
      </c>
      <c r="BF35">
        <f t="shared" si="17"/>
        <v>0.15293292619871662</v>
      </c>
      <c r="BG35">
        <f t="shared" si="18"/>
        <v>0.13078380740988071</v>
      </c>
      <c r="BH35">
        <f t="shared" si="19"/>
        <v>0.10797867868435643</v>
      </c>
      <c r="BI35">
        <f t="shared" si="20"/>
        <v>0.14025542163109608</v>
      </c>
      <c r="BJ35">
        <f t="shared" si="21"/>
        <v>0.1201603651032148</v>
      </c>
      <c r="BK35">
        <f t="shared" si="22"/>
        <v>0.18385251935741803</v>
      </c>
      <c r="BL35">
        <f t="shared" si="23"/>
        <v>6.1459246745786192E-2</v>
      </c>
      <c r="BM35">
        <f t="shared" si="24"/>
        <v>4.1889861858150045E-2</v>
      </c>
      <c r="BN35">
        <f t="shared" si="25"/>
        <v>0.24320649122226687</v>
      </c>
      <c r="BO35">
        <f t="shared" si="26"/>
        <v>0.12401489023658555</v>
      </c>
      <c r="BP35">
        <f t="shared" si="27"/>
        <v>0.10819300353458829</v>
      </c>
      <c r="BQ35">
        <f t="shared" si="28"/>
        <v>0.13533265065431196</v>
      </c>
      <c r="BR35">
        <f t="shared" si="29"/>
        <v>0.17636823485036096</v>
      </c>
      <c r="BS35">
        <f t="shared" si="30"/>
        <v>0.16157501135026528</v>
      </c>
      <c r="BT35">
        <f t="shared" si="31"/>
        <v>6.7053541214038268E-2</v>
      </c>
      <c r="BU35">
        <f t="shared" si="32"/>
        <v>8.365991055468712E-2</v>
      </c>
      <c r="BV35">
        <f t="shared" si="33"/>
        <v>4.5949958827558729E-2</v>
      </c>
      <c r="BW35">
        <f t="shared" si="34"/>
        <v>0.13568179991523538</v>
      </c>
      <c r="BX35">
        <f t="shared" si="35"/>
        <v>0.11364570337858029</v>
      </c>
      <c r="BY35">
        <f t="shared" si="36"/>
        <v>0.15531931832252874</v>
      </c>
      <c r="BZ35">
        <f t="shared" si="37"/>
        <v>0.12577261142430493</v>
      </c>
      <c r="CA35">
        <f t="shared" si="38"/>
        <v>9.5563288388434017E-2</v>
      </c>
      <c r="CB35">
        <f t="shared" si="39"/>
        <v>0.16011016793406757</v>
      </c>
      <c r="CC35">
        <f t="shared" si="40"/>
        <v>0.13835301544143216</v>
      </c>
      <c r="CD35">
        <f t="shared" si="41"/>
        <v>0.12138302640766491</v>
      </c>
      <c r="CE35">
        <f t="shared" si="42"/>
        <v>2.884840285028702E-2</v>
      </c>
      <c r="CG35">
        <f t="shared" si="43"/>
        <v>0.99999999999999978</v>
      </c>
      <c r="CH35">
        <f t="shared" si="44"/>
        <v>0.99999999999999989</v>
      </c>
      <c r="CJ35">
        <f t="shared" si="45"/>
        <v>0.89767385229638297</v>
      </c>
    </row>
    <row r="36" spans="1:88" ht="14.4" x14ac:dyDescent="0.3">
      <c r="A36" s="5" t="s">
        <v>37</v>
      </c>
      <c r="B36">
        <v>7.0527085113749929E-2</v>
      </c>
      <c r="C36">
        <v>0.20572758059004559</v>
      </c>
      <c r="D36">
        <v>0.36468173585333757</v>
      </c>
      <c r="E36">
        <v>0.32927442872997242</v>
      </c>
      <c r="F36">
        <v>0.25556768971875504</v>
      </c>
      <c r="G36">
        <v>0.1700817684272542</v>
      </c>
      <c r="H36">
        <v>0.20310501631306049</v>
      </c>
      <c r="I36">
        <v>0.17862243683761164</v>
      </c>
      <c r="J36">
        <v>0.19223047687923145</v>
      </c>
      <c r="K36">
        <v>0.16245416040709895</v>
      </c>
      <c r="L36">
        <v>8.911414763949059E-2</v>
      </c>
      <c r="M36">
        <v>0.16519315592081041</v>
      </c>
      <c r="N36">
        <v>6.0047878408818881E-2</v>
      </c>
      <c r="O36">
        <v>0.15293292641934136</v>
      </c>
      <c r="P36">
        <v>0.1307838075985526</v>
      </c>
      <c r="Q36">
        <v>0.10797867884012909</v>
      </c>
      <c r="R36">
        <v>0.14025542183343195</v>
      </c>
      <c r="S36">
        <v>0.12016036527656106</v>
      </c>
      <c r="T36">
        <v>0.18385251962264812</v>
      </c>
      <c r="U36">
        <v>6.145924683444879E-2</v>
      </c>
      <c r="V36">
        <v>4.1889861918581378E-2</v>
      </c>
      <c r="W36">
        <v>0.24320649157312244</v>
      </c>
      <c r="X36">
        <v>0.12401489041549243</v>
      </c>
      <c r="Y36">
        <v>0.10819300369067014</v>
      </c>
      <c r="Z36">
        <v>0.13533265084954613</v>
      </c>
      <c r="AA36">
        <v>0.17636823510479405</v>
      </c>
      <c r="AB36">
        <v>0.1615750115833573</v>
      </c>
      <c r="AC36">
        <v>6.7053541310771334E-2</v>
      </c>
      <c r="AD36">
        <v>8.3659910675376939E-2</v>
      </c>
      <c r="AE36">
        <v>4.5949958893847252E-2</v>
      </c>
      <c r="AF36">
        <v>0.13568180011097322</v>
      </c>
      <c r="AG36">
        <v>0.11364570354252834</v>
      </c>
      <c r="AH36">
        <v>0.15531931854659614</v>
      </c>
      <c r="AI36">
        <v>0.12577261160574754</v>
      </c>
      <c r="AJ36">
        <v>9.5563288526295934E-2</v>
      </c>
      <c r="AK36">
        <v>0.16011016816504639</v>
      </c>
      <c r="AL36">
        <v>0.13835301564102359</v>
      </c>
      <c r="AM36">
        <v>0.121383026582775</v>
      </c>
      <c r="AN36">
        <v>2.8848402891904424E-2</v>
      </c>
      <c r="AP36">
        <f t="shared" si="2"/>
        <v>1.0000000028852485</v>
      </c>
      <c r="AQ36">
        <f t="shared" si="3"/>
        <v>1.0000000014426242</v>
      </c>
      <c r="AS36">
        <f t="shared" si="4"/>
        <v>7.0527085012005844E-2</v>
      </c>
      <c r="AT36">
        <f t="shared" si="5"/>
        <v>0.20572758029325799</v>
      </c>
      <c r="AU36">
        <f t="shared" si="6"/>
        <v>0.36468173532723885</v>
      </c>
      <c r="AV36">
        <f t="shared" si="7"/>
        <v>0.32927442825495318</v>
      </c>
      <c r="AW36">
        <f t="shared" si="8"/>
        <v>0.25556768935006691</v>
      </c>
      <c r="AX36">
        <f t="shared" si="9"/>
        <v>0.17008176818189011</v>
      </c>
      <c r="AY36">
        <f t="shared" si="10"/>
        <v>0.20310501602005626</v>
      </c>
      <c r="AZ36">
        <f t="shared" si="11"/>
        <v>0.17862243657992657</v>
      </c>
      <c r="BA36">
        <f t="shared" si="12"/>
        <v>0.19223047660191511</v>
      </c>
      <c r="BB36">
        <f t="shared" si="13"/>
        <v>0.16245416017273864</v>
      </c>
      <c r="BC36">
        <f t="shared" si="14"/>
        <v>8.9114147510932357E-2</v>
      </c>
      <c r="BD36">
        <f t="shared" si="15"/>
        <v>0.16519315568249876</v>
      </c>
      <c r="BE36">
        <f t="shared" si="16"/>
        <v>6.0047878322192355E-2</v>
      </c>
      <c r="BF36">
        <f t="shared" si="17"/>
        <v>0.15293292619871662</v>
      </c>
      <c r="BG36">
        <f t="shared" si="18"/>
        <v>0.13078380740988071</v>
      </c>
      <c r="BH36">
        <f t="shared" si="19"/>
        <v>0.10797867868435643</v>
      </c>
      <c r="BI36">
        <f t="shared" si="20"/>
        <v>0.14025542163109608</v>
      </c>
      <c r="BJ36">
        <f t="shared" si="21"/>
        <v>0.1201603651032148</v>
      </c>
      <c r="BK36">
        <f t="shared" si="22"/>
        <v>0.18385251935741803</v>
      </c>
      <c r="BL36">
        <f t="shared" si="23"/>
        <v>6.1459246745786192E-2</v>
      </c>
      <c r="BM36">
        <f t="shared" si="24"/>
        <v>4.1889861858150045E-2</v>
      </c>
      <c r="BN36">
        <f t="shared" si="25"/>
        <v>0.24320649122226687</v>
      </c>
      <c r="BO36">
        <f t="shared" si="26"/>
        <v>0.12401489023658555</v>
      </c>
      <c r="BP36">
        <f t="shared" si="27"/>
        <v>0.10819300353458829</v>
      </c>
      <c r="BQ36">
        <f t="shared" si="28"/>
        <v>0.13533265065431196</v>
      </c>
      <c r="BR36">
        <f t="shared" si="29"/>
        <v>0.17636823485036096</v>
      </c>
      <c r="BS36">
        <f t="shared" si="30"/>
        <v>0.16157501135026528</v>
      </c>
      <c r="BT36">
        <f t="shared" si="31"/>
        <v>6.7053541214038268E-2</v>
      </c>
      <c r="BU36">
        <f t="shared" si="32"/>
        <v>8.365991055468712E-2</v>
      </c>
      <c r="BV36">
        <f t="shared" si="33"/>
        <v>4.5949958827558729E-2</v>
      </c>
      <c r="BW36">
        <f t="shared" si="34"/>
        <v>0.13568179991523538</v>
      </c>
      <c r="BX36">
        <f t="shared" si="35"/>
        <v>0.11364570337858029</v>
      </c>
      <c r="BY36">
        <f t="shared" si="36"/>
        <v>0.15531931832252874</v>
      </c>
      <c r="BZ36">
        <f t="shared" si="37"/>
        <v>0.12577261142430493</v>
      </c>
      <c r="CA36">
        <f t="shared" si="38"/>
        <v>9.5563288388434017E-2</v>
      </c>
      <c r="CB36">
        <f t="shared" si="39"/>
        <v>0.16011016793406757</v>
      </c>
      <c r="CC36">
        <f t="shared" si="40"/>
        <v>0.13835301544143216</v>
      </c>
      <c r="CD36">
        <f t="shared" si="41"/>
        <v>0.12138302640766491</v>
      </c>
      <c r="CE36">
        <f t="shared" si="42"/>
        <v>2.884840285028702E-2</v>
      </c>
      <c r="CG36">
        <f t="shared" si="43"/>
        <v>0.99999999999999978</v>
      </c>
      <c r="CH36">
        <f t="shared" si="44"/>
        <v>0.99999999999999989</v>
      </c>
      <c r="CJ36">
        <f t="shared" si="45"/>
        <v>0.89767385229638297</v>
      </c>
    </row>
    <row r="37" spans="1:88" ht="14.4" x14ac:dyDescent="0.3">
      <c r="A37" s="5" t="s">
        <v>38</v>
      </c>
      <c r="B37">
        <v>7.0527085113749929E-2</v>
      </c>
      <c r="C37">
        <v>0.20572758059004559</v>
      </c>
      <c r="D37">
        <v>0.36468173585333757</v>
      </c>
      <c r="E37">
        <v>0.32927442872997242</v>
      </c>
      <c r="F37">
        <v>0.25556768971875504</v>
      </c>
      <c r="G37">
        <v>0.1700817684272542</v>
      </c>
      <c r="H37">
        <v>0.20310501631306049</v>
      </c>
      <c r="I37">
        <v>0.17862243683761164</v>
      </c>
      <c r="J37">
        <v>0.19223047687923145</v>
      </c>
      <c r="K37">
        <v>0.16245416040709895</v>
      </c>
      <c r="L37">
        <v>8.911414763949059E-2</v>
      </c>
      <c r="M37">
        <v>0.16519315592081041</v>
      </c>
      <c r="N37">
        <v>6.0047878408818881E-2</v>
      </c>
      <c r="O37">
        <v>0.15293292641934136</v>
      </c>
      <c r="P37">
        <v>0.1307838075985526</v>
      </c>
      <c r="Q37">
        <v>0.10797867884012909</v>
      </c>
      <c r="R37">
        <v>0.14025542183343195</v>
      </c>
      <c r="S37">
        <v>0.12016036527656106</v>
      </c>
      <c r="T37">
        <v>0.18385251962264812</v>
      </c>
      <c r="U37">
        <v>6.145924683444879E-2</v>
      </c>
      <c r="V37">
        <v>4.1889861918581378E-2</v>
      </c>
      <c r="W37">
        <v>0.24320649157312244</v>
      </c>
      <c r="X37">
        <v>0.12401489041549243</v>
      </c>
      <c r="Y37">
        <v>0.10819300369067014</v>
      </c>
      <c r="Z37">
        <v>0.13533265084954613</v>
      </c>
      <c r="AA37">
        <v>0.17636823510479405</v>
      </c>
      <c r="AB37">
        <v>0.1615750115833573</v>
      </c>
      <c r="AC37">
        <v>6.7053541310771334E-2</v>
      </c>
      <c r="AD37">
        <v>8.3659910675376939E-2</v>
      </c>
      <c r="AE37">
        <v>4.5949958893847252E-2</v>
      </c>
      <c r="AF37">
        <v>0.13568180011097322</v>
      </c>
      <c r="AG37">
        <v>0.11364570354252834</v>
      </c>
      <c r="AH37">
        <v>0.15531931854659614</v>
      </c>
      <c r="AI37">
        <v>0.12577261160574754</v>
      </c>
      <c r="AJ37">
        <v>9.5563288526295934E-2</v>
      </c>
      <c r="AK37">
        <v>0.16011016816504639</v>
      </c>
      <c r="AL37">
        <v>0.13835301564102359</v>
      </c>
      <c r="AM37">
        <v>0.121383026582775</v>
      </c>
      <c r="AN37">
        <v>2.8848402891904424E-2</v>
      </c>
      <c r="AP37">
        <f t="shared" si="2"/>
        <v>1.0000000028852485</v>
      </c>
      <c r="AQ37">
        <f t="shared" si="3"/>
        <v>1.0000000014426242</v>
      </c>
      <c r="AS37">
        <f t="shared" si="4"/>
        <v>7.0527085012005844E-2</v>
      </c>
      <c r="AT37">
        <f t="shared" si="5"/>
        <v>0.20572758029325799</v>
      </c>
      <c r="AU37">
        <f t="shared" si="6"/>
        <v>0.36468173532723885</v>
      </c>
      <c r="AV37">
        <f t="shared" si="7"/>
        <v>0.32927442825495318</v>
      </c>
      <c r="AW37">
        <f t="shared" si="8"/>
        <v>0.25556768935006691</v>
      </c>
      <c r="AX37">
        <f t="shared" si="9"/>
        <v>0.17008176818189011</v>
      </c>
      <c r="AY37">
        <f t="shared" si="10"/>
        <v>0.20310501602005626</v>
      </c>
      <c r="AZ37">
        <f t="shared" si="11"/>
        <v>0.17862243657992657</v>
      </c>
      <c r="BA37">
        <f t="shared" si="12"/>
        <v>0.19223047660191511</v>
      </c>
      <c r="BB37">
        <f t="shared" si="13"/>
        <v>0.16245416017273864</v>
      </c>
      <c r="BC37">
        <f t="shared" si="14"/>
        <v>8.9114147510932357E-2</v>
      </c>
      <c r="BD37">
        <f t="shared" si="15"/>
        <v>0.16519315568249876</v>
      </c>
      <c r="BE37">
        <f t="shared" si="16"/>
        <v>6.0047878322192355E-2</v>
      </c>
      <c r="BF37">
        <f t="shared" si="17"/>
        <v>0.15293292619871662</v>
      </c>
      <c r="BG37">
        <f t="shared" si="18"/>
        <v>0.13078380740988071</v>
      </c>
      <c r="BH37">
        <f t="shared" si="19"/>
        <v>0.10797867868435643</v>
      </c>
      <c r="BI37">
        <f t="shared" si="20"/>
        <v>0.14025542163109608</v>
      </c>
      <c r="BJ37">
        <f t="shared" si="21"/>
        <v>0.1201603651032148</v>
      </c>
      <c r="BK37">
        <f t="shared" si="22"/>
        <v>0.18385251935741803</v>
      </c>
      <c r="BL37">
        <f t="shared" si="23"/>
        <v>6.1459246745786192E-2</v>
      </c>
      <c r="BM37">
        <f t="shared" si="24"/>
        <v>4.1889861858150045E-2</v>
      </c>
      <c r="BN37">
        <f t="shared" si="25"/>
        <v>0.24320649122226687</v>
      </c>
      <c r="BO37">
        <f t="shared" si="26"/>
        <v>0.12401489023658555</v>
      </c>
      <c r="BP37">
        <f t="shared" si="27"/>
        <v>0.10819300353458829</v>
      </c>
      <c r="BQ37">
        <f t="shared" si="28"/>
        <v>0.13533265065431196</v>
      </c>
      <c r="BR37">
        <f t="shared" si="29"/>
        <v>0.17636823485036096</v>
      </c>
      <c r="BS37">
        <f t="shared" si="30"/>
        <v>0.16157501135026528</v>
      </c>
      <c r="BT37">
        <f t="shared" si="31"/>
        <v>6.7053541214038268E-2</v>
      </c>
      <c r="BU37">
        <f t="shared" si="32"/>
        <v>8.365991055468712E-2</v>
      </c>
      <c r="BV37">
        <f t="shared" si="33"/>
        <v>4.5949958827558729E-2</v>
      </c>
      <c r="BW37">
        <f t="shared" si="34"/>
        <v>0.13568179991523538</v>
      </c>
      <c r="BX37">
        <f t="shared" si="35"/>
        <v>0.11364570337858029</v>
      </c>
      <c r="BY37">
        <f t="shared" si="36"/>
        <v>0.15531931832252874</v>
      </c>
      <c r="BZ37">
        <f t="shared" si="37"/>
        <v>0.12577261142430493</v>
      </c>
      <c r="CA37">
        <f t="shared" si="38"/>
        <v>9.5563288388434017E-2</v>
      </c>
      <c r="CB37">
        <f t="shared" si="39"/>
        <v>0.16011016793406757</v>
      </c>
      <c r="CC37">
        <f t="shared" si="40"/>
        <v>0.13835301544143216</v>
      </c>
      <c r="CD37">
        <f t="shared" si="41"/>
        <v>0.12138302640766491</v>
      </c>
      <c r="CE37">
        <f t="shared" si="42"/>
        <v>2.884840285028702E-2</v>
      </c>
      <c r="CG37">
        <f t="shared" si="43"/>
        <v>0.99999999999999978</v>
      </c>
      <c r="CH37">
        <f t="shared" si="44"/>
        <v>0.99999999999999989</v>
      </c>
      <c r="CJ37">
        <f t="shared" si="45"/>
        <v>0.89767385229638297</v>
      </c>
    </row>
    <row r="38" spans="1:88" ht="14.4" x14ac:dyDescent="0.3">
      <c r="A38" s="5" t="s">
        <v>39</v>
      </c>
      <c r="B38">
        <v>7.0527085113749929E-2</v>
      </c>
      <c r="C38">
        <v>0.20572758059004559</v>
      </c>
      <c r="D38">
        <v>0.36468173585333757</v>
      </c>
      <c r="E38">
        <v>0.32927442872997242</v>
      </c>
      <c r="F38">
        <v>0.25556768971875504</v>
      </c>
      <c r="G38">
        <v>0.1700817684272542</v>
      </c>
      <c r="H38">
        <v>0.20310501631306049</v>
      </c>
      <c r="I38">
        <v>0.17862243683761164</v>
      </c>
      <c r="J38">
        <v>0.19223047687923145</v>
      </c>
      <c r="K38">
        <v>0.16245416040709895</v>
      </c>
      <c r="L38">
        <v>8.911414763949059E-2</v>
      </c>
      <c r="M38">
        <v>0.16519315592081041</v>
      </c>
      <c r="N38">
        <v>6.0047878408818881E-2</v>
      </c>
      <c r="O38">
        <v>0.15293292641934136</v>
      </c>
      <c r="P38">
        <v>0.1307838075985526</v>
      </c>
      <c r="Q38">
        <v>0.10797867884012909</v>
      </c>
      <c r="R38">
        <v>0.14025542183343195</v>
      </c>
      <c r="S38">
        <v>0.12016036527656106</v>
      </c>
      <c r="T38">
        <v>0.18385251962264812</v>
      </c>
      <c r="U38">
        <v>6.145924683444879E-2</v>
      </c>
      <c r="V38">
        <v>4.1889861918581378E-2</v>
      </c>
      <c r="W38">
        <v>0.24320649157312244</v>
      </c>
      <c r="X38">
        <v>0.12401489041549243</v>
      </c>
      <c r="Y38">
        <v>0.10819300369067014</v>
      </c>
      <c r="Z38">
        <v>0.13533265084954613</v>
      </c>
      <c r="AA38">
        <v>0.17636823510479405</v>
      </c>
      <c r="AB38">
        <v>0.1615750115833573</v>
      </c>
      <c r="AC38">
        <v>6.7053541310771334E-2</v>
      </c>
      <c r="AD38">
        <v>8.3659910675376939E-2</v>
      </c>
      <c r="AE38">
        <v>4.5949958893847252E-2</v>
      </c>
      <c r="AF38">
        <v>0.13568180011097322</v>
      </c>
      <c r="AG38">
        <v>0.11364570354252834</v>
      </c>
      <c r="AH38">
        <v>0.15531931854659614</v>
      </c>
      <c r="AI38">
        <v>0.12577261160574754</v>
      </c>
      <c r="AJ38">
        <v>9.5563288526295934E-2</v>
      </c>
      <c r="AK38">
        <v>0.16011016816504639</v>
      </c>
      <c r="AL38">
        <v>0.13835301564102359</v>
      </c>
      <c r="AM38">
        <v>0.121383026582775</v>
      </c>
      <c r="AN38">
        <v>2.8848402891904424E-2</v>
      </c>
      <c r="AP38">
        <f t="shared" si="2"/>
        <v>1.0000000028852485</v>
      </c>
      <c r="AQ38">
        <f t="shared" si="3"/>
        <v>1.0000000014426242</v>
      </c>
      <c r="AS38">
        <f t="shared" si="4"/>
        <v>7.0527085012005844E-2</v>
      </c>
      <c r="AT38">
        <f t="shared" si="5"/>
        <v>0.20572758029325799</v>
      </c>
      <c r="AU38">
        <f t="shared" si="6"/>
        <v>0.36468173532723885</v>
      </c>
      <c r="AV38">
        <f t="shared" si="7"/>
        <v>0.32927442825495318</v>
      </c>
      <c r="AW38">
        <f t="shared" si="8"/>
        <v>0.25556768935006691</v>
      </c>
      <c r="AX38">
        <f t="shared" si="9"/>
        <v>0.17008176818189011</v>
      </c>
      <c r="AY38">
        <f t="shared" si="10"/>
        <v>0.20310501602005626</v>
      </c>
      <c r="AZ38">
        <f t="shared" si="11"/>
        <v>0.17862243657992657</v>
      </c>
      <c r="BA38">
        <f t="shared" si="12"/>
        <v>0.19223047660191511</v>
      </c>
      <c r="BB38">
        <f t="shared" si="13"/>
        <v>0.16245416017273864</v>
      </c>
      <c r="BC38">
        <f t="shared" si="14"/>
        <v>8.9114147510932357E-2</v>
      </c>
      <c r="BD38">
        <f t="shared" si="15"/>
        <v>0.16519315568249876</v>
      </c>
      <c r="BE38">
        <f t="shared" si="16"/>
        <v>6.0047878322192355E-2</v>
      </c>
      <c r="BF38">
        <f t="shared" si="17"/>
        <v>0.15293292619871662</v>
      </c>
      <c r="BG38">
        <f t="shared" si="18"/>
        <v>0.13078380740988071</v>
      </c>
      <c r="BH38">
        <f t="shared" si="19"/>
        <v>0.10797867868435643</v>
      </c>
      <c r="BI38">
        <f t="shared" si="20"/>
        <v>0.14025542163109608</v>
      </c>
      <c r="BJ38">
        <f t="shared" si="21"/>
        <v>0.1201603651032148</v>
      </c>
      <c r="BK38">
        <f t="shared" si="22"/>
        <v>0.18385251935741803</v>
      </c>
      <c r="BL38">
        <f t="shared" si="23"/>
        <v>6.1459246745786192E-2</v>
      </c>
      <c r="BM38">
        <f t="shared" si="24"/>
        <v>4.1889861858150045E-2</v>
      </c>
      <c r="BN38">
        <f t="shared" si="25"/>
        <v>0.24320649122226687</v>
      </c>
      <c r="BO38">
        <f t="shared" si="26"/>
        <v>0.12401489023658555</v>
      </c>
      <c r="BP38">
        <f t="shared" si="27"/>
        <v>0.10819300353458829</v>
      </c>
      <c r="BQ38">
        <f t="shared" si="28"/>
        <v>0.13533265065431196</v>
      </c>
      <c r="BR38">
        <f t="shared" si="29"/>
        <v>0.17636823485036096</v>
      </c>
      <c r="BS38">
        <f t="shared" si="30"/>
        <v>0.16157501135026528</v>
      </c>
      <c r="BT38">
        <f t="shared" si="31"/>
        <v>6.7053541214038268E-2</v>
      </c>
      <c r="BU38">
        <f t="shared" si="32"/>
        <v>8.365991055468712E-2</v>
      </c>
      <c r="BV38">
        <f t="shared" si="33"/>
        <v>4.5949958827558729E-2</v>
      </c>
      <c r="BW38">
        <f t="shared" si="34"/>
        <v>0.13568179991523538</v>
      </c>
      <c r="BX38">
        <f t="shared" si="35"/>
        <v>0.11364570337858029</v>
      </c>
      <c r="BY38">
        <f t="shared" si="36"/>
        <v>0.15531931832252874</v>
      </c>
      <c r="BZ38">
        <f t="shared" si="37"/>
        <v>0.12577261142430493</v>
      </c>
      <c r="CA38">
        <f t="shared" si="38"/>
        <v>9.5563288388434017E-2</v>
      </c>
      <c r="CB38">
        <f t="shared" si="39"/>
        <v>0.16011016793406757</v>
      </c>
      <c r="CC38">
        <f t="shared" si="40"/>
        <v>0.13835301544143216</v>
      </c>
      <c r="CD38">
        <f t="shared" si="41"/>
        <v>0.12138302640766491</v>
      </c>
      <c r="CE38">
        <f t="shared" si="42"/>
        <v>2.884840285028702E-2</v>
      </c>
      <c r="CG38">
        <f t="shared" si="43"/>
        <v>0.99999999999999978</v>
      </c>
      <c r="CH38">
        <f t="shared" si="44"/>
        <v>0.99999999999999989</v>
      </c>
      <c r="CJ38">
        <f t="shared" si="45"/>
        <v>0.89767385229638297</v>
      </c>
    </row>
    <row r="39" spans="1:88" ht="14.4" x14ac:dyDescent="0.3">
      <c r="A39" s="5" t="s">
        <v>40</v>
      </c>
      <c r="B39">
        <v>7.0527085113749929E-2</v>
      </c>
      <c r="C39">
        <v>0.20572758059004559</v>
      </c>
      <c r="D39">
        <v>0.36468173585333757</v>
      </c>
      <c r="E39">
        <v>0.32927442872997242</v>
      </c>
      <c r="F39">
        <v>0.25556768971875504</v>
      </c>
      <c r="G39">
        <v>0.1700817684272542</v>
      </c>
      <c r="H39">
        <v>0.20310501631306049</v>
      </c>
      <c r="I39">
        <v>0.17862243683761164</v>
      </c>
      <c r="J39">
        <v>0.19223047687923145</v>
      </c>
      <c r="K39">
        <v>0.16245416040709895</v>
      </c>
      <c r="L39">
        <v>8.911414763949059E-2</v>
      </c>
      <c r="M39">
        <v>0.16519315592081041</v>
      </c>
      <c r="N39">
        <v>6.0047878408818881E-2</v>
      </c>
      <c r="O39">
        <v>0.15293292641934136</v>
      </c>
      <c r="P39">
        <v>0.1307838075985526</v>
      </c>
      <c r="Q39">
        <v>0.10797867884012909</v>
      </c>
      <c r="R39">
        <v>0.14025542183343195</v>
      </c>
      <c r="S39">
        <v>0.12016036527656106</v>
      </c>
      <c r="T39">
        <v>0.18385251962264812</v>
      </c>
      <c r="U39">
        <v>6.145924683444879E-2</v>
      </c>
      <c r="V39">
        <v>4.1889861918581378E-2</v>
      </c>
      <c r="W39">
        <v>0.24320649157312244</v>
      </c>
      <c r="X39">
        <v>0.12401489041549243</v>
      </c>
      <c r="Y39">
        <v>0.10819300369067014</v>
      </c>
      <c r="Z39">
        <v>0.13533265084954613</v>
      </c>
      <c r="AA39">
        <v>0.17636823510479405</v>
      </c>
      <c r="AB39">
        <v>0.1615750115833573</v>
      </c>
      <c r="AC39">
        <v>6.7053541310771334E-2</v>
      </c>
      <c r="AD39">
        <v>8.3659910675376939E-2</v>
      </c>
      <c r="AE39">
        <v>4.5949958893847252E-2</v>
      </c>
      <c r="AF39">
        <v>0.13568180011097322</v>
      </c>
      <c r="AG39">
        <v>0.11364570354252834</v>
      </c>
      <c r="AH39">
        <v>0.15531931854659614</v>
      </c>
      <c r="AI39">
        <v>0.12577261160574754</v>
      </c>
      <c r="AJ39">
        <v>9.5563288526295934E-2</v>
      </c>
      <c r="AK39">
        <v>0.16011016816504639</v>
      </c>
      <c r="AL39">
        <v>0.13835301564102359</v>
      </c>
      <c r="AM39">
        <v>0.121383026582775</v>
      </c>
      <c r="AN39">
        <v>2.8848402891904424E-2</v>
      </c>
      <c r="AP39">
        <f t="shared" si="2"/>
        <v>1.0000000028852485</v>
      </c>
      <c r="AQ39">
        <f t="shared" si="3"/>
        <v>1.0000000014426242</v>
      </c>
      <c r="AS39">
        <f t="shared" si="4"/>
        <v>7.0527085012005844E-2</v>
      </c>
      <c r="AT39">
        <f t="shared" si="5"/>
        <v>0.20572758029325799</v>
      </c>
      <c r="AU39">
        <f t="shared" si="6"/>
        <v>0.36468173532723885</v>
      </c>
      <c r="AV39">
        <f t="shared" si="7"/>
        <v>0.32927442825495318</v>
      </c>
      <c r="AW39">
        <f t="shared" si="8"/>
        <v>0.25556768935006691</v>
      </c>
      <c r="AX39">
        <f t="shared" si="9"/>
        <v>0.17008176818189011</v>
      </c>
      <c r="AY39">
        <f t="shared" si="10"/>
        <v>0.20310501602005626</v>
      </c>
      <c r="AZ39">
        <f t="shared" si="11"/>
        <v>0.17862243657992657</v>
      </c>
      <c r="BA39">
        <f t="shared" si="12"/>
        <v>0.19223047660191511</v>
      </c>
      <c r="BB39">
        <f t="shared" si="13"/>
        <v>0.16245416017273864</v>
      </c>
      <c r="BC39">
        <f t="shared" si="14"/>
        <v>8.9114147510932357E-2</v>
      </c>
      <c r="BD39">
        <f t="shared" si="15"/>
        <v>0.16519315568249876</v>
      </c>
      <c r="BE39">
        <f t="shared" si="16"/>
        <v>6.0047878322192355E-2</v>
      </c>
      <c r="BF39">
        <f t="shared" si="17"/>
        <v>0.15293292619871662</v>
      </c>
      <c r="BG39">
        <f t="shared" si="18"/>
        <v>0.13078380740988071</v>
      </c>
      <c r="BH39">
        <f t="shared" si="19"/>
        <v>0.10797867868435643</v>
      </c>
      <c r="BI39">
        <f t="shared" si="20"/>
        <v>0.14025542163109608</v>
      </c>
      <c r="BJ39">
        <f t="shared" si="21"/>
        <v>0.1201603651032148</v>
      </c>
      <c r="BK39">
        <f t="shared" si="22"/>
        <v>0.18385251935741803</v>
      </c>
      <c r="BL39">
        <f t="shared" si="23"/>
        <v>6.1459246745786192E-2</v>
      </c>
      <c r="BM39">
        <f t="shared" si="24"/>
        <v>4.1889861858150045E-2</v>
      </c>
      <c r="BN39">
        <f t="shared" si="25"/>
        <v>0.24320649122226687</v>
      </c>
      <c r="BO39">
        <f t="shared" si="26"/>
        <v>0.12401489023658555</v>
      </c>
      <c r="BP39">
        <f t="shared" si="27"/>
        <v>0.10819300353458829</v>
      </c>
      <c r="BQ39">
        <f t="shared" si="28"/>
        <v>0.13533265065431196</v>
      </c>
      <c r="BR39">
        <f t="shared" si="29"/>
        <v>0.17636823485036096</v>
      </c>
      <c r="BS39">
        <f t="shared" si="30"/>
        <v>0.16157501135026528</v>
      </c>
      <c r="BT39">
        <f t="shared" si="31"/>
        <v>6.7053541214038268E-2</v>
      </c>
      <c r="BU39">
        <f t="shared" si="32"/>
        <v>8.365991055468712E-2</v>
      </c>
      <c r="BV39">
        <f t="shared" si="33"/>
        <v>4.5949958827558729E-2</v>
      </c>
      <c r="BW39">
        <f t="shared" si="34"/>
        <v>0.13568179991523538</v>
      </c>
      <c r="BX39">
        <f t="shared" si="35"/>
        <v>0.11364570337858029</v>
      </c>
      <c r="BY39">
        <f t="shared" si="36"/>
        <v>0.15531931832252874</v>
      </c>
      <c r="BZ39">
        <f t="shared" si="37"/>
        <v>0.12577261142430493</v>
      </c>
      <c r="CA39">
        <f t="shared" si="38"/>
        <v>9.5563288388434017E-2</v>
      </c>
      <c r="CB39">
        <f t="shared" si="39"/>
        <v>0.16011016793406757</v>
      </c>
      <c r="CC39">
        <f t="shared" si="40"/>
        <v>0.13835301544143216</v>
      </c>
      <c r="CD39">
        <f t="shared" si="41"/>
        <v>0.12138302640766491</v>
      </c>
      <c r="CE39">
        <f t="shared" si="42"/>
        <v>2.884840285028702E-2</v>
      </c>
      <c r="CG39">
        <f t="shared" si="43"/>
        <v>0.99999999999999978</v>
      </c>
      <c r="CH39">
        <f t="shared" si="44"/>
        <v>0.99999999999999989</v>
      </c>
      <c r="CJ39">
        <f t="shared" si="45"/>
        <v>0.89767385229638297</v>
      </c>
    </row>
    <row r="40" spans="1:88" ht="14.4" x14ac:dyDescent="0.3">
      <c r="A40" s="5" t="s">
        <v>41</v>
      </c>
      <c r="B40">
        <v>7.0527085113749929E-2</v>
      </c>
      <c r="C40">
        <v>0.20572758059004559</v>
      </c>
      <c r="D40">
        <v>0.36468173585333757</v>
      </c>
      <c r="E40">
        <v>0.32927442872997242</v>
      </c>
      <c r="F40">
        <v>0.25556768971875504</v>
      </c>
      <c r="G40">
        <v>0.1700817684272542</v>
      </c>
      <c r="H40">
        <v>0.20310501631306049</v>
      </c>
      <c r="I40">
        <v>0.17862243683761164</v>
      </c>
      <c r="J40">
        <v>0.19223047687923145</v>
      </c>
      <c r="K40">
        <v>0.16245416040709895</v>
      </c>
      <c r="L40">
        <v>8.911414763949059E-2</v>
      </c>
      <c r="M40">
        <v>0.16519315592081041</v>
      </c>
      <c r="N40">
        <v>6.0047878408818881E-2</v>
      </c>
      <c r="O40">
        <v>0.15293292641934136</v>
      </c>
      <c r="P40">
        <v>0.1307838075985526</v>
      </c>
      <c r="Q40">
        <v>0.10797867884012909</v>
      </c>
      <c r="R40">
        <v>0.14025542183343195</v>
      </c>
      <c r="S40">
        <v>0.12016036527656106</v>
      </c>
      <c r="T40">
        <v>0.18385251962264812</v>
      </c>
      <c r="U40">
        <v>6.145924683444879E-2</v>
      </c>
      <c r="V40">
        <v>4.1889861918581378E-2</v>
      </c>
      <c r="W40">
        <v>0.24320649157312244</v>
      </c>
      <c r="X40">
        <v>0.12401489041549243</v>
      </c>
      <c r="Y40">
        <v>0.10819300369067014</v>
      </c>
      <c r="Z40">
        <v>0.13533265084954613</v>
      </c>
      <c r="AA40">
        <v>0.17636823510479405</v>
      </c>
      <c r="AB40">
        <v>0.1615750115833573</v>
      </c>
      <c r="AC40">
        <v>6.7053541310771334E-2</v>
      </c>
      <c r="AD40">
        <v>8.3659910675376939E-2</v>
      </c>
      <c r="AE40">
        <v>4.5949958893847252E-2</v>
      </c>
      <c r="AF40">
        <v>0.13568180011097322</v>
      </c>
      <c r="AG40">
        <v>0.11364570354252834</v>
      </c>
      <c r="AH40">
        <v>0.15531931854659614</v>
      </c>
      <c r="AI40">
        <v>0.12577261160574754</v>
      </c>
      <c r="AJ40">
        <v>9.5563288526295934E-2</v>
      </c>
      <c r="AK40">
        <v>0.16011016816504639</v>
      </c>
      <c r="AL40">
        <v>0.13835301564102359</v>
      </c>
      <c r="AM40">
        <v>0.121383026582775</v>
      </c>
      <c r="AN40">
        <v>2.8848402891904424E-2</v>
      </c>
      <c r="AP40">
        <f t="shared" si="2"/>
        <v>1.0000000028852485</v>
      </c>
      <c r="AQ40">
        <f t="shared" si="3"/>
        <v>1.0000000014426242</v>
      </c>
      <c r="AS40">
        <f t="shared" si="4"/>
        <v>7.0527085012005844E-2</v>
      </c>
      <c r="AT40">
        <f t="shared" si="5"/>
        <v>0.20572758029325799</v>
      </c>
      <c r="AU40">
        <f t="shared" si="6"/>
        <v>0.36468173532723885</v>
      </c>
      <c r="AV40">
        <f t="shared" si="7"/>
        <v>0.32927442825495318</v>
      </c>
      <c r="AW40">
        <f t="shared" si="8"/>
        <v>0.25556768935006691</v>
      </c>
      <c r="AX40">
        <f t="shared" si="9"/>
        <v>0.17008176818189011</v>
      </c>
      <c r="AY40">
        <f t="shared" si="10"/>
        <v>0.20310501602005626</v>
      </c>
      <c r="AZ40">
        <f t="shared" si="11"/>
        <v>0.17862243657992657</v>
      </c>
      <c r="BA40">
        <f t="shared" si="12"/>
        <v>0.19223047660191511</v>
      </c>
      <c r="BB40">
        <f t="shared" si="13"/>
        <v>0.16245416017273864</v>
      </c>
      <c r="BC40">
        <f t="shared" si="14"/>
        <v>8.9114147510932357E-2</v>
      </c>
      <c r="BD40">
        <f t="shared" si="15"/>
        <v>0.16519315568249876</v>
      </c>
      <c r="BE40">
        <f t="shared" si="16"/>
        <v>6.0047878322192355E-2</v>
      </c>
      <c r="BF40">
        <f t="shared" si="17"/>
        <v>0.15293292619871662</v>
      </c>
      <c r="BG40">
        <f t="shared" si="18"/>
        <v>0.13078380740988071</v>
      </c>
      <c r="BH40">
        <f t="shared" si="19"/>
        <v>0.10797867868435643</v>
      </c>
      <c r="BI40">
        <f t="shared" si="20"/>
        <v>0.14025542163109608</v>
      </c>
      <c r="BJ40">
        <f t="shared" si="21"/>
        <v>0.1201603651032148</v>
      </c>
      <c r="BK40">
        <f t="shared" si="22"/>
        <v>0.18385251935741803</v>
      </c>
      <c r="BL40">
        <f t="shared" si="23"/>
        <v>6.1459246745786192E-2</v>
      </c>
      <c r="BM40">
        <f t="shared" si="24"/>
        <v>4.1889861858150045E-2</v>
      </c>
      <c r="BN40">
        <f t="shared" si="25"/>
        <v>0.24320649122226687</v>
      </c>
      <c r="BO40">
        <f t="shared" si="26"/>
        <v>0.12401489023658555</v>
      </c>
      <c r="BP40">
        <f t="shared" si="27"/>
        <v>0.10819300353458829</v>
      </c>
      <c r="BQ40">
        <f t="shared" si="28"/>
        <v>0.13533265065431196</v>
      </c>
      <c r="BR40">
        <f t="shared" si="29"/>
        <v>0.17636823485036096</v>
      </c>
      <c r="BS40">
        <f t="shared" si="30"/>
        <v>0.16157501135026528</v>
      </c>
      <c r="BT40">
        <f t="shared" si="31"/>
        <v>6.7053541214038268E-2</v>
      </c>
      <c r="BU40">
        <f t="shared" si="32"/>
        <v>8.365991055468712E-2</v>
      </c>
      <c r="BV40">
        <f t="shared" si="33"/>
        <v>4.5949958827558729E-2</v>
      </c>
      <c r="BW40">
        <f t="shared" si="34"/>
        <v>0.13568179991523538</v>
      </c>
      <c r="BX40">
        <f t="shared" si="35"/>
        <v>0.11364570337858029</v>
      </c>
      <c r="BY40">
        <f t="shared" si="36"/>
        <v>0.15531931832252874</v>
      </c>
      <c r="BZ40">
        <f t="shared" si="37"/>
        <v>0.12577261142430493</v>
      </c>
      <c r="CA40">
        <f t="shared" si="38"/>
        <v>9.5563288388434017E-2</v>
      </c>
      <c r="CB40">
        <f t="shared" si="39"/>
        <v>0.16011016793406757</v>
      </c>
      <c r="CC40">
        <f t="shared" si="40"/>
        <v>0.13835301544143216</v>
      </c>
      <c r="CD40">
        <f t="shared" si="41"/>
        <v>0.12138302640766491</v>
      </c>
      <c r="CE40">
        <f t="shared" si="42"/>
        <v>2.884840285028702E-2</v>
      </c>
      <c r="CG40">
        <f t="shared" si="43"/>
        <v>0.99999999999999978</v>
      </c>
      <c r="CH40">
        <f t="shared" si="44"/>
        <v>0.99999999999999989</v>
      </c>
      <c r="CJ40">
        <f t="shared" si="45"/>
        <v>0.89767385229638297</v>
      </c>
    </row>
    <row r="41" spans="1:88" ht="14.4" x14ac:dyDescent="0.3">
      <c r="A41" t="s">
        <v>42</v>
      </c>
      <c r="B41" s="6">
        <v>6.2099752879619538E-2</v>
      </c>
      <c r="C41" s="6">
        <v>0.13014064073515405</v>
      </c>
      <c r="D41" s="6">
        <v>0.2223411178077257</v>
      </c>
      <c r="E41" s="6">
        <v>0.15289650657820325</v>
      </c>
      <c r="F41" s="6">
        <v>0.17098693470977336</v>
      </c>
      <c r="G41" s="6">
        <v>0.12103848770709758</v>
      </c>
      <c r="H41" s="6">
        <v>7.6366945293680696E-2</v>
      </c>
      <c r="I41" s="6">
        <v>0.11887911299227648</v>
      </c>
      <c r="J41" s="6">
        <v>0.21051194394509534</v>
      </c>
      <c r="K41" s="6">
        <v>0.21270414499224094</v>
      </c>
      <c r="L41" s="6">
        <v>0.12110350367704607</v>
      </c>
      <c r="M41" s="6">
        <v>0.16887427031927379</v>
      </c>
      <c r="N41" s="6">
        <v>0.12164197649228822</v>
      </c>
      <c r="O41" s="6">
        <v>0.11925751896072956</v>
      </c>
      <c r="P41" s="6">
        <v>3.3286418356493243E-2</v>
      </c>
      <c r="Q41" s="6">
        <v>0.19750946697386634</v>
      </c>
      <c r="R41" s="6">
        <v>0.31990284363456695</v>
      </c>
      <c r="S41" s="6">
        <v>0.26139319375604131</v>
      </c>
      <c r="T41" s="6">
        <v>0.28030662087764191</v>
      </c>
      <c r="U41" s="6">
        <v>0.15666048315539319</v>
      </c>
      <c r="V41" s="6">
        <v>5.696084413627802E-2</v>
      </c>
      <c r="W41" s="6">
        <v>0.21808215138269099</v>
      </c>
      <c r="X41" s="6">
        <v>0.11266509459564743</v>
      </c>
      <c r="Y41" s="6">
        <v>0.11841584221314128</v>
      </c>
      <c r="Z41" s="6">
        <v>0.18639488771793755</v>
      </c>
      <c r="AA41" s="6">
        <v>0.21037724301523544</v>
      </c>
      <c r="AB41" s="6">
        <v>8.7880713020410089E-2</v>
      </c>
      <c r="AC41" s="6">
        <v>0.14641224907285288</v>
      </c>
      <c r="AD41" s="6">
        <v>0.13118177925624239</v>
      </c>
      <c r="AE41" s="6">
        <v>4.5440761010029855E-2</v>
      </c>
      <c r="AF41" s="6">
        <v>0.12081288463170756</v>
      </c>
      <c r="AG41" s="6">
        <v>0.13916350845656739</v>
      </c>
      <c r="AH41" s="6">
        <v>0.16321457749073376</v>
      </c>
      <c r="AI41" s="6">
        <v>5.3008166757607736E-2</v>
      </c>
      <c r="AJ41" s="6">
        <v>6.6668715661250488E-2</v>
      </c>
      <c r="AK41" s="6">
        <v>7.1244884167932343E-2</v>
      </c>
      <c r="AL41" s="6">
        <v>0.28281374320079999</v>
      </c>
      <c r="AM41" s="6">
        <v>9.4452908617266462E-2</v>
      </c>
      <c r="AN41" s="6">
        <v>9.6500671198635323E-3</v>
      </c>
      <c r="AP41">
        <f t="shared" si="2"/>
        <v>0.99999999627926262</v>
      </c>
      <c r="AQ41">
        <f t="shared" si="3"/>
        <v>0.99999999813963125</v>
      </c>
      <c r="AS41">
        <f t="shared" si="4"/>
        <v>6.2099752995147979E-2</v>
      </c>
      <c r="AT41">
        <f t="shared" si="5"/>
        <v>0.13014064097726363</v>
      </c>
      <c r="AU41">
        <f t="shared" si="6"/>
        <v>0.22234111822136216</v>
      </c>
      <c r="AV41">
        <f t="shared" si="7"/>
        <v>0.15289650686264714</v>
      </c>
      <c r="AW41">
        <f t="shared" si="8"/>
        <v>0.1709869350278721</v>
      </c>
      <c r="AX41">
        <f t="shared" si="9"/>
        <v>0.1210384879322738</v>
      </c>
      <c r="AY41">
        <f t="shared" si="10"/>
        <v>7.6366945435751371E-2</v>
      </c>
      <c r="AZ41">
        <f t="shared" si="11"/>
        <v>0.11887911321343547</v>
      </c>
      <c r="BA41">
        <f t="shared" si="12"/>
        <v>0.21051194433672518</v>
      </c>
      <c r="BB41">
        <f t="shared" si="13"/>
        <v>0.21270414538794907</v>
      </c>
      <c r="BC41">
        <f t="shared" si="14"/>
        <v>0.12110350390234324</v>
      </c>
      <c r="BD41">
        <f t="shared" si="15"/>
        <v>0.16887427063344221</v>
      </c>
      <c r="BE41">
        <f t="shared" si="16"/>
        <v>0.12164197671858716</v>
      </c>
      <c r="BF41">
        <f t="shared" si="17"/>
        <v>0.11925751918259252</v>
      </c>
      <c r="BG41">
        <f t="shared" si="18"/>
        <v>3.3286418418418257E-2</v>
      </c>
      <c r="BH41">
        <f t="shared" si="19"/>
        <v>0.19750946734130678</v>
      </c>
      <c r="BI41">
        <f t="shared" si="20"/>
        <v>0.31990284422970422</v>
      </c>
      <c r="BJ41">
        <f t="shared" si="21"/>
        <v>0.26139319424232904</v>
      </c>
      <c r="BK41">
        <f t="shared" si="22"/>
        <v>0.28030662139911561</v>
      </c>
      <c r="BL41">
        <f t="shared" si="23"/>
        <v>0.15666048344683944</v>
      </c>
      <c r="BM41">
        <f t="shared" si="24"/>
        <v>5.6960844242246192E-2</v>
      </c>
      <c r="BN41">
        <f t="shared" si="25"/>
        <v>0.2180821517884042</v>
      </c>
      <c r="BO41">
        <f t="shared" si="26"/>
        <v>0.11266509480524604</v>
      </c>
      <c r="BP41">
        <f t="shared" si="27"/>
        <v>0.1184158424334384</v>
      </c>
      <c r="BQ41">
        <f t="shared" si="28"/>
        <v>0.18639488806470078</v>
      </c>
      <c r="BR41">
        <f t="shared" si="29"/>
        <v>0.21037724340661471</v>
      </c>
      <c r="BS41">
        <f t="shared" si="30"/>
        <v>8.7880713183900616E-2</v>
      </c>
      <c r="BT41">
        <f t="shared" si="31"/>
        <v>0.14641224934523367</v>
      </c>
      <c r="BU41">
        <f t="shared" si="32"/>
        <v>0.13118177950028886</v>
      </c>
      <c r="BV41">
        <f t="shared" si="33"/>
        <v>4.5440761094566427E-2</v>
      </c>
      <c r="BW41">
        <f t="shared" si="34"/>
        <v>0.12081288485646408</v>
      </c>
      <c r="BX41">
        <f t="shared" si="35"/>
        <v>0.13916350871546282</v>
      </c>
      <c r="BY41">
        <f t="shared" si="36"/>
        <v>0.16321457779437307</v>
      </c>
      <c r="BZ41">
        <f t="shared" si="37"/>
        <v>5.300816685622247E-2</v>
      </c>
      <c r="CA41">
        <f t="shared" si="38"/>
        <v>6.6668715785278887E-2</v>
      </c>
      <c r="CB41">
        <f t="shared" si="39"/>
        <v>7.1244884300474098E-2</v>
      </c>
      <c r="CC41">
        <f t="shared" si="40"/>
        <v>0.28281374372693785</v>
      </c>
      <c r="CD41">
        <f t="shared" si="41"/>
        <v>9.4452908792983709E-2</v>
      </c>
      <c r="CE41">
        <f t="shared" si="42"/>
        <v>9.6500671378162151E-3</v>
      </c>
      <c r="CG41">
        <f t="shared" si="43"/>
        <v>1</v>
      </c>
      <c r="CH41">
        <f t="shared" si="44"/>
        <v>1</v>
      </c>
      <c r="CJ41">
        <f t="shared" si="45"/>
        <v>0.89235303472714544</v>
      </c>
    </row>
    <row r="42" spans="1:88" ht="14.4" x14ac:dyDescent="0.3">
      <c r="A42" t="s">
        <v>43</v>
      </c>
      <c r="B42" s="6">
        <v>6.2099752879619538E-2</v>
      </c>
      <c r="C42" s="6">
        <v>0.13014064073515405</v>
      </c>
      <c r="D42" s="6">
        <v>0.2223411178077257</v>
      </c>
      <c r="E42" s="6">
        <v>0.15289650657820325</v>
      </c>
      <c r="F42" s="6">
        <v>0.17098693470977336</v>
      </c>
      <c r="G42" s="6">
        <v>0.12103848770709758</v>
      </c>
      <c r="H42" s="6">
        <v>7.6366945293680696E-2</v>
      </c>
      <c r="I42" s="6">
        <v>0.11887911299227648</v>
      </c>
      <c r="J42" s="6">
        <v>0.21051194394509534</v>
      </c>
      <c r="K42" s="6">
        <v>0.21270414499224094</v>
      </c>
      <c r="L42" s="6">
        <v>0.12110350367704607</v>
      </c>
      <c r="M42" s="6">
        <v>0.16887427031927379</v>
      </c>
      <c r="N42" s="6">
        <v>0.12164197649228822</v>
      </c>
      <c r="O42" s="6">
        <v>0.11925751896072956</v>
      </c>
      <c r="P42" s="6">
        <v>3.3286418356493243E-2</v>
      </c>
      <c r="Q42" s="6">
        <v>0.19750946697386634</v>
      </c>
      <c r="R42" s="6">
        <v>0.31990284363456695</v>
      </c>
      <c r="S42" s="6">
        <v>0.26139319375604131</v>
      </c>
      <c r="T42" s="6">
        <v>0.28030662087764191</v>
      </c>
      <c r="U42" s="6">
        <v>0.15666048315539319</v>
      </c>
      <c r="V42" s="6">
        <v>5.696084413627802E-2</v>
      </c>
      <c r="W42" s="6">
        <v>0.21808215138269099</v>
      </c>
      <c r="X42" s="6">
        <v>0.11266509459564743</v>
      </c>
      <c r="Y42" s="6">
        <v>0.11841584221314128</v>
      </c>
      <c r="Z42" s="6">
        <v>0.18639488771793755</v>
      </c>
      <c r="AA42" s="6">
        <v>0.21037724301523544</v>
      </c>
      <c r="AB42" s="6">
        <v>8.7880713020410089E-2</v>
      </c>
      <c r="AC42" s="6">
        <v>0.14641224907285288</v>
      </c>
      <c r="AD42" s="6">
        <v>0.13118177925624239</v>
      </c>
      <c r="AE42" s="6">
        <v>4.5440761010029855E-2</v>
      </c>
      <c r="AF42" s="6">
        <v>0.12081288463170756</v>
      </c>
      <c r="AG42" s="6">
        <v>0.13916350845656739</v>
      </c>
      <c r="AH42" s="6">
        <v>0.16321457749073376</v>
      </c>
      <c r="AI42" s="6">
        <v>5.3008166757607736E-2</v>
      </c>
      <c r="AJ42" s="6">
        <v>6.6668715661250488E-2</v>
      </c>
      <c r="AK42" s="6">
        <v>7.1244884167932343E-2</v>
      </c>
      <c r="AL42" s="6">
        <v>0.28281374320079999</v>
      </c>
      <c r="AM42" s="6">
        <v>9.4452908617266462E-2</v>
      </c>
      <c r="AN42" s="6">
        <v>9.6500671198635323E-3</v>
      </c>
      <c r="AP42">
        <f t="shared" si="2"/>
        <v>0.99999999627926262</v>
      </c>
      <c r="AQ42">
        <f t="shared" si="3"/>
        <v>0.99999999813963125</v>
      </c>
      <c r="AS42">
        <f t="shared" si="4"/>
        <v>6.2099752995147979E-2</v>
      </c>
      <c r="AT42">
        <f t="shared" si="5"/>
        <v>0.13014064097726363</v>
      </c>
      <c r="AU42">
        <f t="shared" si="6"/>
        <v>0.22234111822136216</v>
      </c>
      <c r="AV42">
        <f t="shared" si="7"/>
        <v>0.15289650686264714</v>
      </c>
      <c r="AW42">
        <f t="shared" si="8"/>
        <v>0.1709869350278721</v>
      </c>
      <c r="AX42">
        <f t="shared" si="9"/>
        <v>0.1210384879322738</v>
      </c>
      <c r="AY42">
        <f t="shared" si="10"/>
        <v>7.6366945435751371E-2</v>
      </c>
      <c r="AZ42">
        <f t="shared" si="11"/>
        <v>0.11887911321343547</v>
      </c>
      <c r="BA42">
        <f t="shared" si="12"/>
        <v>0.21051194433672518</v>
      </c>
      <c r="BB42">
        <f t="shared" si="13"/>
        <v>0.21270414538794907</v>
      </c>
      <c r="BC42">
        <f t="shared" si="14"/>
        <v>0.12110350390234324</v>
      </c>
      <c r="BD42">
        <f t="shared" si="15"/>
        <v>0.16887427063344221</v>
      </c>
      <c r="BE42">
        <f t="shared" si="16"/>
        <v>0.12164197671858716</v>
      </c>
      <c r="BF42">
        <f t="shared" si="17"/>
        <v>0.11925751918259252</v>
      </c>
      <c r="BG42">
        <f t="shared" si="18"/>
        <v>3.3286418418418257E-2</v>
      </c>
      <c r="BH42">
        <f t="shared" si="19"/>
        <v>0.19750946734130678</v>
      </c>
      <c r="BI42">
        <f t="shared" si="20"/>
        <v>0.31990284422970422</v>
      </c>
      <c r="BJ42">
        <f t="shared" si="21"/>
        <v>0.26139319424232904</v>
      </c>
      <c r="BK42">
        <f t="shared" si="22"/>
        <v>0.28030662139911561</v>
      </c>
      <c r="BL42">
        <f t="shared" si="23"/>
        <v>0.15666048344683944</v>
      </c>
      <c r="BM42">
        <f t="shared" si="24"/>
        <v>5.6960844242246192E-2</v>
      </c>
      <c r="BN42">
        <f t="shared" si="25"/>
        <v>0.2180821517884042</v>
      </c>
      <c r="BO42">
        <f t="shared" si="26"/>
        <v>0.11266509480524604</v>
      </c>
      <c r="BP42">
        <f t="shared" si="27"/>
        <v>0.1184158424334384</v>
      </c>
      <c r="BQ42">
        <f t="shared" si="28"/>
        <v>0.18639488806470078</v>
      </c>
      <c r="BR42">
        <f t="shared" si="29"/>
        <v>0.21037724340661471</v>
      </c>
      <c r="BS42">
        <f t="shared" si="30"/>
        <v>8.7880713183900616E-2</v>
      </c>
      <c r="BT42">
        <f t="shared" si="31"/>
        <v>0.14641224934523367</v>
      </c>
      <c r="BU42">
        <f t="shared" si="32"/>
        <v>0.13118177950028886</v>
      </c>
      <c r="BV42">
        <f t="shared" si="33"/>
        <v>4.5440761094566427E-2</v>
      </c>
      <c r="BW42">
        <f t="shared" si="34"/>
        <v>0.12081288485646408</v>
      </c>
      <c r="BX42">
        <f t="shared" si="35"/>
        <v>0.13916350871546282</v>
      </c>
      <c r="BY42">
        <f t="shared" si="36"/>
        <v>0.16321457779437307</v>
      </c>
      <c r="BZ42">
        <f t="shared" si="37"/>
        <v>5.300816685622247E-2</v>
      </c>
      <c r="CA42">
        <f t="shared" si="38"/>
        <v>6.6668715785278887E-2</v>
      </c>
      <c r="CB42">
        <f t="shared" si="39"/>
        <v>7.1244884300474098E-2</v>
      </c>
      <c r="CC42">
        <f t="shared" si="40"/>
        <v>0.28281374372693785</v>
      </c>
      <c r="CD42">
        <f t="shared" si="41"/>
        <v>9.4452908792983709E-2</v>
      </c>
      <c r="CE42">
        <f t="shared" si="42"/>
        <v>9.6500671378162151E-3</v>
      </c>
      <c r="CG42">
        <f t="shared" si="43"/>
        <v>1</v>
      </c>
      <c r="CH42">
        <f t="shared" si="44"/>
        <v>1</v>
      </c>
      <c r="CJ42">
        <f t="shared" si="45"/>
        <v>0.89235303472714544</v>
      </c>
    </row>
    <row r="43" spans="1:88" ht="14.4" x14ac:dyDescent="0.3">
      <c r="A43" t="s">
        <v>44</v>
      </c>
      <c r="B43" s="6">
        <v>6.2099752879619538E-2</v>
      </c>
      <c r="C43" s="6">
        <v>0.13014064073515405</v>
      </c>
      <c r="D43" s="6">
        <v>0.2223411178077257</v>
      </c>
      <c r="E43" s="6">
        <v>0.15289650657820325</v>
      </c>
      <c r="F43" s="6">
        <v>0.17098693470977336</v>
      </c>
      <c r="G43" s="6">
        <v>0.12103848770709758</v>
      </c>
      <c r="H43" s="6">
        <v>7.6366945293680696E-2</v>
      </c>
      <c r="I43" s="6">
        <v>0.11887911299227648</v>
      </c>
      <c r="J43" s="6">
        <v>0.21051194394509534</v>
      </c>
      <c r="K43" s="6">
        <v>0.21270414499224094</v>
      </c>
      <c r="L43" s="6">
        <v>0.12110350367704607</v>
      </c>
      <c r="M43" s="6">
        <v>0.16887427031927379</v>
      </c>
      <c r="N43" s="6">
        <v>0.12164197649228822</v>
      </c>
      <c r="O43" s="6">
        <v>0.11925751896072956</v>
      </c>
      <c r="P43" s="6">
        <v>3.3286418356493243E-2</v>
      </c>
      <c r="Q43" s="6">
        <v>0.19750946697386634</v>
      </c>
      <c r="R43" s="6">
        <v>0.31990284363456695</v>
      </c>
      <c r="S43" s="6">
        <v>0.26139319375604131</v>
      </c>
      <c r="T43" s="6">
        <v>0.28030662087764191</v>
      </c>
      <c r="U43" s="6">
        <v>0.15666048315539319</v>
      </c>
      <c r="V43" s="6">
        <v>5.696084413627802E-2</v>
      </c>
      <c r="W43" s="6">
        <v>0.21808215138269099</v>
      </c>
      <c r="X43" s="6">
        <v>0.11266509459564743</v>
      </c>
      <c r="Y43" s="6">
        <v>0.11841584221314128</v>
      </c>
      <c r="Z43" s="6">
        <v>0.18639488771793755</v>
      </c>
      <c r="AA43" s="6">
        <v>0.21037724301523544</v>
      </c>
      <c r="AB43" s="6">
        <v>8.7880713020410089E-2</v>
      </c>
      <c r="AC43" s="6">
        <v>0.14641224907285288</v>
      </c>
      <c r="AD43" s="6">
        <v>0.13118177925624239</v>
      </c>
      <c r="AE43" s="6">
        <v>4.5440761010029855E-2</v>
      </c>
      <c r="AF43" s="6">
        <v>0.12081288463170756</v>
      </c>
      <c r="AG43" s="6">
        <v>0.13916350845656739</v>
      </c>
      <c r="AH43" s="6">
        <v>0.16321457749073376</v>
      </c>
      <c r="AI43" s="6">
        <v>5.3008166757607736E-2</v>
      </c>
      <c r="AJ43" s="6">
        <v>6.6668715661250488E-2</v>
      </c>
      <c r="AK43" s="6">
        <v>7.1244884167932343E-2</v>
      </c>
      <c r="AL43" s="6">
        <v>0.28281374320079999</v>
      </c>
      <c r="AM43" s="6">
        <v>9.4452908617266462E-2</v>
      </c>
      <c r="AN43" s="6">
        <v>9.6500671198635323E-3</v>
      </c>
      <c r="AP43">
        <f t="shared" si="2"/>
        <v>0.99999999627926262</v>
      </c>
      <c r="AQ43">
        <f t="shared" si="3"/>
        <v>0.99999999813963125</v>
      </c>
      <c r="AS43">
        <f t="shared" si="4"/>
        <v>6.2099752995147979E-2</v>
      </c>
      <c r="AT43">
        <f t="shared" si="5"/>
        <v>0.13014064097726363</v>
      </c>
      <c r="AU43">
        <f t="shared" si="6"/>
        <v>0.22234111822136216</v>
      </c>
      <c r="AV43">
        <f t="shared" si="7"/>
        <v>0.15289650686264714</v>
      </c>
      <c r="AW43">
        <f t="shared" si="8"/>
        <v>0.1709869350278721</v>
      </c>
      <c r="AX43">
        <f t="shared" si="9"/>
        <v>0.1210384879322738</v>
      </c>
      <c r="AY43">
        <f t="shared" si="10"/>
        <v>7.6366945435751371E-2</v>
      </c>
      <c r="AZ43">
        <f t="shared" si="11"/>
        <v>0.11887911321343547</v>
      </c>
      <c r="BA43">
        <f t="shared" si="12"/>
        <v>0.21051194433672518</v>
      </c>
      <c r="BB43">
        <f t="shared" si="13"/>
        <v>0.21270414538794907</v>
      </c>
      <c r="BC43">
        <f t="shared" si="14"/>
        <v>0.12110350390234324</v>
      </c>
      <c r="BD43">
        <f t="shared" si="15"/>
        <v>0.16887427063344221</v>
      </c>
      <c r="BE43">
        <f t="shared" si="16"/>
        <v>0.12164197671858716</v>
      </c>
      <c r="BF43">
        <f t="shared" si="17"/>
        <v>0.11925751918259252</v>
      </c>
      <c r="BG43">
        <f t="shared" si="18"/>
        <v>3.3286418418418257E-2</v>
      </c>
      <c r="BH43">
        <f t="shared" si="19"/>
        <v>0.19750946734130678</v>
      </c>
      <c r="BI43">
        <f t="shared" si="20"/>
        <v>0.31990284422970422</v>
      </c>
      <c r="BJ43">
        <f t="shared" si="21"/>
        <v>0.26139319424232904</v>
      </c>
      <c r="BK43">
        <f t="shared" si="22"/>
        <v>0.28030662139911561</v>
      </c>
      <c r="BL43">
        <f t="shared" si="23"/>
        <v>0.15666048344683944</v>
      </c>
      <c r="BM43">
        <f t="shared" si="24"/>
        <v>5.6960844242246192E-2</v>
      </c>
      <c r="BN43">
        <f t="shared" si="25"/>
        <v>0.2180821517884042</v>
      </c>
      <c r="BO43">
        <f t="shared" si="26"/>
        <v>0.11266509480524604</v>
      </c>
      <c r="BP43">
        <f t="shared" si="27"/>
        <v>0.1184158424334384</v>
      </c>
      <c r="BQ43">
        <f t="shared" si="28"/>
        <v>0.18639488806470078</v>
      </c>
      <c r="BR43">
        <f t="shared" si="29"/>
        <v>0.21037724340661471</v>
      </c>
      <c r="BS43">
        <f t="shared" si="30"/>
        <v>8.7880713183900616E-2</v>
      </c>
      <c r="BT43">
        <f t="shared" si="31"/>
        <v>0.14641224934523367</v>
      </c>
      <c r="BU43">
        <f t="shared" si="32"/>
        <v>0.13118177950028886</v>
      </c>
      <c r="BV43">
        <f t="shared" si="33"/>
        <v>4.5440761094566427E-2</v>
      </c>
      <c r="BW43">
        <f t="shared" si="34"/>
        <v>0.12081288485646408</v>
      </c>
      <c r="BX43">
        <f t="shared" si="35"/>
        <v>0.13916350871546282</v>
      </c>
      <c r="BY43">
        <f t="shared" si="36"/>
        <v>0.16321457779437307</v>
      </c>
      <c r="BZ43">
        <f t="shared" si="37"/>
        <v>5.300816685622247E-2</v>
      </c>
      <c r="CA43">
        <f t="shared" si="38"/>
        <v>6.6668715785278887E-2</v>
      </c>
      <c r="CB43">
        <f t="shared" si="39"/>
        <v>7.1244884300474098E-2</v>
      </c>
      <c r="CC43">
        <f t="shared" si="40"/>
        <v>0.28281374372693785</v>
      </c>
      <c r="CD43">
        <f t="shared" si="41"/>
        <v>9.4452908792983709E-2</v>
      </c>
      <c r="CE43">
        <f t="shared" si="42"/>
        <v>9.6500671378162151E-3</v>
      </c>
      <c r="CG43">
        <f t="shared" si="43"/>
        <v>1</v>
      </c>
      <c r="CH43">
        <f t="shared" si="44"/>
        <v>1</v>
      </c>
      <c r="CJ43">
        <f t="shared" si="45"/>
        <v>0.89235303472714544</v>
      </c>
    </row>
    <row r="44" spans="1:88" ht="14.4" x14ac:dyDescent="0.3">
      <c r="A44" t="s">
        <v>45</v>
      </c>
      <c r="B44" s="6">
        <v>6.2099752879619538E-2</v>
      </c>
      <c r="C44" s="6">
        <v>0.13014064073515405</v>
      </c>
      <c r="D44" s="6">
        <v>0.2223411178077257</v>
      </c>
      <c r="E44" s="6">
        <v>0.15289650657820325</v>
      </c>
      <c r="F44" s="6">
        <v>0.17098693470977336</v>
      </c>
      <c r="G44" s="6">
        <v>0.12103848770709758</v>
      </c>
      <c r="H44" s="6">
        <v>7.6366945293680696E-2</v>
      </c>
      <c r="I44" s="6">
        <v>0.11887911299227648</v>
      </c>
      <c r="J44" s="6">
        <v>0.21051194394509534</v>
      </c>
      <c r="K44" s="6">
        <v>0.21270414499224094</v>
      </c>
      <c r="L44" s="6">
        <v>0.12110350367704607</v>
      </c>
      <c r="M44" s="6">
        <v>0.16887427031927379</v>
      </c>
      <c r="N44" s="6">
        <v>0.12164197649228822</v>
      </c>
      <c r="O44" s="6">
        <v>0.11925751896072956</v>
      </c>
      <c r="P44" s="6">
        <v>3.3286418356493243E-2</v>
      </c>
      <c r="Q44" s="6">
        <v>0.19750946697386634</v>
      </c>
      <c r="R44" s="6">
        <v>0.31990284363456695</v>
      </c>
      <c r="S44" s="6">
        <v>0.26139319375604131</v>
      </c>
      <c r="T44" s="6">
        <v>0.28030662087764191</v>
      </c>
      <c r="U44" s="6">
        <v>0.15666048315539319</v>
      </c>
      <c r="V44" s="6">
        <v>5.696084413627802E-2</v>
      </c>
      <c r="W44" s="6">
        <v>0.21808215138269099</v>
      </c>
      <c r="X44" s="6">
        <v>0.11266509459564743</v>
      </c>
      <c r="Y44" s="6">
        <v>0.11841584221314128</v>
      </c>
      <c r="Z44" s="6">
        <v>0.18639488771793755</v>
      </c>
      <c r="AA44" s="6">
        <v>0.21037724301523544</v>
      </c>
      <c r="AB44" s="6">
        <v>8.7880713020410089E-2</v>
      </c>
      <c r="AC44" s="6">
        <v>0.14641224907285288</v>
      </c>
      <c r="AD44" s="6">
        <v>0.13118177925624239</v>
      </c>
      <c r="AE44" s="6">
        <v>4.5440761010029855E-2</v>
      </c>
      <c r="AF44" s="6">
        <v>0.12081288463170756</v>
      </c>
      <c r="AG44" s="6">
        <v>0.13916350845656739</v>
      </c>
      <c r="AH44" s="6">
        <v>0.16321457749073376</v>
      </c>
      <c r="AI44" s="6">
        <v>5.3008166757607736E-2</v>
      </c>
      <c r="AJ44" s="6">
        <v>6.6668715661250488E-2</v>
      </c>
      <c r="AK44" s="6">
        <v>7.1244884167932343E-2</v>
      </c>
      <c r="AL44" s="6">
        <v>0.28281374320079999</v>
      </c>
      <c r="AM44" s="6">
        <v>9.4452908617266462E-2</v>
      </c>
      <c r="AN44" s="6">
        <v>9.6500671198635323E-3</v>
      </c>
      <c r="AP44">
        <f t="shared" si="2"/>
        <v>0.99999999627926262</v>
      </c>
      <c r="AQ44">
        <f t="shared" si="3"/>
        <v>0.99999999813963125</v>
      </c>
      <c r="AS44">
        <f t="shared" si="4"/>
        <v>6.2099752995147979E-2</v>
      </c>
      <c r="AT44">
        <f t="shared" si="5"/>
        <v>0.13014064097726363</v>
      </c>
      <c r="AU44">
        <f t="shared" si="6"/>
        <v>0.22234111822136216</v>
      </c>
      <c r="AV44">
        <f t="shared" si="7"/>
        <v>0.15289650686264714</v>
      </c>
      <c r="AW44">
        <f t="shared" si="8"/>
        <v>0.1709869350278721</v>
      </c>
      <c r="AX44">
        <f t="shared" si="9"/>
        <v>0.1210384879322738</v>
      </c>
      <c r="AY44">
        <f t="shared" si="10"/>
        <v>7.6366945435751371E-2</v>
      </c>
      <c r="AZ44">
        <f t="shared" si="11"/>
        <v>0.11887911321343547</v>
      </c>
      <c r="BA44">
        <f t="shared" si="12"/>
        <v>0.21051194433672518</v>
      </c>
      <c r="BB44">
        <f t="shared" si="13"/>
        <v>0.21270414538794907</v>
      </c>
      <c r="BC44">
        <f t="shared" si="14"/>
        <v>0.12110350390234324</v>
      </c>
      <c r="BD44">
        <f t="shared" si="15"/>
        <v>0.16887427063344221</v>
      </c>
      <c r="BE44">
        <f t="shared" si="16"/>
        <v>0.12164197671858716</v>
      </c>
      <c r="BF44">
        <f t="shared" si="17"/>
        <v>0.11925751918259252</v>
      </c>
      <c r="BG44">
        <f t="shared" si="18"/>
        <v>3.3286418418418257E-2</v>
      </c>
      <c r="BH44">
        <f t="shared" si="19"/>
        <v>0.19750946734130678</v>
      </c>
      <c r="BI44">
        <f t="shared" si="20"/>
        <v>0.31990284422970422</v>
      </c>
      <c r="BJ44">
        <f t="shared" si="21"/>
        <v>0.26139319424232904</v>
      </c>
      <c r="BK44">
        <f t="shared" si="22"/>
        <v>0.28030662139911561</v>
      </c>
      <c r="BL44">
        <f t="shared" si="23"/>
        <v>0.15666048344683944</v>
      </c>
      <c r="BM44">
        <f t="shared" si="24"/>
        <v>5.6960844242246192E-2</v>
      </c>
      <c r="BN44">
        <f t="shared" si="25"/>
        <v>0.2180821517884042</v>
      </c>
      <c r="BO44">
        <f t="shared" si="26"/>
        <v>0.11266509480524604</v>
      </c>
      <c r="BP44">
        <f t="shared" si="27"/>
        <v>0.1184158424334384</v>
      </c>
      <c r="BQ44">
        <f t="shared" si="28"/>
        <v>0.18639488806470078</v>
      </c>
      <c r="BR44">
        <f t="shared" si="29"/>
        <v>0.21037724340661471</v>
      </c>
      <c r="BS44">
        <f t="shared" si="30"/>
        <v>8.7880713183900616E-2</v>
      </c>
      <c r="BT44">
        <f t="shared" si="31"/>
        <v>0.14641224934523367</v>
      </c>
      <c r="BU44">
        <f t="shared" si="32"/>
        <v>0.13118177950028886</v>
      </c>
      <c r="BV44">
        <f t="shared" si="33"/>
        <v>4.5440761094566427E-2</v>
      </c>
      <c r="BW44">
        <f t="shared" si="34"/>
        <v>0.12081288485646408</v>
      </c>
      <c r="BX44">
        <f t="shared" si="35"/>
        <v>0.13916350871546282</v>
      </c>
      <c r="BY44">
        <f t="shared" si="36"/>
        <v>0.16321457779437307</v>
      </c>
      <c r="BZ44">
        <f t="shared" si="37"/>
        <v>5.300816685622247E-2</v>
      </c>
      <c r="CA44">
        <f t="shared" si="38"/>
        <v>6.6668715785278887E-2</v>
      </c>
      <c r="CB44">
        <f t="shared" si="39"/>
        <v>7.1244884300474098E-2</v>
      </c>
      <c r="CC44">
        <f t="shared" si="40"/>
        <v>0.28281374372693785</v>
      </c>
      <c r="CD44">
        <f t="shared" si="41"/>
        <v>9.4452908792983709E-2</v>
      </c>
      <c r="CE44">
        <f t="shared" si="42"/>
        <v>9.6500671378162151E-3</v>
      </c>
      <c r="CG44">
        <f t="shared" si="43"/>
        <v>1</v>
      </c>
      <c r="CH44">
        <f t="shared" si="44"/>
        <v>1</v>
      </c>
      <c r="CJ44">
        <f t="shared" si="45"/>
        <v>0.89235303472714544</v>
      </c>
    </row>
    <row r="45" spans="1:88" ht="14.4" x14ac:dyDescent="0.3">
      <c r="A45" t="s">
        <v>46</v>
      </c>
      <c r="B45" s="6">
        <v>6.2099752879619538E-2</v>
      </c>
      <c r="C45" s="6">
        <v>0.13014064073515405</v>
      </c>
      <c r="D45" s="6">
        <v>0.2223411178077257</v>
      </c>
      <c r="E45" s="6">
        <v>0.15289650657820325</v>
      </c>
      <c r="F45" s="6">
        <v>0.17098693470977336</v>
      </c>
      <c r="G45" s="6">
        <v>0.12103848770709758</v>
      </c>
      <c r="H45" s="6">
        <v>7.6366945293680696E-2</v>
      </c>
      <c r="I45" s="6">
        <v>0.11887911299227648</v>
      </c>
      <c r="J45" s="6">
        <v>0.21051194394509534</v>
      </c>
      <c r="K45" s="6">
        <v>0.21270414499224094</v>
      </c>
      <c r="L45" s="6">
        <v>0.12110350367704607</v>
      </c>
      <c r="M45" s="6">
        <v>0.16887427031927379</v>
      </c>
      <c r="N45" s="6">
        <v>0.12164197649228822</v>
      </c>
      <c r="O45" s="6">
        <v>0.11925751896072956</v>
      </c>
      <c r="P45" s="6">
        <v>3.3286418356493243E-2</v>
      </c>
      <c r="Q45" s="6">
        <v>0.19750946697386634</v>
      </c>
      <c r="R45" s="6">
        <v>0.31990284363456695</v>
      </c>
      <c r="S45" s="6">
        <v>0.26139319375604131</v>
      </c>
      <c r="T45" s="6">
        <v>0.28030662087764191</v>
      </c>
      <c r="U45" s="6">
        <v>0.15666048315539319</v>
      </c>
      <c r="V45" s="6">
        <v>5.696084413627802E-2</v>
      </c>
      <c r="W45" s="6">
        <v>0.21808215138269099</v>
      </c>
      <c r="X45" s="6">
        <v>0.11266509459564743</v>
      </c>
      <c r="Y45" s="6">
        <v>0.11841584221314128</v>
      </c>
      <c r="Z45" s="6">
        <v>0.18639488771793755</v>
      </c>
      <c r="AA45" s="6">
        <v>0.21037724301523544</v>
      </c>
      <c r="AB45" s="6">
        <v>8.7880713020410089E-2</v>
      </c>
      <c r="AC45" s="6">
        <v>0.14641224907285288</v>
      </c>
      <c r="AD45" s="6">
        <v>0.13118177925624239</v>
      </c>
      <c r="AE45" s="6">
        <v>4.5440761010029855E-2</v>
      </c>
      <c r="AF45" s="6">
        <v>0.12081288463170756</v>
      </c>
      <c r="AG45" s="6">
        <v>0.13916350845656739</v>
      </c>
      <c r="AH45" s="6">
        <v>0.16321457749073376</v>
      </c>
      <c r="AI45" s="6">
        <v>5.3008166757607736E-2</v>
      </c>
      <c r="AJ45" s="6">
        <v>6.6668715661250488E-2</v>
      </c>
      <c r="AK45" s="6">
        <v>7.1244884167932343E-2</v>
      </c>
      <c r="AL45" s="6">
        <v>0.28281374320079999</v>
      </c>
      <c r="AM45" s="6">
        <v>9.4452908617266462E-2</v>
      </c>
      <c r="AN45" s="6">
        <v>9.6500671198635323E-3</v>
      </c>
      <c r="AP45">
        <f t="shared" si="2"/>
        <v>0.99999999627926262</v>
      </c>
      <c r="AQ45">
        <f t="shared" si="3"/>
        <v>0.99999999813963125</v>
      </c>
      <c r="AS45">
        <f t="shared" si="4"/>
        <v>6.2099752995147979E-2</v>
      </c>
      <c r="AT45">
        <f t="shared" si="5"/>
        <v>0.13014064097726363</v>
      </c>
      <c r="AU45">
        <f t="shared" si="6"/>
        <v>0.22234111822136216</v>
      </c>
      <c r="AV45">
        <f t="shared" si="7"/>
        <v>0.15289650686264714</v>
      </c>
      <c r="AW45">
        <f t="shared" si="8"/>
        <v>0.1709869350278721</v>
      </c>
      <c r="AX45">
        <f t="shared" si="9"/>
        <v>0.1210384879322738</v>
      </c>
      <c r="AY45">
        <f t="shared" si="10"/>
        <v>7.6366945435751371E-2</v>
      </c>
      <c r="AZ45">
        <f t="shared" si="11"/>
        <v>0.11887911321343547</v>
      </c>
      <c r="BA45">
        <f t="shared" si="12"/>
        <v>0.21051194433672518</v>
      </c>
      <c r="BB45">
        <f t="shared" si="13"/>
        <v>0.21270414538794907</v>
      </c>
      <c r="BC45">
        <f t="shared" si="14"/>
        <v>0.12110350390234324</v>
      </c>
      <c r="BD45">
        <f t="shared" si="15"/>
        <v>0.16887427063344221</v>
      </c>
      <c r="BE45">
        <f t="shared" si="16"/>
        <v>0.12164197671858716</v>
      </c>
      <c r="BF45">
        <f t="shared" si="17"/>
        <v>0.11925751918259252</v>
      </c>
      <c r="BG45">
        <f t="shared" si="18"/>
        <v>3.3286418418418257E-2</v>
      </c>
      <c r="BH45">
        <f t="shared" si="19"/>
        <v>0.19750946734130678</v>
      </c>
      <c r="BI45">
        <f t="shared" si="20"/>
        <v>0.31990284422970422</v>
      </c>
      <c r="BJ45">
        <f t="shared" si="21"/>
        <v>0.26139319424232904</v>
      </c>
      <c r="BK45">
        <f t="shared" si="22"/>
        <v>0.28030662139911561</v>
      </c>
      <c r="BL45">
        <f t="shared" si="23"/>
        <v>0.15666048344683944</v>
      </c>
      <c r="BM45">
        <f t="shared" si="24"/>
        <v>5.6960844242246192E-2</v>
      </c>
      <c r="BN45">
        <f t="shared" si="25"/>
        <v>0.2180821517884042</v>
      </c>
      <c r="BO45">
        <f t="shared" si="26"/>
        <v>0.11266509480524604</v>
      </c>
      <c r="BP45">
        <f t="shared" si="27"/>
        <v>0.1184158424334384</v>
      </c>
      <c r="BQ45">
        <f t="shared" si="28"/>
        <v>0.18639488806470078</v>
      </c>
      <c r="BR45">
        <f t="shared" si="29"/>
        <v>0.21037724340661471</v>
      </c>
      <c r="BS45">
        <f t="shared" si="30"/>
        <v>8.7880713183900616E-2</v>
      </c>
      <c r="BT45">
        <f t="shared" si="31"/>
        <v>0.14641224934523367</v>
      </c>
      <c r="BU45">
        <f t="shared" si="32"/>
        <v>0.13118177950028886</v>
      </c>
      <c r="BV45">
        <f t="shared" si="33"/>
        <v>4.5440761094566427E-2</v>
      </c>
      <c r="BW45">
        <f t="shared" si="34"/>
        <v>0.12081288485646408</v>
      </c>
      <c r="BX45">
        <f t="shared" si="35"/>
        <v>0.13916350871546282</v>
      </c>
      <c r="BY45">
        <f t="shared" si="36"/>
        <v>0.16321457779437307</v>
      </c>
      <c r="BZ45">
        <f t="shared" si="37"/>
        <v>5.300816685622247E-2</v>
      </c>
      <c r="CA45">
        <f t="shared" si="38"/>
        <v>6.6668715785278887E-2</v>
      </c>
      <c r="CB45">
        <f t="shared" si="39"/>
        <v>7.1244884300474098E-2</v>
      </c>
      <c r="CC45">
        <f t="shared" si="40"/>
        <v>0.28281374372693785</v>
      </c>
      <c r="CD45">
        <f t="shared" si="41"/>
        <v>9.4452908792983709E-2</v>
      </c>
      <c r="CE45">
        <f t="shared" si="42"/>
        <v>9.6500671378162151E-3</v>
      </c>
      <c r="CG45">
        <f t="shared" si="43"/>
        <v>1</v>
      </c>
      <c r="CH45">
        <f t="shared" si="44"/>
        <v>1</v>
      </c>
      <c r="CJ45">
        <f t="shared" si="45"/>
        <v>0.89235303472714544</v>
      </c>
    </row>
    <row r="46" spans="1:88" ht="14.4" x14ac:dyDescent="0.3">
      <c r="A46" t="s">
        <v>47</v>
      </c>
      <c r="B46" s="6">
        <v>6.2099752879619538E-2</v>
      </c>
      <c r="C46" s="6">
        <v>0.13014064073515405</v>
      </c>
      <c r="D46" s="6">
        <v>0.2223411178077257</v>
      </c>
      <c r="E46" s="6">
        <v>0.15289650657820325</v>
      </c>
      <c r="F46" s="6">
        <v>0.17098693470977336</v>
      </c>
      <c r="G46" s="6">
        <v>0.12103848770709758</v>
      </c>
      <c r="H46" s="6">
        <v>7.6366945293680696E-2</v>
      </c>
      <c r="I46" s="6">
        <v>0.11887911299227648</v>
      </c>
      <c r="J46" s="6">
        <v>0.21051194394509534</v>
      </c>
      <c r="K46" s="6">
        <v>0.21270414499224094</v>
      </c>
      <c r="L46" s="6">
        <v>0.12110350367704607</v>
      </c>
      <c r="M46" s="6">
        <v>0.16887427031927379</v>
      </c>
      <c r="N46" s="6">
        <v>0.12164197649228822</v>
      </c>
      <c r="O46" s="6">
        <v>0.11925751896072956</v>
      </c>
      <c r="P46" s="6">
        <v>3.3286418356493243E-2</v>
      </c>
      <c r="Q46" s="6">
        <v>0.19750946697386634</v>
      </c>
      <c r="R46" s="6">
        <v>0.31990284363456695</v>
      </c>
      <c r="S46" s="6">
        <v>0.26139319375604131</v>
      </c>
      <c r="T46" s="6">
        <v>0.28030662087764191</v>
      </c>
      <c r="U46" s="6">
        <v>0.15666048315539319</v>
      </c>
      <c r="V46" s="6">
        <v>5.696084413627802E-2</v>
      </c>
      <c r="W46" s="6">
        <v>0.21808215138269099</v>
      </c>
      <c r="X46" s="6">
        <v>0.11266509459564743</v>
      </c>
      <c r="Y46" s="6">
        <v>0.11841584221314128</v>
      </c>
      <c r="Z46" s="6">
        <v>0.18639488771793755</v>
      </c>
      <c r="AA46" s="6">
        <v>0.21037724301523544</v>
      </c>
      <c r="AB46" s="6">
        <v>8.7880713020410089E-2</v>
      </c>
      <c r="AC46" s="6">
        <v>0.14641224907285288</v>
      </c>
      <c r="AD46" s="6">
        <v>0.13118177925624239</v>
      </c>
      <c r="AE46" s="6">
        <v>4.5440761010029855E-2</v>
      </c>
      <c r="AF46" s="6">
        <v>0.12081288463170756</v>
      </c>
      <c r="AG46" s="6">
        <v>0.13916350845656739</v>
      </c>
      <c r="AH46" s="6">
        <v>0.16321457749073376</v>
      </c>
      <c r="AI46" s="6">
        <v>5.3008166757607736E-2</v>
      </c>
      <c r="AJ46" s="6">
        <v>6.6668715661250488E-2</v>
      </c>
      <c r="AK46" s="6">
        <v>7.1244884167932343E-2</v>
      </c>
      <c r="AL46" s="6">
        <v>0.28281374320079999</v>
      </c>
      <c r="AM46" s="6">
        <v>9.4452908617266462E-2</v>
      </c>
      <c r="AN46" s="6">
        <v>9.6500671198635323E-3</v>
      </c>
      <c r="AP46">
        <f t="shared" si="2"/>
        <v>0.99999999627926262</v>
      </c>
      <c r="AQ46">
        <f t="shared" si="3"/>
        <v>0.99999999813963125</v>
      </c>
      <c r="AS46">
        <f t="shared" si="4"/>
        <v>6.2099752995147979E-2</v>
      </c>
      <c r="AT46">
        <f t="shared" si="5"/>
        <v>0.13014064097726363</v>
      </c>
      <c r="AU46">
        <f t="shared" si="6"/>
        <v>0.22234111822136216</v>
      </c>
      <c r="AV46">
        <f t="shared" si="7"/>
        <v>0.15289650686264714</v>
      </c>
      <c r="AW46">
        <f t="shared" si="8"/>
        <v>0.1709869350278721</v>
      </c>
      <c r="AX46">
        <f t="shared" si="9"/>
        <v>0.1210384879322738</v>
      </c>
      <c r="AY46">
        <f t="shared" si="10"/>
        <v>7.6366945435751371E-2</v>
      </c>
      <c r="AZ46">
        <f t="shared" si="11"/>
        <v>0.11887911321343547</v>
      </c>
      <c r="BA46">
        <f t="shared" si="12"/>
        <v>0.21051194433672518</v>
      </c>
      <c r="BB46">
        <f t="shared" si="13"/>
        <v>0.21270414538794907</v>
      </c>
      <c r="BC46">
        <f t="shared" si="14"/>
        <v>0.12110350390234324</v>
      </c>
      <c r="BD46">
        <f t="shared" si="15"/>
        <v>0.16887427063344221</v>
      </c>
      <c r="BE46">
        <f t="shared" si="16"/>
        <v>0.12164197671858716</v>
      </c>
      <c r="BF46">
        <f t="shared" si="17"/>
        <v>0.11925751918259252</v>
      </c>
      <c r="BG46">
        <f t="shared" si="18"/>
        <v>3.3286418418418257E-2</v>
      </c>
      <c r="BH46">
        <f t="shared" si="19"/>
        <v>0.19750946734130678</v>
      </c>
      <c r="BI46">
        <f t="shared" si="20"/>
        <v>0.31990284422970422</v>
      </c>
      <c r="BJ46">
        <f t="shared" si="21"/>
        <v>0.26139319424232904</v>
      </c>
      <c r="BK46">
        <f t="shared" si="22"/>
        <v>0.28030662139911561</v>
      </c>
      <c r="BL46">
        <f t="shared" si="23"/>
        <v>0.15666048344683944</v>
      </c>
      <c r="BM46">
        <f t="shared" si="24"/>
        <v>5.6960844242246192E-2</v>
      </c>
      <c r="BN46">
        <f t="shared" si="25"/>
        <v>0.2180821517884042</v>
      </c>
      <c r="BO46">
        <f t="shared" si="26"/>
        <v>0.11266509480524604</v>
      </c>
      <c r="BP46">
        <f t="shared" si="27"/>
        <v>0.1184158424334384</v>
      </c>
      <c r="BQ46">
        <f t="shared" si="28"/>
        <v>0.18639488806470078</v>
      </c>
      <c r="BR46">
        <f t="shared" si="29"/>
        <v>0.21037724340661471</v>
      </c>
      <c r="BS46">
        <f t="shared" si="30"/>
        <v>8.7880713183900616E-2</v>
      </c>
      <c r="BT46">
        <f t="shared" si="31"/>
        <v>0.14641224934523367</v>
      </c>
      <c r="BU46">
        <f t="shared" si="32"/>
        <v>0.13118177950028886</v>
      </c>
      <c r="BV46">
        <f t="shared" si="33"/>
        <v>4.5440761094566427E-2</v>
      </c>
      <c r="BW46">
        <f t="shared" si="34"/>
        <v>0.12081288485646408</v>
      </c>
      <c r="BX46">
        <f t="shared" si="35"/>
        <v>0.13916350871546282</v>
      </c>
      <c r="BY46">
        <f t="shared" si="36"/>
        <v>0.16321457779437307</v>
      </c>
      <c r="BZ46">
        <f t="shared" si="37"/>
        <v>5.300816685622247E-2</v>
      </c>
      <c r="CA46">
        <f t="shared" si="38"/>
        <v>6.6668715785278887E-2</v>
      </c>
      <c r="CB46">
        <f t="shared" si="39"/>
        <v>7.1244884300474098E-2</v>
      </c>
      <c r="CC46">
        <f t="shared" si="40"/>
        <v>0.28281374372693785</v>
      </c>
      <c r="CD46">
        <f t="shared" si="41"/>
        <v>9.4452908792983709E-2</v>
      </c>
      <c r="CE46">
        <f t="shared" si="42"/>
        <v>9.6500671378162151E-3</v>
      </c>
      <c r="CG46">
        <f t="shared" si="43"/>
        <v>1</v>
      </c>
      <c r="CH46">
        <f t="shared" si="44"/>
        <v>1</v>
      </c>
      <c r="CJ46">
        <f t="shared" si="45"/>
        <v>0.89235303472714544</v>
      </c>
    </row>
    <row r="47" spans="1:88" ht="14.4" x14ac:dyDescent="0.3">
      <c r="A47" t="s">
        <v>48</v>
      </c>
      <c r="B47" s="6">
        <v>6.2099752879619538E-2</v>
      </c>
      <c r="C47" s="6">
        <v>0.13014064073515405</v>
      </c>
      <c r="D47" s="6">
        <v>0.2223411178077257</v>
      </c>
      <c r="E47" s="6">
        <v>0.15289650657820325</v>
      </c>
      <c r="F47" s="6">
        <v>0.17098693470977336</v>
      </c>
      <c r="G47" s="6">
        <v>0.12103848770709758</v>
      </c>
      <c r="H47" s="6">
        <v>7.6366945293680696E-2</v>
      </c>
      <c r="I47" s="6">
        <v>0.11887911299227648</v>
      </c>
      <c r="J47" s="6">
        <v>0.21051194394509534</v>
      </c>
      <c r="K47" s="6">
        <v>0.21270414499224094</v>
      </c>
      <c r="L47" s="6">
        <v>0.12110350367704607</v>
      </c>
      <c r="M47" s="6">
        <v>0.16887427031927379</v>
      </c>
      <c r="N47" s="6">
        <v>0.12164197649228822</v>
      </c>
      <c r="O47" s="6">
        <v>0.11925751896072956</v>
      </c>
      <c r="P47" s="6">
        <v>3.3286418356493243E-2</v>
      </c>
      <c r="Q47" s="6">
        <v>0.19750946697386634</v>
      </c>
      <c r="R47" s="6">
        <v>0.31990284363456695</v>
      </c>
      <c r="S47" s="6">
        <v>0.26139319375604131</v>
      </c>
      <c r="T47" s="6">
        <v>0.28030662087764191</v>
      </c>
      <c r="U47" s="6">
        <v>0.15666048315539319</v>
      </c>
      <c r="V47" s="6">
        <v>5.696084413627802E-2</v>
      </c>
      <c r="W47" s="6">
        <v>0.21808215138269099</v>
      </c>
      <c r="X47" s="6">
        <v>0.11266509459564743</v>
      </c>
      <c r="Y47" s="6">
        <v>0.11841584221314128</v>
      </c>
      <c r="Z47" s="6">
        <v>0.18639488771793755</v>
      </c>
      <c r="AA47" s="6">
        <v>0.21037724301523544</v>
      </c>
      <c r="AB47" s="6">
        <v>8.7880713020410089E-2</v>
      </c>
      <c r="AC47" s="6">
        <v>0.14641224907285288</v>
      </c>
      <c r="AD47" s="6">
        <v>0.13118177925624239</v>
      </c>
      <c r="AE47" s="6">
        <v>4.5440761010029855E-2</v>
      </c>
      <c r="AF47" s="6">
        <v>0.12081288463170756</v>
      </c>
      <c r="AG47" s="6">
        <v>0.13916350845656739</v>
      </c>
      <c r="AH47" s="6">
        <v>0.16321457749073376</v>
      </c>
      <c r="AI47" s="6">
        <v>5.3008166757607736E-2</v>
      </c>
      <c r="AJ47" s="6">
        <v>6.6668715661250488E-2</v>
      </c>
      <c r="AK47" s="6">
        <v>7.1244884167932343E-2</v>
      </c>
      <c r="AL47" s="6">
        <v>0.28281374320079999</v>
      </c>
      <c r="AM47" s="6">
        <v>9.4452908617266462E-2</v>
      </c>
      <c r="AN47" s="6">
        <v>9.6500671198635323E-3</v>
      </c>
      <c r="AP47">
        <f t="shared" si="2"/>
        <v>0.99999999627926262</v>
      </c>
      <c r="AQ47">
        <f t="shared" si="3"/>
        <v>0.99999999813963125</v>
      </c>
      <c r="AS47">
        <f t="shared" si="4"/>
        <v>6.2099752995147979E-2</v>
      </c>
      <c r="AT47">
        <f t="shared" si="5"/>
        <v>0.13014064097726363</v>
      </c>
      <c r="AU47">
        <f t="shared" si="6"/>
        <v>0.22234111822136216</v>
      </c>
      <c r="AV47">
        <f t="shared" si="7"/>
        <v>0.15289650686264714</v>
      </c>
      <c r="AW47">
        <f t="shared" si="8"/>
        <v>0.1709869350278721</v>
      </c>
      <c r="AX47">
        <f t="shared" si="9"/>
        <v>0.1210384879322738</v>
      </c>
      <c r="AY47">
        <f t="shared" si="10"/>
        <v>7.6366945435751371E-2</v>
      </c>
      <c r="AZ47">
        <f t="shared" si="11"/>
        <v>0.11887911321343547</v>
      </c>
      <c r="BA47">
        <f t="shared" si="12"/>
        <v>0.21051194433672518</v>
      </c>
      <c r="BB47">
        <f t="shared" si="13"/>
        <v>0.21270414538794907</v>
      </c>
      <c r="BC47">
        <f t="shared" si="14"/>
        <v>0.12110350390234324</v>
      </c>
      <c r="BD47">
        <f t="shared" si="15"/>
        <v>0.16887427063344221</v>
      </c>
      <c r="BE47">
        <f t="shared" si="16"/>
        <v>0.12164197671858716</v>
      </c>
      <c r="BF47">
        <f t="shared" si="17"/>
        <v>0.11925751918259252</v>
      </c>
      <c r="BG47">
        <f t="shared" si="18"/>
        <v>3.3286418418418257E-2</v>
      </c>
      <c r="BH47">
        <f t="shared" si="19"/>
        <v>0.19750946734130678</v>
      </c>
      <c r="BI47">
        <f t="shared" si="20"/>
        <v>0.31990284422970422</v>
      </c>
      <c r="BJ47">
        <f t="shared" si="21"/>
        <v>0.26139319424232904</v>
      </c>
      <c r="BK47">
        <f t="shared" si="22"/>
        <v>0.28030662139911561</v>
      </c>
      <c r="BL47">
        <f t="shared" si="23"/>
        <v>0.15666048344683944</v>
      </c>
      <c r="BM47">
        <f t="shared" si="24"/>
        <v>5.6960844242246192E-2</v>
      </c>
      <c r="BN47">
        <f t="shared" si="25"/>
        <v>0.2180821517884042</v>
      </c>
      <c r="BO47">
        <f t="shared" si="26"/>
        <v>0.11266509480524604</v>
      </c>
      <c r="BP47">
        <f t="shared" si="27"/>
        <v>0.1184158424334384</v>
      </c>
      <c r="BQ47">
        <f t="shared" si="28"/>
        <v>0.18639488806470078</v>
      </c>
      <c r="BR47">
        <f t="shared" si="29"/>
        <v>0.21037724340661471</v>
      </c>
      <c r="BS47">
        <f t="shared" si="30"/>
        <v>8.7880713183900616E-2</v>
      </c>
      <c r="BT47">
        <f t="shared" si="31"/>
        <v>0.14641224934523367</v>
      </c>
      <c r="BU47">
        <f t="shared" si="32"/>
        <v>0.13118177950028886</v>
      </c>
      <c r="BV47">
        <f t="shared" si="33"/>
        <v>4.5440761094566427E-2</v>
      </c>
      <c r="BW47">
        <f t="shared" si="34"/>
        <v>0.12081288485646408</v>
      </c>
      <c r="BX47">
        <f t="shared" si="35"/>
        <v>0.13916350871546282</v>
      </c>
      <c r="BY47">
        <f t="shared" si="36"/>
        <v>0.16321457779437307</v>
      </c>
      <c r="BZ47">
        <f t="shared" si="37"/>
        <v>5.300816685622247E-2</v>
      </c>
      <c r="CA47">
        <f t="shared" si="38"/>
        <v>6.6668715785278887E-2</v>
      </c>
      <c r="CB47">
        <f t="shared" si="39"/>
        <v>7.1244884300474098E-2</v>
      </c>
      <c r="CC47">
        <f t="shared" si="40"/>
        <v>0.28281374372693785</v>
      </c>
      <c r="CD47">
        <f t="shared" si="41"/>
        <v>9.4452908792983709E-2</v>
      </c>
      <c r="CE47">
        <f t="shared" si="42"/>
        <v>9.6500671378162151E-3</v>
      </c>
      <c r="CG47">
        <f t="shared" si="43"/>
        <v>1</v>
      </c>
      <c r="CH47">
        <f t="shared" si="44"/>
        <v>1</v>
      </c>
      <c r="CJ47">
        <f t="shared" si="45"/>
        <v>0.89235303472714544</v>
      </c>
    </row>
    <row r="48" spans="1:88" ht="14.4" x14ac:dyDescent="0.3">
      <c r="A48" t="s">
        <v>49</v>
      </c>
      <c r="B48" s="6">
        <v>6.2099752879619538E-2</v>
      </c>
      <c r="C48" s="6">
        <v>0.13014064073515405</v>
      </c>
      <c r="D48" s="6">
        <v>0.2223411178077257</v>
      </c>
      <c r="E48" s="6">
        <v>0.15289650657820325</v>
      </c>
      <c r="F48" s="6">
        <v>0.17098693470977336</v>
      </c>
      <c r="G48" s="6">
        <v>0.12103848770709758</v>
      </c>
      <c r="H48" s="6">
        <v>7.6366945293680696E-2</v>
      </c>
      <c r="I48" s="6">
        <v>0.11887911299227648</v>
      </c>
      <c r="J48" s="6">
        <v>0.21051194394509534</v>
      </c>
      <c r="K48" s="6">
        <v>0.21270414499224094</v>
      </c>
      <c r="L48" s="6">
        <v>0.12110350367704607</v>
      </c>
      <c r="M48" s="6">
        <v>0.16887427031927379</v>
      </c>
      <c r="N48" s="6">
        <v>0.12164197649228822</v>
      </c>
      <c r="O48" s="6">
        <v>0.11925751896072956</v>
      </c>
      <c r="P48" s="6">
        <v>3.3286418356493243E-2</v>
      </c>
      <c r="Q48" s="6">
        <v>0.19750946697386634</v>
      </c>
      <c r="R48" s="6">
        <v>0.31990284363456695</v>
      </c>
      <c r="S48" s="6">
        <v>0.26139319375604131</v>
      </c>
      <c r="T48" s="6">
        <v>0.28030662087764191</v>
      </c>
      <c r="U48" s="6">
        <v>0.15666048315539319</v>
      </c>
      <c r="V48" s="6">
        <v>5.696084413627802E-2</v>
      </c>
      <c r="W48" s="6">
        <v>0.21808215138269099</v>
      </c>
      <c r="X48" s="6">
        <v>0.11266509459564743</v>
      </c>
      <c r="Y48" s="6">
        <v>0.11841584221314128</v>
      </c>
      <c r="Z48" s="6">
        <v>0.18639488771793755</v>
      </c>
      <c r="AA48" s="6">
        <v>0.21037724301523544</v>
      </c>
      <c r="AB48" s="6">
        <v>8.7880713020410089E-2</v>
      </c>
      <c r="AC48" s="6">
        <v>0.14641224907285288</v>
      </c>
      <c r="AD48" s="6">
        <v>0.13118177925624239</v>
      </c>
      <c r="AE48" s="6">
        <v>4.5440761010029855E-2</v>
      </c>
      <c r="AF48" s="6">
        <v>0.12081288463170756</v>
      </c>
      <c r="AG48" s="6">
        <v>0.13916350845656739</v>
      </c>
      <c r="AH48" s="6">
        <v>0.16321457749073376</v>
      </c>
      <c r="AI48" s="6">
        <v>5.3008166757607736E-2</v>
      </c>
      <c r="AJ48" s="6">
        <v>6.6668715661250488E-2</v>
      </c>
      <c r="AK48" s="6">
        <v>7.1244884167932343E-2</v>
      </c>
      <c r="AL48" s="6">
        <v>0.28281374320079999</v>
      </c>
      <c r="AM48" s="6">
        <v>9.4452908617266462E-2</v>
      </c>
      <c r="AN48" s="6">
        <v>9.6500671198635323E-3</v>
      </c>
      <c r="AP48">
        <f t="shared" si="2"/>
        <v>0.99999999627926262</v>
      </c>
      <c r="AQ48">
        <f t="shared" si="3"/>
        <v>0.99999999813963125</v>
      </c>
      <c r="AS48">
        <f t="shared" si="4"/>
        <v>6.2099752995147979E-2</v>
      </c>
      <c r="AT48">
        <f t="shared" si="5"/>
        <v>0.13014064097726363</v>
      </c>
      <c r="AU48">
        <f t="shared" si="6"/>
        <v>0.22234111822136216</v>
      </c>
      <c r="AV48">
        <f t="shared" si="7"/>
        <v>0.15289650686264714</v>
      </c>
      <c r="AW48">
        <f t="shared" si="8"/>
        <v>0.1709869350278721</v>
      </c>
      <c r="AX48">
        <f t="shared" si="9"/>
        <v>0.1210384879322738</v>
      </c>
      <c r="AY48">
        <f t="shared" si="10"/>
        <v>7.6366945435751371E-2</v>
      </c>
      <c r="AZ48">
        <f t="shared" si="11"/>
        <v>0.11887911321343547</v>
      </c>
      <c r="BA48">
        <f t="shared" si="12"/>
        <v>0.21051194433672518</v>
      </c>
      <c r="BB48">
        <f t="shared" si="13"/>
        <v>0.21270414538794907</v>
      </c>
      <c r="BC48">
        <f t="shared" si="14"/>
        <v>0.12110350390234324</v>
      </c>
      <c r="BD48">
        <f t="shared" si="15"/>
        <v>0.16887427063344221</v>
      </c>
      <c r="BE48">
        <f t="shared" si="16"/>
        <v>0.12164197671858716</v>
      </c>
      <c r="BF48">
        <f t="shared" si="17"/>
        <v>0.11925751918259252</v>
      </c>
      <c r="BG48">
        <f t="shared" si="18"/>
        <v>3.3286418418418257E-2</v>
      </c>
      <c r="BH48">
        <f t="shared" si="19"/>
        <v>0.19750946734130678</v>
      </c>
      <c r="BI48">
        <f t="shared" si="20"/>
        <v>0.31990284422970422</v>
      </c>
      <c r="BJ48">
        <f t="shared" si="21"/>
        <v>0.26139319424232904</v>
      </c>
      <c r="BK48">
        <f t="shared" si="22"/>
        <v>0.28030662139911561</v>
      </c>
      <c r="BL48">
        <f t="shared" si="23"/>
        <v>0.15666048344683944</v>
      </c>
      <c r="BM48">
        <f t="shared" si="24"/>
        <v>5.6960844242246192E-2</v>
      </c>
      <c r="BN48">
        <f t="shared" si="25"/>
        <v>0.2180821517884042</v>
      </c>
      <c r="BO48">
        <f t="shared" si="26"/>
        <v>0.11266509480524604</v>
      </c>
      <c r="BP48">
        <f t="shared" si="27"/>
        <v>0.1184158424334384</v>
      </c>
      <c r="BQ48">
        <f t="shared" si="28"/>
        <v>0.18639488806470078</v>
      </c>
      <c r="BR48">
        <f t="shared" si="29"/>
        <v>0.21037724340661471</v>
      </c>
      <c r="BS48">
        <f t="shared" si="30"/>
        <v>8.7880713183900616E-2</v>
      </c>
      <c r="BT48">
        <f t="shared" si="31"/>
        <v>0.14641224934523367</v>
      </c>
      <c r="BU48">
        <f t="shared" si="32"/>
        <v>0.13118177950028886</v>
      </c>
      <c r="BV48">
        <f t="shared" si="33"/>
        <v>4.5440761094566427E-2</v>
      </c>
      <c r="BW48">
        <f t="shared" si="34"/>
        <v>0.12081288485646408</v>
      </c>
      <c r="BX48">
        <f t="shared" si="35"/>
        <v>0.13916350871546282</v>
      </c>
      <c r="BY48">
        <f t="shared" si="36"/>
        <v>0.16321457779437307</v>
      </c>
      <c r="BZ48">
        <f t="shared" si="37"/>
        <v>5.300816685622247E-2</v>
      </c>
      <c r="CA48">
        <f t="shared" si="38"/>
        <v>6.6668715785278887E-2</v>
      </c>
      <c r="CB48">
        <f t="shared" si="39"/>
        <v>7.1244884300474098E-2</v>
      </c>
      <c r="CC48">
        <f t="shared" si="40"/>
        <v>0.28281374372693785</v>
      </c>
      <c r="CD48">
        <f t="shared" si="41"/>
        <v>9.4452908792983709E-2</v>
      </c>
      <c r="CE48">
        <f t="shared" si="42"/>
        <v>9.6500671378162151E-3</v>
      </c>
      <c r="CG48">
        <f t="shared" si="43"/>
        <v>1</v>
      </c>
      <c r="CH48">
        <f t="shared" si="44"/>
        <v>1</v>
      </c>
      <c r="CJ48">
        <f t="shared" si="45"/>
        <v>0.89235303472714544</v>
      </c>
    </row>
    <row r="49" spans="1:88" ht="14.4" x14ac:dyDescent="0.3">
      <c r="A49" t="s">
        <v>50</v>
      </c>
      <c r="B49" s="6">
        <v>6.2099752879619538E-2</v>
      </c>
      <c r="C49" s="6">
        <v>0.13014064073515405</v>
      </c>
      <c r="D49" s="6">
        <v>0.2223411178077257</v>
      </c>
      <c r="E49" s="6">
        <v>0.15289650657820325</v>
      </c>
      <c r="F49" s="6">
        <v>0.17098693470977336</v>
      </c>
      <c r="G49" s="6">
        <v>0.12103848770709758</v>
      </c>
      <c r="H49" s="6">
        <v>7.6366945293680696E-2</v>
      </c>
      <c r="I49" s="6">
        <v>0.11887911299227648</v>
      </c>
      <c r="J49" s="6">
        <v>0.21051194394509534</v>
      </c>
      <c r="K49" s="6">
        <v>0.21270414499224094</v>
      </c>
      <c r="L49" s="6">
        <v>0.12110350367704607</v>
      </c>
      <c r="M49" s="6">
        <v>0.16887427031927379</v>
      </c>
      <c r="N49" s="6">
        <v>0.12164197649228822</v>
      </c>
      <c r="O49" s="6">
        <v>0.11925751896072956</v>
      </c>
      <c r="P49" s="6">
        <v>3.3286418356493243E-2</v>
      </c>
      <c r="Q49" s="6">
        <v>0.19750946697386634</v>
      </c>
      <c r="R49" s="6">
        <v>0.31990284363456695</v>
      </c>
      <c r="S49" s="6">
        <v>0.26139319375604131</v>
      </c>
      <c r="T49" s="6">
        <v>0.28030662087764191</v>
      </c>
      <c r="U49" s="6">
        <v>0.15666048315539319</v>
      </c>
      <c r="V49" s="6">
        <v>5.696084413627802E-2</v>
      </c>
      <c r="W49" s="6">
        <v>0.21808215138269099</v>
      </c>
      <c r="X49" s="6">
        <v>0.11266509459564743</v>
      </c>
      <c r="Y49" s="6">
        <v>0.11841584221314128</v>
      </c>
      <c r="Z49" s="6">
        <v>0.18639488771793755</v>
      </c>
      <c r="AA49" s="6">
        <v>0.21037724301523544</v>
      </c>
      <c r="AB49" s="6">
        <v>8.7880713020410089E-2</v>
      </c>
      <c r="AC49" s="6">
        <v>0.14641224907285288</v>
      </c>
      <c r="AD49" s="6">
        <v>0.13118177925624239</v>
      </c>
      <c r="AE49" s="6">
        <v>4.5440761010029855E-2</v>
      </c>
      <c r="AF49" s="6">
        <v>0.12081288463170756</v>
      </c>
      <c r="AG49" s="6">
        <v>0.13916350845656739</v>
      </c>
      <c r="AH49" s="6">
        <v>0.16321457749073376</v>
      </c>
      <c r="AI49" s="6">
        <v>5.3008166757607736E-2</v>
      </c>
      <c r="AJ49" s="6">
        <v>6.6668715661250488E-2</v>
      </c>
      <c r="AK49" s="6">
        <v>7.1244884167932343E-2</v>
      </c>
      <c r="AL49" s="6">
        <v>0.28281374320079999</v>
      </c>
      <c r="AM49" s="6">
        <v>9.4452908617266462E-2</v>
      </c>
      <c r="AN49" s="6">
        <v>9.6500671198635323E-3</v>
      </c>
      <c r="AP49">
        <f t="shared" si="2"/>
        <v>0.99999999627926262</v>
      </c>
      <c r="AQ49">
        <f t="shared" si="3"/>
        <v>0.99999999813963125</v>
      </c>
      <c r="AS49">
        <f t="shared" si="4"/>
        <v>6.2099752995147979E-2</v>
      </c>
      <c r="AT49">
        <f t="shared" si="5"/>
        <v>0.13014064097726363</v>
      </c>
      <c r="AU49">
        <f t="shared" si="6"/>
        <v>0.22234111822136216</v>
      </c>
      <c r="AV49">
        <f t="shared" si="7"/>
        <v>0.15289650686264714</v>
      </c>
      <c r="AW49">
        <f t="shared" si="8"/>
        <v>0.1709869350278721</v>
      </c>
      <c r="AX49">
        <f t="shared" si="9"/>
        <v>0.1210384879322738</v>
      </c>
      <c r="AY49">
        <f t="shared" si="10"/>
        <v>7.6366945435751371E-2</v>
      </c>
      <c r="AZ49">
        <f t="shared" si="11"/>
        <v>0.11887911321343547</v>
      </c>
      <c r="BA49">
        <f t="shared" si="12"/>
        <v>0.21051194433672518</v>
      </c>
      <c r="BB49">
        <f t="shared" si="13"/>
        <v>0.21270414538794907</v>
      </c>
      <c r="BC49">
        <f t="shared" si="14"/>
        <v>0.12110350390234324</v>
      </c>
      <c r="BD49">
        <f t="shared" si="15"/>
        <v>0.16887427063344221</v>
      </c>
      <c r="BE49">
        <f t="shared" si="16"/>
        <v>0.12164197671858716</v>
      </c>
      <c r="BF49">
        <f t="shared" si="17"/>
        <v>0.11925751918259252</v>
      </c>
      <c r="BG49">
        <f t="shared" si="18"/>
        <v>3.3286418418418257E-2</v>
      </c>
      <c r="BH49">
        <f t="shared" si="19"/>
        <v>0.19750946734130678</v>
      </c>
      <c r="BI49">
        <f t="shared" si="20"/>
        <v>0.31990284422970422</v>
      </c>
      <c r="BJ49">
        <f t="shared" si="21"/>
        <v>0.26139319424232904</v>
      </c>
      <c r="BK49">
        <f t="shared" si="22"/>
        <v>0.28030662139911561</v>
      </c>
      <c r="BL49">
        <f t="shared" si="23"/>
        <v>0.15666048344683944</v>
      </c>
      <c r="BM49">
        <f t="shared" si="24"/>
        <v>5.6960844242246192E-2</v>
      </c>
      <c r="BN49">
        <f t="shared" si="25"/>
        <v>0.2180821517884042</v>
      </c>
      <c r="BO49">
        <f t="shared" si="26"/>
        <v>0.11266509480524604</v>
      </c>
      <c r="BP49">
        <f t="shared" si="27"/>
        <v>0.1184158424334384</v>
      </c>
      <c r="BQ49">
        <f t="shared" si="28"/>
        <v>0.18639488806470078</v>
      </c>
      <c r="BR49">
        <f t="shared" si="29"/>
        <v>0.21037724340661471</v>
      </c>
      <c r="BS49">
        <f t="shared" si="30"/>
        <v>8.7880713183900616E-2</v>
      </c>
      <c r="BT49">
        <f t="shared" si="31"/>
        <v>0.14641224934523367</v>
      </c>
      <c r="BU49">
        <f t="shared" si="32"/>
        <v>0.13118177950028886</v>
      </c>
      <c r="BV49">
        <f t="shared" si="33"/>
        <v>4.5440761094566427E-2</v>
      </c>
      <c r="BW49">
        <f t="shared" si="34"/>
        <v>0.12081288485646408</v>
      </c>
      <c r="BX49">
        <f t="shared" si="35"/>
        <v>0.13916350871546282</v>
      </c>
      <c r="BY49">
        <f t="shared" si="36"/>
        <v>0.16321457779437307</v>
      </c>
      <c r="BZ49">
        <f t="shared" si="37"/>
        <v>5.300816685622247E-2</v>
      </c>
      <c r="CA49">
        <f t="shared" si="38"/>
        <v>6.6668715785278887E-2</v>
      </c>
      <c r="CB49">
        <f t="shared" si="39"/>
        <v>7.1244884300474098E-2</v>
      </c>
      <c r="CC49">
        <f t="shared" si="40"/>
        <v>0.28281374372693785</v>
      </c>
      <c r="CD49">
        <f t="shared" si="41"/>
        <v>9.4452908792983709E-2</v>
      </c>
      <c r="CE49">
        <f t="shared" si="42"/>
        <v>9.6500671378162151E-3</v>
      </c>
      <c r="CG49">
        <f t="shared" si="43"/>
        <v>1</v>
      </c>
      <c r="CH49">
        <f t="shared" si="44"/>
        <v>1</v>
      </c>
      <c r="CJ49">
        <f t="shared" si="45"/>
        <v>0.89235303472714544</v>
      </c>
    </row>
    <row r="50" spans="1:88" ht="14.4" x14ac:dyDescent="0.3">
      <c r="A50" t="s">
        <v>51</v>
      </c>
      <c r="B50" s="6">
        <v>6.2099752879619538E-2</v>
      </c>
      <c r="C50" s="6">
        <v>0.13014064073515405</v>
      </c>
      <c r="D50" s="6">
        <v>0.2223411178077257</v>
      </c>
      <c r="E50" s="6">
        <v>0.15289650657820325</v>
      </c>
      <c r="F50" s="6">
        <v>0.17098693470977336</v>
      </c>
      <c r="G50" s="6">
        <v>0.12103848770709758</v>
      </c>
      <c r="H50" s="6">
        <v>7.6366945293680696E-2</v>
      </c>
      <c r="I50" s="6">
        <v>0.11887911299227648</v>
      </c>
      <c r="J50" s="6">
        <v>0.21051194394509534</v>
      </c>
      <c r="K50" s="6">
        <v>0.21270414499224094</v>
      </c>
      <c r="L50" s="6">
        <v>0.12110350367704607</v>
      </c>
      <c r="M50" s="6">
        <v>0.16887427031927379</v>
      </c>
      <c r="N50" s="6">
        <v>0.12164197649228822</v>
      </c>
      <c r="O50" s="6">
        <v>0.11925751896072956</v>
      </c>
      <c r="P50" s="6">
        <v>3.3286418356493243E-2</v>
      </c>
      <c r="Q50" s="6">
        <v>0.19750946697386634</v>
      </c>
      <c r="R50" s="6">
        <v>0.31990284363456695</v>
      </c>
      <c r="S50" s="6">
        <v>0.26139319375604131</v>
      </c>
      <c r="T50" s="6">
        <v>0.28030662087764191</v>
      </c>
      <c r="U50" s="6">
        <v>0.15666048315539319</v>
      </c>
      <c r="V50" s="6">
        <v>5.696084413627802E-2</v>
      </c>
      <c r="W50" s="6">
        <v>0.21808215138269099</v>
      </c>
      <c r="X50" s="6">
        <v>0.11266509459564743</v>
      </c>
      <c r="Y50" s="6">
        <v>0.11841584221314128</v>
      </c>
      <c r="Z50" s="6">
        <v>0.18639488771793755</v>
      </c>
      <c r="AA50" s="6">
        <v>0.21037724301523544</v>
      </c>
      <c r="AB50" s="6">
        <v>8.7880713020410089E-2</v>
      </c>
      <c r="AC50" s="6">
        <v>0.14641224907285288</v>
      </c>
      <c r="AD50" s="6">
        <v>0.13118177925624239</v>
      </c>
      <c r="AE50" s="6">
        <v>4.5440761010029855E-2</v>
      </c>
      <c r="AF50" s="6">
        <v>0.12081288463170756</v>
      </c>
      <c r="AG50" s="6">
        <v>0.13916350845656739</v>
      </c>
      <c r="AH50" s="6">
        <v>0.16321457749073376</v>
      </c>
      <c r="AI50" s="6">
        <v>5.3008166757607736E-2</v>
      </c>
      <c r="AJ50" s="6">
        <v>6.6668715661250488E-2</v>
      </c>
      <c r="AK50" s="6">
        <v>7.1244884167932343E-2</v>
      </c>
      <c r="AL50" s="6">
        <v>0.28281374320079999</v>
      </c>
      <c r="AM50" s="6">
        <v>9.4452908617266462E-2</v>
      </c>
      <c r="AN50" s="6">
        <v>9.6500671198635323E-3</v>
      </c>
      <c r="AP50">
        <f t="shared" si="2"/>
        <v>0.99999999627926262</v>
      </c>
      <c r="AQ50">
        <f t="shared" si="3"/>
        <v>0.99999999813963125</v>
      </c>
      <c r="AS50">
        <f t="shared" si="4"/>
        <v>6.2099752995147979E-2</v>
      </c>
      <c r="AT50">
        <f t="shared" si="5"/>
        <v>0.13014064097726363</v>
      </c>
      <c r="AU50">
        <f t="shared" si="6"/>
        <v>0.22234111822136216</v>
      </c>
      <c r="AV50">
        <f t="shared" si="7"/>
        <v>0.15289650686264714</v>
      </c>
      <c r="AW50">
        <f t="shared" si="8"/>
        <v>0.1709869350278721</v>
      </c>
      <c r="AX50">
        <f t="shared" si="9"/>
        <v>0.1210384879322738</v>
      </c>
      <c r="AY50">
        <f t="shared" si="10"/>
        <v>7.6366945435751371E-2</v>
      </c>
      <c r="AZ50">
        <f t="shared" si="11"/>
        <v>0.11887911321343547</v>
      </c>
      <c r="BA50">
        <f t="shared" si="12"/>
        <v>0.21051194433672518</v>
      </c>
      <c r="BB50">
        <f t="shared" si="13"/>
        <v>0.21270414538794907</v>
      </c>
      <c r="BC50">
        <f t="shared" si="14"/>
        <v>0.12110350390234324</v>
      </c>
      <c r="BD50">
        <f t="shared" si="15"/>
        <v>0.16887427063344221</v>
      </c>
      <c r="BE50">
        <f t="shared" si="16"/>
        <v>0.12164197671858716</v>
      </c>
      <c r="BF50">
        <f t="shared" si="17"/>
        <v>0.11925751918259252</v>
      </c>
      <c r="BG50">
        <f t="shared" si="18"/>
        <v>3.3286418418418257E-2</v>
      </c>
      <c r="BH50">
        <f t="shared" si="19"/>
        <v>0.19750946734130678</v>
      </c>
      <c r="BI50">
        <f t="shared" si="20"/>
        <v>0.31990284422970422</v>
      </c>
      <c r="BJ50">
        <f t="shared" si="21"/>
        <v>0.26139319424232904</v>
      </c>
      <c r="BK50">
        <f t="shared" si="22"/>
        <v>0.28030662139911561</v>
      </c>
      <c r="BL50">
        <f t="shared" si="23"/>
        <v>0.15666048344683944</v>
      </c>
      <c r="BM50">
        <f t="shared" si="24"/>
        <v>5.6960844242246192E-2</v>
      </c>
      <c r="BN50">
        <f t="shared" si="25"/>
        <v>0.2180821517884042</v>
      </c>
      <c r="BO50">
        <f t="shared" si="26"/>
        <v>0.11266509480524604</v>
      </c>
      <c r="BP50">
        <f t="shared" si="27"/>
        <v>0.1184158424334384</v>
      </c>
      <c r="BQ50">
        <f t="shared" si="28"/>
        <v>0.18639488806470078</v>
      </c>
      <c r="BR50">
        <f t="shared" si="29"/>
        <v>0.21037724340661471</v>
      </c>
      <c r="BS50">
        <f t="shared" si="30"/>
        <v>8.7880713183900616E-2</v>
      </c>
      <c r="BT50">
        <f t="shared" si="31"/>
        <v>0.14641224934523367</v>
      </c>
      <c r="BU50">
        <f t="shared" si="32"/>
        <v>0.13118177950028886</v>
      </c>
      <c r="BV50">
        <f t="shared" si="33"/>
        <v>4.5440761094566427E-2</v>
      </c>
      <c r="BW50">
        <f t="shared" si="34"/>
        <v>0.12081288485646408</v>
      </c>
      <c r="BX50">
        <f t="shared" si="35"/>
        <v>0.13916350871546282</v>
      </c>
      <c r="BY50">
        <f t="shared" si="36"/>
        <v>0.16321457779437307</v>
      </c>
      <c r="BZ50">
        <f t="shared" si="37"/>
        <v>5.300816685622247E-2</v>
      </c>
      <c r="CA50">
        <f t="shared" si="38"/>
        <v>6.6668715785278887E-2</v>
      </c>
      <c r="CB50">
        <f t="shared" si="39"/>
        <v>7.1244884300474098E-2</v>
      </c>
      <c r="CC50">
        <f t="shared" si="40"/>
        <v>0.28281374372693785</v>
      </c>
      <c r="CD50">
        <f t="shared" si="41"/>
        <v>9.4452908792983709E-2</v>
      </c>
      <c r="CE50">
        <f t="shared" si="42"/>
        <v>9.6500671378162151E-3</v>
      </c>
      <c r="CG50">
        <f t="shared" si="43"/>
        <v>1</v>
      </c>
      <c r="CH50">
        <f t="shared" si="44"/>
        <v>1</v>
      </c>
      <c r="CJ50">
        <f t="shared" si="45"/>
        <v>0.89235303472714544</v>
      </c>
    </row>
    <row r="51" spans="1:88" ht="14.4" x14ac:dyDescent="0.3">
      <c r="A51" t="s">
        <v>52</v>
      </c>
      <c r="B51" s="6">
        <v>6.2099752879619538E-2</v>
      </c>
      <c r="C51" s="6">
        <v>0.13014064073515405</v>
      </c>
      <c r="D51" s="6">
        <v>0.2223411178077257</v>
      </c>
      <c r="E51" s="6">
        <v>0.15289650657820325</v>
      </c>
      <c r="F51" s="6">
        <v>0.17098693470977336</v>
      </c>
      <c r="G51" s="6">
        <v>0.12103848770709758</v>
      </c>
      <c r="H51" s="6">
        <v>7.6366945293680696E-2</v>
      </c>
      <c r="I51" s="6">
        <v>0.11887911299227648</v>
      </c>
      <c r="J51" s="6">
        <v>0.21051194394509534</v>
      </c>
      <c r="K51" s="6">
        <v>0.21270414499224094</v>
      </c>
      <c r="L51" s="6">
        <v>0.12110350367704607</v>
      </c>
      <c r="M51" s="6">
        <v>0.16887427031927379</v>
      </c>
      <c r="N51" s="6">
        <v>0.12164197649228822</v>
      </c>
      <c r="O51" s="6">
        <v>0.11925751896072956</v>
      </c>
      <c r="P51" s="6">
        <v>3.3286418356493243E-2</v>
      </c>
      <c r="Q51" s="6">
        <v>0.19750946697386634</v>
      </c>
      <c r="R51" s="6">
        <v>0.31990284363456695</v>
      </c>
      <c r="S51" s="6">
        <v>0.26139319375604131</v>
      </c>
      <c r="T51" s="6">
        <v>0.28030662087764191</v>
      </c>
      <c r="U51" s="6">
        <v>0.15666048315539319</v>
      </c>
      <c r="V51" s="6">
        <v>5.696084413627802E-2</v>
      </c>
      <c r="W51" s="6">
        <v>0.21808215138269099</v>
      </c>
      <c r="X51" s="6">
        <v>0.11266509459564743</v>
      </c>
      <c r="Y51" s="6">
        <v>0.11841584221314128</v>
      </c>
      <c r="Z51" s="6">
        <v>0.18639488771793755</v>
      </c>
      <c r="AA51" s="6">
        <v>0.21037724301523544</v>
      </c>
      <c r="AB51" s="6">
        <v>8.7880713020410089E-2</v>
      </c>
      <c r="AC51" s="6">
        <v>0.14641224907285288</v>
      </c>
      <c r="AD51" s="6">
        <v>0.13118177925624239</v>
      </c>
      <c r="AE51" s="6">
        <v>4.5440761010029855E-2</v>
      </c>
      <c r="AF51" s="6">
        <v>0.12081288463170756</v>
      </c>
      <c r="AG51" s="6">
        <v>0.13916350845656739</v>
      </c>
      <c r="AH51" s="6">
        <v>0.16321457749073376</v>
      </c>
      <c r="AI51" s="6">
        <v>5.3008166757607736E-2</v>
      </c>
      <c r="AJ51" s="6">
        <v>6.6668715661250488E-2</v>
      </c>
      <c r="AK51" s="6">
        <v>7.1244884167932343E-2</v>
      </c>
      <c r="AL51" s="6">
        <v>0.28281374320079999</v>
      </c>
      <c r="AM51" s="6">
        <v>9.4452908617266462E-2</v>
      </c>
      <c r="AN51" s="6">
        <v>9.6500671198635323E-3</v>
      </c>
      <c r="AP51">
        <f t="shared" si="2"/>
        <v>0.99999999627926262</v>
      </c>
      <c r="AQ51">
        <f t="shared" si="3"/>
        <v>0.99999999813963125</v>
      </c>
      <c r="AS51">
        <f t="shared" si="4"/>
        <v>6.2099752995147979E-2</v>
      </c>
      <c r="AT51">
        <f t="shared" si="5"/>
        <v>0.13014064097726363</v>
      </c>
      <c r="AU51">
        <f t="shared" si="6"/>
        <v>0.22234111822136216</v>
      </c>
      <c r="AV51">
        <f t="shared" si="7"/>
        <v>0.15289650686264714</v>
      </c>
      <c r="AW51">
        <f t="shared" si="8"/>
        <v>0.1709869350278721</v>
      </c>
      <c r="AX51">
        <f t="shared" si="9"/>
        <v>0.1210384879322738</v>
      </c>
      <c r="AY51">
        <f t="shared" si="10"/>
        <v>7.6366945435751371E-2</v>
      </c>
      <c r="AZ51">
        <f t="shared" si="11"/>
        <v>0.11887911321343547</v>
      </c>
      <c r="BA51">
        <f t="shared" si="12"/>
        <v>0.21051194433672518</v>
      </c>
      <c r="BB51">
        <f t="shared" si="13"/>
        <v>0.21270414538794907</v>
      </c>
      <c r="BC51">
        <f t="shared" si="14"/>
        <v>0.12110350390234324</v>
      </c>
      <c r="BD51">
        <f t="shared" si="15"/>
        <v>0.16887427063344221</v>
      </c>
      <c r="BE51">
        <f t="shared" si="16"/>
        <v>0.12164197671858716</v>
      </c>
      <c r="BF51">
        <f t="shared" si="17"/>
        <v>0.11925751918259252</v>
      </c>
      <c r="BG51">
        <f t="shared" si="18"/>
        <v>3.3286418418418257E-2</v>
      </c>
      <c r="BH51">
        <f t="shared" si="19"/>
        <v>0.19750946734130678</v>
      </c>
      <c r="BI51">
        <f t="shared" si="20"/>
        <v>0.31990284422970422</v>
      </c>
      <c r="BJ51">
        <f t="shared" si="21"/>
        <v>0.26139319424232904</v>
      </c>
      <c r="BK51">
        <f t="shared" si="22"/>
        <v>0.28030662139911561</v>
      </c>
      <c r="BL51">
        <f t="shared" si="23"/>
        <v>0.15666048344683944</v>
      </c>
      <c r="BM51">
        <f t="shared" si="24"/>
        <v>5.6960844242246192E-2</v>
      </c>
      <c r="BN51">
        <f t="shared" si="25"/>
        <v>0.2180821517884042</v>
      </c>
      <c r="BO51">
        <f t="shared" si="26"/>
        <v>0.11266509480524604</v>
      </c>
      <c r="BP51">
        <f t="shared" si="27"/>
        <v>0.1184158424334384</v>
      </c>
      <c r="BQ51">
        <f t="shared" si="28"/>
        <v>0.18639488806470078</v>
      </c>
      <c r="BR51">
        <f t="shared" si="29"/>
        <v>0.21037724340661471</v>
      </c>
      <c r="BS51">
        <f t="shared" si="30"/>
        <v>8.7880713183900616E-2</v>
      </c>
      <c r="BT51">
        <f t="shared" si="31"/>
        <v>0.14641224934523367</v>
      </c>
      <c r="BU51">
        <f t="shared" si="32"/>
        <v>0.13118177950028886</v>
      </c>
      <c r="BV51">
        <f t="shared" si="33"/>
        <v>4.5440761094566427E-2</v>
      </c>
      <c r="BW51">
        <f t="shared" si="34"/>
        <v>0.12081288485646408</v>
      </c>
      <c r="BX51">
        <f t="shared" si="35"/>
        <v>0.13916350871546282</v>
      </c>
      <c r="BY51">
        <f t="shared" si="36"/>
        <v>0.16321457779437307</v>
      </c>
      <c r="BZ51">
        <f t="shared" si="37"/>
        <v>5.300816685622247E-2</v>
      </c>
      <c r="CA51">
        <f t="shared" si="38"/>
        <v>6.6668715785278887E-2</v>
      </c>
      <c r="CB51">
        <f t="shared" si="39"/>
        <v>7.1244884300474098E-2</v>
      </c>
      <c r="CC51">
        <f t="shared" si="40"/>
        <v>0.28281374372693785</v>
      </c>
      <c r="CD51">
        <f t="shared" si="41"/>
        <v>9.4452908792983709E-2</v>
      </c>
      <c r="CE51">
        <f t="shared" si="42"/>
        <v>9.6500671378162151E-3</v>
      </c>
      <c r="CG51">
        <f t="shared" si="43"/>
        <v>1</v>
      </c>
      <c r="CH51">
        <f t="shared" si="44"/>
        <v>1</v>
      </c>
      <c r="CJ51">
        <f t="shared" si="45"/>
        <v>0.89235303472714544</v>
      </c>
    </row>
    <row r="52" spans="1:88" ht="14.4" x14ac:dyDescent="0.3">
      <c r="A52" t="s">
        <v>53</v>
      </c>
      <c r="B52" s="6">
        <v>6.2099752879619538E-2</v>
      </c>
      <c r="C52" s="6">
        <v>0.13014064073515405</v>
      </c>
      <c r="D52" s="6">
        <v>0.2223411178077257</v>
      </c>
      <c r="E52" s="6">
        <v>0.15289650657820325</v>
      </c>
      <c r="F52" s="6">
        <v>0.17098693470977336</v>
      </c>
      <c r="G52" s="6">
        <v>0.12103848770709758</v>
      </c>
      <c r="H52" s="6">
        <v>7.6366945293680696E-2</v>
      </c>
      <c r="I52" s="6">
        <v>0.11887911299227648</v>
      </c>
      <c r="J52" s="6">
        <v>0.21051194394509534</v>
      </c>
      <c r="K52" s="6">
        <v>0.21270414499224094</v>
      </c>
      <c r="L52" s="6">
        <v>0.12110350367704607</v>
      </c>
      <c r="M52" s="6">
        <v>0.16887427031927379</v>
      </c>
      <c r="N52" s="6">
        <v>0.12164197649228822</v>
      </c>
      <c r="O52" s="6">
        <v>0.11925751896072956</v>
      </c>
      <c r="P52" s="6">
        <v>3.3286418356493243E-2</v>
      </c>
      <c r="Q52" s="6">
        <v>0.19750946697386634</v>
      </c>
      <c r="R52" s="6">
        <v>0.31990284363456695</v>
      </c>
      <c r="S52" s="6">
        <v>0.26139319375604131</v>
      </c>
      <c r="T52" s="6">
        <v>0.28030662087764191</v>
      </c>
      <c r="U52" s="6">
        <v>0.15666048315539319</v>
      </c>
      <c r="V52" s="6">
        <v>5.696084413627802E-2</v>
      </c>
      <c r="W52" s="6">
        <v>0.21808215138269099</v>
      </c>
      <c r="X52" s="6">
        <v>0.11266509459564743</v>
      </c>
      <c r="Y52" s="6">
        <v>0.11841584221314128</v>
      </c>
      <c r="Z52" s="6">
        <v>0.18639488771793755</v>
      </c>
      <c r="AA52" s="6">
        <v>0.21037724301523544</v>
      </c>
      <c r="AB52" s="6">
        <v>8.7880713020410089E-2</v>
      </c>
      <c r="AC52" s="6">
        <v>0.14641224907285288</v>
      </c>
      <c r="AD52" s="6">
        <v>0.13118177925624239</v>
      </c>
      <c r="AE52" s="6">
        <v>4.5440761010029855E-2</v>
      </c>
      <c r="AF52" s="6">
        <v>0.12081288463170756</v>
      </c>
      <c r="AG52" s="6">
        <v>0.13916350845656739</v>
      </c>
      <c r="AH52" s="6">
        <v>0.16321457749073376</v>
      </c>
      <c r="AI52" s="6">
        <v>5.3008166757607736E-2</v>
      </c>
      <c r="AJ52" s="6">
        <v>6.6668715661250488E-2</v>
      </c>
      <c r="AK52" s="6">
        <v>7.1244884167932343E-2</v>
      </c>
      <c r="AL52" s="6">
        <v>0.28281374320079999</v>
      </c>
      <c r="AM52" s="6">
        <v>9.4452908617266462E-2</v>
      </c>
      <c r="AN52" s="6">
        <v>9.6500671198635323E-3</v>
      </c>
      <c r="AP52">
        <f t="shared" si="2"/>
        <v>0.99999999627926262</v>
      </c>
      <c r="AQ52">
        <f t="shared" si="3"/>
        <v>0.99999999813963125</v>
      </c>
      <c r="AS52">
        <f t="shared" si="4"/>
        <v>6.2099752995147979E-2</v>
      </c>
      <c r="AT52">
        <f t="shared" si="5"/>
        <v>0.13014064097726363</v>
      </c>
      <c r="AU52">
        <f t="shared" si="6"/>
        <v>0.22234111822136216</v>
      </c>
      <c r="AV52">
        <f t="shared" si="7"/>
        <v>0.15289650686264714</v>
      </c>
      <c r="AW52">
        <f t="shared" si="8"/>
        <v>0.1709869350278721</v>
      </c>
      <c r="AX52">
        <f t="shared" si="9"/>
        <v>0.1210384879322738</v>
      </c>
      <c r="AY52">
        <f t="shared" si="10"/>
        <v>7.6366945435751371E-2</v>
      </c>
      <c r="AZ52">
        <f t="shared" si="11"/>
        <v>0.11887911321343547</v>
      </c>
      <c r="BA52">
        <f t="shared" si="12"/>
        <v>0.21051194433672518</v>
      </c>
      <c r="BB52">
        <f t="shared" si="13"/>
        <v>0.21270414538794907</v>
      </c>
      <c r="BC52">
        <f t="shared" si="14"/>
        <v>0.12110350390234324</v>
      </c>
      <c r="BD52">
        <f t="shared" si="15"/>
        <v>0.16887427063344221</v>
      </c>
      <c r="BE52">
        <f t="shared" si="16"/>
        <v>0.12164197671858716</v>
      </c>
      <c r="BF52">
        <f t="shared" si="17"/>
        <v>0.11925751918259252</v>
      </c>
      <c r="BG52">
        <f t="shared" si="18"/>
        <v>3.3286418418418257E-2</v>
      </c>
      <c r="BH52">
        <f t="shared" si="19"/>
        <v>0.19750946734130678</v>
      </c>
      <c r="BI52">
        <f t="shared" si="20"/>
        <v>0.31990284422970422</v>
      </c>
      <c r="BJ52">
        <f t="shared" si="21"/>
        <v>0.26139319424232904</v>
      </c>
      <c r="BK52">
        <f t="shared" si="22"/>
        <v>0.28030662139911561</v>
      </c>
      <c r="BL52">
        <f t="shared" si="23"/>
        <v>0.15666048344683944</v>
      </c>
      <c r="BM52">
        <f t="shared" si="24"/>
        <v>5.6960844242246192E-2</v>
      </c>
      <c r="BN52">
        <f t="shared" si="25"/>
        <v>0.2180821517884042</v>
      </c>
      <c r="BO52">
        <f t="shared" si="26"/>
        <v>0.11266509480524604</v>
      </c>
      <c r="BP52">
        <f t="shared" si="27"/>
        <v>0.1184158424334384</v>
      </c>
      <c r="BQ52">
        <f t="shared" si="28"/>
        <v>0.18639488806470078</v>
      </c>
      <c r="BR52">
        <f t="shared" si="29"/>
        <v>0.21037724340661471</v>
      </c>
      <c r="BS52">
        <f t="shared" si="30"/>
        <v>8.7880713183900616E-2</v>
      </c>
      <c r="BT52">
        <f t="shared" si="31"/>
        <v>0.14641224934523367</v>
      </c>
      <c r="BU52">
        <f t="shared" si="32"/>
        <v>0.13118177950028886</v>
      </c>
      <c r="BV52">
        <f t="shared" si="33"/>
        <v>4.5440761094566427E-2</v>
      </c>
      <c r="BW52">
        <f t="shared" si="34"/>
        <v>0.12081288485646408</v>
      </c>
      <c r="BX52">
        <f t="shared" si="35"/>
        <v>0.13916350871546282</v>
      </c>
      <c r="BY52">
        <f t="shared" si="36"/>
        <v>0.16321457779437307</v>
      </c>
      <c r="BZ52">
        <f t="shared" si="37"/>
        <v>5.300816685622247E-2</v>
      </c>
      <c r="CA52">
        <f t="shared" si="38"/>
        <v>6.6668715785278887E-2</v>
      </c>
      <c r="CB52">
        <f t="shared" si="39"/>
        <v>7.1244884300474098E-2</v>
      </c>
      <c r="CC52">
        <f t="shared" si="40"/>
        <v>0.28281374372693785</v>
      </c>
      <c r="CD52">
        <f t="shared" si="41"/>
        <v>9.4452908792983709E-2</v>
      </c>
      <c r="CE52">
        <f t="shared" si="42"/>
        <v>9.6500671378162151E-3</v>
      </c>
      <c r="CG52">
        <f t="shared" si="43"/>
        <v>1</v>
      </c>
      <c r="CH52">
        <f t="shared" si="44"/>
        <v>1</v>
      </c>
      <c r="CJ52">
        <f t="shared" si="45"/>
        <v>0.89235303472714544</v>
      </c>
    </row>
    <row r="53" spans="1:88" ht="14.4" x14ac:dyDescent="0.3">
      <c r="A53" s="3" t="s">
        <v>54</v>
      </c>
      <c r="B53" s="6">
        <v>6.2099752879619538E-2</v>
      </c>
      <c r="C53" s="6">
        <v>0.13014064073515405</v>
      </c>
      <c r="D53" s="6">
        <v>0.2223411178077257</v>
      </c>
      <c r="E53" s="6">
        <v>0.15289650657820325</v>
      </c>
      <c r="F53" s="6">
        <v>0.17098693470977336</v>
      </c>
      <c r="G53" s="6">
        <v>0.12103848770709758</v>
      </c>
      <c r="H53" s="6">
        <v>7.6366945293680696E-2</v>
      </c>
      <c r="I53" s="6">
        <v>0.11887911299227648</v>
      </c>
      <c r="J53" s="6">
        <v>0.21051194394509534</v>
      </c>
      <c r="K53" s="6">
        <v>0.21270414499224094</v>
      </c>
      <c r="L53" s="6">
        <v>0.12110350367704607</v>
      </c>
      <c r="M53" s="6">
        <v>0.16887427031927379</v>
      </c>
      <c r="N53" s="6">
        <v>0.12164197649228822</v>
      </c>
      <c r="O53" s="6">
        <v>0.11925751896072956</v>
      </c>
      <c r="P53" s="6">
        <v>3.3286418356493243E-2</v>
      </c>
      <c r="Q53" s="6">
        <v>0.19750946697386634</v>
      </c>
      <c r="R53" s="6">
        <v>0.31990284363456695</v>
      </c>
      <c r="S53" s="6">
        <v>0.26139319375604131</v>
      </c>
      <c r="T53" s="6">
        <v>0.28030662087764191</v>
      </c>
      <c r="U53" s="6">
        <v>0.15666048315539319</v>
      </c>
      <c r="V53" s="6">
        <v>5.696084413627802E-2</v>
      </c>
      <c r="W53" s="6">
        <v>0.21808215138269099</v>
      </c>
      <c r="X53" s="6">
        <v>0.11266509459564743</v>
      </c>
      <c r="Y53" s="6">
        <v>0.11841584221314128</v>
      </c>
      <c r="Z53" s="6">
        <v>0.18639488771793755</v>
      </c>
      <c r="AA53" s="6">
        <v>0.21037724301523544</v>
      </c>
      <c r="AB53" s="6">
        <v>8.7880713020410089E-2</v>
      </c>
      <c r="AC53" s="6">
        <v>0.14641224907285288</v>
      </c>
      <c r="AD53" s="6">
        <v>0.13118177925624239</v>
      </c>
      <c r="AE53" s="6">
        <v>4.5440761010029855E-2</v>
      </c>
      <c r="AF53" s="6">
        <v>0.12081288463170756</v>
      </c>
      <c r="AG53" s="6">
        <v>0.13916350845656739</v>
      </c>
      <c r="AH53" s="6">
        <v>0.16321457749073376</v>
      </c>
      <c r="AI53" s="6">
        <v>5.3008166757607736E-2</v>
      </c>
      <c r="AJ53" s="6">
        <v>6.6668715661250488E-2</v>
      </c>
      <c r="AK53" s="6">
        <v>7.1244884167932343E-2</v>
      </c>
      <c r="AL53" s="6">
        <v>0.28281374320079999</v>
      </c>
      <c r="AM53" s="6">
        <v>9.4452908617266462E-2</v>
      </c>
      <c r="AN53" s="6">
        <v>9.6500671198635323E-3</v>
      </c>
      <c r="AO53" s="3"/>
      <c r="AP53" s="3">
        <f t="shared" si="2"/>
        <v>0.99999999627926262</v>
      </c>
      <c r="AQ53" s="3">
        <f t="shared" si="3"/>
        <v>0.99999999813963125</v>
      </c>
      <c r="AR53" s="3"/>
      <c r="AS53" s="3">
        <f t="shared" si="4"/>
        <v>6.2099752995147979E-2</v>
      </c>
      <c r="AT53" s="3">
        <f t="shared" si="5"/>
        <v>0.13014064097726363</v>
      </c>
      <c r="AU53" s="3">
        <f t="shared" si="6"/>
        <v>0.22234111822136216</v>
      </c>
      <c r="AV53" s="3">
        <f t="shared" si="7"/>
        <v>0.15289650686264714</v>
      </c>
      <c r="AW53" s="3">
        <f t="shared" si="8"/>
        <v>0.1709869350278721</v>
      </c>
      <c r="AX53" s="3">
        <f t="shared" si="9"/>
        <v>0.1210384879322738</v>
      </c>
      <c r="AY53" s="3">
        <f t="shared" si="10"/>
        <v>7.6366945435751371E-2</v>
      </c>
      <c r="AZ53" s="3">
        <f t="shared" si="11"/>
        <v>0.11887911321343547</v>
      </c>
      <c r="BA53" s="3">
        <f t="shared" si="12"/>
        <v>0.21051194433672518</v>
      </c>
      <c r="BB53" s="3">
        <f t="shared" si="13"/>
        <v>0.21270414538794907</v>
      </c>
      <c r="BC53" s="3">
        <f t="shared" si="14"/>
        <v>0.12110350390234324</v>
      </c>
      <c r="BD53" s="3">
        <f t="shared" si="15"/>
        <v>0.16887427063344221</v>
      </c>
      <c r="BE53" s="3">
        <f t="shared" si="16"/>
        <v>0.12164197671858716</v>
      </c>
      <c r="BF53" s="3">
        <f t="shared" si="17"/>
        <v>0.11925751918259252</v>
      </c>
      <c r="BG53" s="3">
        <f t="shared" si="18"/>
        <v>3.3286418418418257E-2</v>
      </c>
      <c r="BH53" s="3">
        <f t="shared" si="19"/>
        <v>0.19750946734130678</v>
      </c>
      <c r="BI53" s="3">
        <f t="shared" si="20"/>
        <v>0.31990284422970422</v>
      </c>
      <c r="BJ53" s="3">
        <f t="shared" si="21"/>
        <v>0.26139319424232904</v>
      </c>
      <c r="BK53" s="3">
        <f t="shared" si="22"/>
        <v>0.28030662139911561</v>
      </c>
      <c r="BL53" s="3">
        <f t="shared" si="23"/>
        <v>0.15666048344683944</v>
      </c>
      <c r="BM53" s="3">
        <f t="shared" si="24"/>
        <v>5.6960844242246192E-2</v>
      </c>
      <c r="BN53" s="3">
        <f t="shared" si="25"/>
        <v>0.2180821517884042</v>
      </c>
      <c r="BO53" s="3">
        <f t="shared" si="26"/>
        <v>0.11266509480524604</v>
      </c>
      <c r="BP53" s="3">
        <f t="shared" si="27"/>
        <v>0.1184158424334384</v>
      </c>
      <c r="BQ53" s="3">
        <f t="shared" si="28"/>
        <v>0.18639488806470078</v>
      </c>
      <c r="BR53" s="3">
        <f t="shared" si="29"/>
        <v>0.21037724340661471</v>
      </c>
      <c r="BS53" s="3">
        <f t="shared" si="30"/>
        <v>8.7880713183900616E-2</v>
      </c>
      <c r="BT53" s="3">
        <f t="shared" si="31"/>
        <v>0.14641224934523367</v>
      </c>
      <c r="BU53" s="3">
        <f t="shared" si="32"/>
        <v>0.13118177950028886</v>
      </c>
      <c r="BV53" s="3">
        <f t="shared" si="33"/>
        <v>4.5440761094566427E-2</v>
      </c>
      <c r="BW53" s="3">
        <f t="shared" si="34"/>
        <v>0.12081288485646408</v>
      </c>
      <c r="BX53" s="3">
        <f t="shared" si="35"/>
        <v>0.13916350871546282</v>
      </c>
      <c r="BY53" s="3">
        <f t="shared" si="36"/>
        <v>0.16321457779437307</v>
      </c>
      <c r="BZ53" s="3">
        <f t="shared" si="37"/>
        <v>5.300816685622247E-2</v>
      </c>
      <c r="CA53" s="3">
        <f t="shared" si="38"/>
        <v>6.6668715785278887E-2</v>
      </c>
      <c r="CB53" s="3">
        <f t="shared" si="39"/>
        <v>7.1244884300474098E-2</v>
      </c>
      <c r="CC53" s="3">
        <f t="shared" si="40"/>
        <v>0.28281374372693785</v>
      </c>
      <c r="CD53" s="3">
        <f t="shared" si="41"/>
        <v>9.4452908792983709E-2</v>
      </c>
      <c r="CE53" s="3">
        <f t="shared" si="42"/>
        <v>9.6500671378162151E-3</v>
      </c>
      <c r="CF53" s="3"/>
      <c r="CG53" s="3">
        <f t="shared" si="43"/>
        <v>1</v>
      </c>
      <c r="CH53" s="3">
        <f t="shared" si="44"/>
        <v>1</v>
      </c>
      <c r="CI53" s="3"/>
      <c r="CJ53" s="3">
        <f t="shared" si="45"/>
        <v>0.89235303472714544</v>
      </c>
    </row>
    <row r="54" spans="1:88" ht="14.4" x14ac:dyDescent="0.3">
      <c r="A54" t="s">
        <v>55</v>
      </c>
      <c r="B54" s="6">
        <v>6.2099752879619538E-2</v>
      </c>
      <c r="C54" s="6">
        <v>0.13014064073515405</v>
      </c>
      <c r="D54" s="6">
        <v>0.2223411178077257</v>
      </c>
      <c r="E54" s="6">
        <v>0.15289650657820325</v>
      </c>
      <c r="F54" s="6">
        <v>0.17098693470977336</v>
      </c>
      <c r="G54" s="6">
        <v>0.12103848770709758</v>
      </c>
      <c r="H54" s="6">
        <v>7.6366945293680696E-2</v>
      </c>
      <c r="I54" s="6">
        <v>0.11887911299227648</v>
      </c>
      <c r="J54" s="6">
        <v>0.21051194394509534</v>
      </c>
      <c r="K54" s="6">
        <v>0.21270414499224094</v>
      </c>
      <c r="L54" s="6">
        <v>0.12110350367704607</v>
      </c>
      <c r="M54" s="6">
        <v>0.16887427031927379</v>
      </c>
      <c r="N54" s="6">
        <v>0.12164197649228822</v>
      </c>
      <c r="O54" s="6">
        <v>0.11925751896072956</v>
      </c>
      <c r="P54" s="6">
        <v>3.3286418356493243E-2</v>
      </c>
      <c r="Q54" s="6">
        <v>0.19750946697386634</v>
      </c>
      <c r="R54" s="6">
        <v>0.31990284363456695</v>
      </c>
      <c r="S54" s="6">
        <v>0.26139319375604131</v>
      </c>
      <c r="T54" s="6">
        <v>0.28030662087764191</v>
      </c>
      <c r="U54" s="6">
        <v>0.15666048315539319</v>
      </c>
      <c r="V54" s="6">
        <v>5.696084413627802E-2</v>
      </c>
      <c r="W54" s="6">
        <v>0.21808215138269099</v>
      </c>
      <c r="X54" s="6">
        <v>0.11266509459564743</v>
      </c>
      <c r="Y54" s="6">
        <v>0.11841584221314128</v>
      </c>
      <c r="Z54" s="6">
        <v>0.18639488771793755</v>
      </c>
      <c r="AA54" s="6">
        <v>0.21037724301523544</v>
      </c>
      <c r="AB54" s="6">
        <v>8.7880713020410089E-2</v>
      </c>
      <c r="AC54" s="6">
        <v>0.14641224907285288</v>
      </c>
      <c r="AD54" s="6">
        <v>0.13118177925624239</v>
      </c>
      <c r="AE54" s="6">
        <v>4.5440761010029855E-2</v>
      </c>
      <c r="AF54" s="6">
        <v>0.12081288463170756</v>
      </c>
      <c r="AG54" s="6">
        <v>0.13916350845656739</v>
      </c>
      <c r="AH54" s="6">
        <v>0.16321457749073376</v>
      </c>
      <c r="AI54" s="6">
        <v>5.3008166757607736E-2</v>
      </c>
      <c r="AJ54" s="6">
        <v>6.6668715661250488E-2</v>
      </c>
      <c r="AK54" s="6">
        <v>7.1244884167932343E-2</v>
      </c>
      <c r="AL54" s="6">
        <v>0.28281374320079999</v>
      </c>
      <c r="AM54" s="6">
        <v>9.4452908617266462E-2</v>
      </c>
      <c r="AN54" s="6">
        <v>9.6500671198635323E-3</v>
      </c>
      <c r="AP54">
        <f t="shared" si="2"/>
        <v>0.99999999627926262</v>
      </c>
      <c r="AQ54">
        <f t="shared" si="3"/>
        <v>0.99999999813963125</v>
      </c>
      <c r="AS54">
        <f t="shared" si="4"/>
        <v>6.2099752995147979E-2</v>
      </c>
      <c r="AT54">
        <f t="shared" si="5"/>
        <v>0.13014064097726363</v>
      </c>
      <c r="AU54">
        <f t="shared" si="6"/>
        <v>0.22234111822136216</v>
      </c>
      <c r="AV54">
        <f t="shared" si="7"/>
        <v>0.15289650686264714</v>
      </c>
      <c r="AW54">
        <f t="shared" si="8"/>
        <v>0.1709869350278721</v>
      </c>
      <c r="AX54">
        <f t="shared" si="9"/>
        <v>0.1210384879322738</v>
      </c>
      <c r="AY54">
        <f t="shared" si="10"/>
        <v>7.6366945435751371E-2</v>
      </c>
      <c r="AZ54">
        <f t="shared" si="11"/>
        <v>0.11887911321343547</v>
      </c>
      <c r="BA54">
        <f t="shared" si="12"/>
        <v>0.21051194433672518</v>
      </c>
      <c r="BB54">
        <f t="shared" si="13"/>
        <v>0.21270414538794907</v>
      </c>
      <c r="BC54">
        <f t="shared" si="14"/>
        <v>0.12110350390234324</v>
      </c>
      <c r="BD54">
        <f t="shared" si="15"/>
        <v>0.16887427063344221</v>
      </c>
      <c r="BE54">
        <f t="shared" si="16"/>
        <v>0.12164197671858716</v>
      </c>
      <c r="BF54">
        <f t="shared" si="17"/>
        <v>0.11925751918259252</v>
      </c>
      <c r="BG54">
        <f t="shared" si="18"/>
        <v>3.3286418418418257E-2</v>
      </c>
      <c r="BH54">
        <f t="shared" si="19"/>
        <v>0.19750946734130678</v>
      </c>
      <c r="BI54">
        <f t="shared" si="20"/>
        <v>0.31990284422970422</v>
      </c>
      <c r="BJ54">
        <f t="shared" si="21"/>
        <v>0.26139319424232904</v>
      </c>
      <c r="BK54">
        <f t="shared" si="22"/>
        <v>0.28030662139911561</v>
      </c>
      <c r="BL54">
        <f t="shared" si="23"/>
        <v>0.15666048344683944</v>
      </c>
      <c r="BM54">
        <f t="shared" si="24"/>
        <v>5.6960844242246192E-2</v>
      </c>
      <c r="BN54">
        <f t="shared" si="25"/>
        <v>0.2180821517884042</v>
      </c>
      <c r="BO54">
        <f t="shared" si="26"/>
        <v>0.11266509480524604</v>
      </c>
      <c r="BP54">
        <f t="shared" si="27"/>
        <v>0.1184158424334384</v>
      </c>
      <c r="BQ54">
        <f t="shared" si="28"/>
        <v>0.18639488806470078</v>
      </c>
      <c r="BR54">
        <f t="shared" si="29"/>
        <v>0.21037724340661471</v>
      </c>
      <c r="BS54">
        <f t="shared" si="30"/>
        <v>8.7880713183900616E-2</v>
      </c>
      <c r="BT54">
        <f t="shared" si="31"/>
        <v>0.14641224934523367</v>
      </c>
      <c r="BU54">
        <f t="shared" si="32"/>
        <v>0.13118177950028886</v>
      </c>
      <c r="BV54">
        <f t="shared" si="33"/>
        <v>4.5440761094566427E-2</v>
      </c>
      <c r="BW54">
        <f t="shared" si="34"/>
        <v>0.12081288485646408</v>
      </c>
      <c r="BX54">
        <f t="shared" si="35"/>
        <v>0.13916350871546282</v>
      </c>
      <c r="BY54">
        <f t="shared" si="36"/>
        <v>0.16321457779437307</v>
      </c>
      <c r="BZ54">
        <f t="shared" si="37"/>
        <v>5.300816685622247E-2</v>
      </c>
      <c r="CA54">
        <f t="shared" si="38"/>
        <v>6.6668715785278887E-2</v>
      </c>
      <c r="CB54">
        <f t="shared" si="39"/>
        <v>7.1244884300474098E-2</v>
      </c>
      <c r="CC54">
        <f t="shared" si="40"/>
        <v>0.28281374372693785</v>
      </c>
      <c r="CD54">
        <f t="shared" si="41"/>
        <v>9.4452908792983709E-2</v>
      </c>
      <c r="CE54">
        <f t="shared" si="42"/>
        <v>9.6500671378162151E-3</v>
      </c>
      <c r="CG54">
        <f t="shared" si="43"/>
        <v>1</v>
      </c>
      <c r="CH54">
        <f t="shared" si="44"/>
        <v>1</v>
      </c>
      <c r="CJ54">
        <f t="shared" si="45"/>
        <v>0.89235303472714544</v>
      </c>
    </row>
    <row r="55" spans="1:88" ht="14.4" x14ac:dyDescent="0.3">
      <c r="A55" t="s">
        <v>56</v>
      </c>
      <c r="B55" s="6">
        <v>6.2099752879619538E-2</v>
      </c>
      <c r="C55" s="6">
        <v>0.13014064073515405</v>
      </c>
      <c r="D55" s="6">
        <v>0.2223411178077257</v>
      </c>
      <c r="E55" s="6">
        <v>0.15289650657820325</v>
      </c>
      <c r="F55" s="6">
        <v>0.17098693470977336</v>
      </c>
      <c r="G55" s="6">
        <v>0.12103848770709758</v>
      </c>
      <c r="H55" s="6">
        <v>7.6366945293680696E-2</v>
      </c>
      <c r="I55" s="6">
        <v>0.11887911299227648</v>
      </c>
      <c r="J55" s="6">
        <v>0.21051194394509534</v>
      </c>
      <c r="K55" s="6">
        <v>0.21270414499224094</v>
      </c>
      <c r="L55" s="6">
        <v>0.12110350367704607</v>
      </c>
      <c r="M55" s="6">
        <v>0.16887427031927379</v>
      </c>
      <c r="N55" s="6">
        <v>0.12164197649228822</v>
      </c>
      <c r="O55" s="6">
        <v>0.11925751896072956</v>
      </c>
      <c r="P55" s="6">
        <v>3.3286418356493243E-2</v>
      </c>
      <c r="Q55" s="6">
        <v>0.19750946697386634</v>
      </c>
      <c r="R55" s="6">
        <v>0.31990284363456695</v>
      </c>
      <c r="S55" s="6">
        <v>0.26139319375604131</v>
      </c>
      <c r="T55" s="6">
        <v>0.28030662087764191</v>
      </c>
      <c r="U55" s="6">
        <v>0.15666048315539319</v>
      </c>
      <c r="V55" s="6">
        <v>5.696084413627802E-2</v>
      </c>
      <c r="W55" s="6">
        <v>0.21808215138269099</v>
      </c>
      <c r="X55" s="6">
        <v>0.11266509459564743</v>
      </c>
      <c r="Y55" s="6">
        <v>0.11841584221314128</v>
      </c>
      <c r="Z55" s="6">
        <v>0.18639488771793755</v>
      </c>
      <c r="AA55" s="6">
        <v>0.21037724301523544</v>
      </c>
      <c r="AB55" s="6">
        <v>8.7880713020410089E-2</v>
      </c>
      <c r="AC55" s="6">
        <v>0.14641224907285288</v>
      </c>
      <c r="AD55" s="6">
        <v>0.13118177925624239</v>
      </c>
      <c r="AE55" s="6">
        <v>4.5440761010029855E-2</v>
      </c>
      <c r="AF55" s="6">
        <v>0.12081288463170756</v>
      </c>
      <c r="AG55" s="6">
        <v>0.13916350845656739</v>
      </c>
      <c r="AH55" s="6">
        <v>0.16321457749073376</v>
      </c>
      <c r="AI55" s="6">
        <v>5.3008166757607736E-2</v>
      </c>
      <c r="AJ55" s="6">
        <v>6.6668715661250488E-2</v>
      </c>
      <c r="AK55" s="6">
        <v>7.1244884167932343E-2</v>
      </c>
      <c r="AL55" s="6">
        <v>0.28281374320079999</v>
      </c>
      <c r="AM55" s="6">
        <v>9.4452908617266462E-2</v>
      </c>
      <c r="AN55" s="6">
        <v>9.6500671198635323E-3</v>
      </c>
      <c r="AP55">
        <f t="shared" si="2"/>
        <v>0.99999999627926262</v>
      </c>
      <c r="AQ55">
        <f t="shared" si="3"/>
        <v>0.99999999813963125</v>
      </c>
      <c r="AS55">
        <f t="shared" si="4"/>
        <v>6.2099752995147979E-2</v>
      </c>
      <c r="AT55">
        <f t="shared" si="5"/>
        <v>0.13014064097726363</v>
      </c>
      <c r="AU55">
        <f t="shared" si="6"/>
        <v>0.22234111822136216</v>
      </c>
      <c r="AV55">
        <f t="shared" si="7"/>
        <v>0.15289650686264714</v>
      </c>
      <c r="AW55">
        <f t="shared" si="8"/>
        <v>0.1709869350278721</v>
      </c>
      <c r="AX55">
        <f t="shared" si="9"/>
        <v>0.1210384879322738</v>
      </c>
      <c r="AY55">
        <f t="shared" si="10"/>
        <v>7.6366945435751371E-2</v>
      </c>
      <c r="AZ55">
        <f t="shared" si="11"/>
        <v>0.11887911321343547</v>
      </c>
      <c r="BA55">
        <f t="shared" si="12"/>
        <v>0.21051194433672518</v>
      </c>
      <c r="BB55">
        <f t="shared" si="13"/>
        <v>0.21270414538794907</v>
      </c>
      <c r="BC55">
        <f t="shared" si="14"/>
        <v>0.12110350390234324</v>
      </c>
      <c r="BD55">
        <f t="shared" si="15"/>
        <v>0.16887427063344221</v>
      </c>
      <c r="BE55">
        <f t="shared" si="16"/>
        <v>0.12164197671858716</v>
      </c>
      <c r="BF55">
        <f t="shared" si="17"/>
        <v>0.11925751918259252</v>
      </c>
      <c r="BG55">
        <f t="shared" si="18"/>
        <v>3.3286418418418257E-2</v>
      </c>
      <c r="BH55">
        <f t="shared" si="19"/>
        <v>0.19750946734130678</v>
      </c>
      <c r="BI55">
        <f t="shared" si="20"/>
        <v>0.31990284422970422</v>
      </c>
      <c r="BJ55">
        <f t="shared" si="21"/>
        <v>0.26139319424232904</v>
      </c>
      <c r="BK55">
        <f t="shared" si="22"/>
        <v>0.28030662139911561</v>
      </c>
      <c r="BL55">
        <f t="shared" si="23"/>
        <v>0.15666048344683944</v>
      </c>
      <c r="BM55">
        <f t="shared" si="24"/>
        <v>5.6960844242246192E-2</v>
      </c>
      <c r="BN55">
        <f t="shared" si="25"/>
        <v>0.2180821517884042</v>
      </c>
      <c r="BO55">
        <f t="shared" si="26"/>
        <v>0.11266509480524604</v>
      </c>
      <c r="BP55">
        <f t="shared" si="27"/>
        <v>0.1184158424334384</v>
      </c>
      <c r="BQ55">
        <f t="shared" si="28"/>
        <v>0.18639488806470078</v>
      </c>
      <c r="BR55">
        <f t="shared" si="29"/>
        <v>0.21037724340661471</v>
      </c>
      <c r="BS55">
        <f t="shared" si="30"/>
        <v>8.7880713183900616E-2</v>
      </c>
      <c r="BT55">
        <f t="shared" si="31"/>
        <v>0.14641224934523367</v>
      </c>
      <c r="BU55">
        <f t="shared" si="32"/>
        <v>0.13118177950028886</v>
      </c>
      <c r="BV55">
        <f t="shared" si="33"/>
        <v>4.5440761094566427E-2</v>
      </c>
      <c r="BW55">
        <f t="shared" si="34"/>
        <v>0.12081288485646408</v>
      </c>
      <c r="BX55">
        <f t="shared" si="35"/>
        <v>0.13916350871546282</v>
      </c>
      <c r="BY55">
        <f t="shared" si="36"/>
        <v>0.16321457779437307</v>
      </c>
      <c r="BZ55">
        <f t="shared" si="37"/>
        <v>5.300816685622247E-2</v>
      </c>
      <c r="CA55">
        <f t="shared" si="38"/>
        <v>6.6668715785278887E-2</v>
      </c>
      <c r="CB55">
        <f t="shared" si="39"/>
        <v>7.1244884300474098E-2</v>
      </c>
      <c r="CC55">
        <f t="shared" si="40"/>
        <v>0.28281374372693785</v>
      </c>
      <c r="CD55">
        <f t="shared" si="41"/>
        <v>9.4452908792983709E-2</v>
      </c>
      <c r="CE55">
        <f t="shared" si="42"/>
        <v>9.6500671378162151E-3</v>
      </c>
      <c r="CG55">
        <f t="shared" si="43"/>
        <v>1</v>
      </c>
      <c r="CH55">
        <f t="shared" si="44"/>
        <v>1</v>
      </c>
      <c r="CJ55">
        <f t="shared" si="45"/>
        <v>0.89235303472714544</v>
      </c>
    </row>
    <row r="56" spans="1:88" ht="14.4" x14ac:dyDescent="0.3">
      <c r="A56" t="s">
        <v>57</v>
      </c>
      <c r="B56" s="6">
        <v>6.2099752879619538E-2</v>
      </c>
      <c r="C56" s="6">
        <v>0.13014064073515405</v>
      </c>
      <c r="D56" s="6">
        <v>0.2223411178077257</v>
      </c>
      <c r="E56" s="6">
        <v>0.15289650657820325</v>
      </c>
      <c r="F56" s="6">
        <v>0.17098693470977336</v>
      </c>
      <c r="G56" s="6">
        <v>0.12103848770709758</v>
      </c>
      <c r="H56" s="6">
        <v>7.6366945293680696E-2</v>
      </c>
      <c r="I56" s="6">
        <v>0.11887911299227648</v>
      </c>
      <c r="J56" s="6">
        <v>0.21051194394509534</v>
      </c>
      <c r="K56" s="6">
        <v>0.21270414499224094</v>
      </c>
      <c r="L56" s="6">
        <v>0.12110350367704607</v>
      </c>
      <c r="M56" s="6">
        <v>0.16887427031927379</v>
      </c>
      <c r="N56" s="6">
        <v>0.12164197649228822</v>
      </c>
      <c r="O56" s="6">
        <v>0.11925751896072956</v>
      </c>
      <c r="P56" s="6">
        <v>3.3286418356493243E-2</v>
      </c>
      <c r="Q56" s="6">
        <v>0.19750946697386634</v>
      </c>
      <c r="R56" s="6">
        <v>0.31990284363456695</v>
      </c>
      <c r="S56" s="6">
        <v>0.26139319375604131</v>
      </c>
      <c r="T56" s="6">
        <v>0.28030662087764191</v>
      </c>
      <c r="U56" s="6">
        <v>0.15666048315539319</v>
      </c>
      <c r="V56" s="6">
        <v>5.696084413627802E-2</v>
      </c>
      <c r="W56" s="6">
        <v>0.21808215138269099</v>
      </c>
      <c r="X56" s="6">
        <v>0.11266509459564743</v>
      </c>
      <c r="Y56" s="6">
        <v>0.11841584221314128</v>
      </c>
      <c r="Z56" s="6">
        <v>0.18639488771793755</v>
      </c>
      <c r="AA56" s="6">
        <v>0.21037724301523544</v>
      </c>
      <c r="AB56" s="6">
        <v>8.7880713020410089E-2</v>
      </c>
      <c r="AC56" s="6">
        <v>0.14641224907285288</v>
      </c>
      <c r="AD56" s="6">
        <v>0.13118177925624239</v>
      </c>
      <c r="AE56" s="6">
        <v>4.5440761010029855E-2</v>
      </c>
      <c r="AF56" s="6">
        <v>0.12081288463170756</v>
      </c>
      <c r="AG56" s="6">
        <v>0.13916350845656739</v>
      </c>
      <c r="AH56" s="6">
        <v>0.16321457749073376</v>
      </c>
      <c r="AI56" s="6">
        <v>5.3008166757607736E-2</v>
      </c>
      <c r="AJ56" s="6">
        <v>6.6668715661250488E-2</v>
      </c>
      <c r="AK56" s="6">
        <v>7.1244884167932343E-2</v>
      </c>
      <c r="AL56" s="6">
        <v>0.28281374320079999</v>
      </c>
      <c r="AM56" s="6">
        <v>9.4452908617266462E-2</v>
      </c>
      <c r="AN56" s="6">
        <v>9.6500671198635323E-3</v>
      </c>
      <c r="AP56">
        <f t="shared" si="2"/>
        <v>0.99999999627926262</v>
      </c>
      <c r="AQ56">
        <f t="shared" si="3"/>
        <v>0.99999999813963125</v>
      </c>
      <c r="AS56">
        <f t="shared" si="4"/>
        <v>6.2099752995147979E-2</v>
      </c>
      <c r="AT56">
        <f t="shared" si="5"/>
        <v>0.13014064097726363</v>
      </c>
      <c r="AU56">
        <f t="shared" si="6"/>
        <v>0.22234111822136216</v>
      </c>
      <c r="AV56">
        <f t="shared" si="7"/>
        <v>0.15289650686264714</v>
      </c>
      <c r="AW56">
        <f t="shared" si="8"/>
        <v>0.1709869350278721</v>
      </c>
      <c r="AX56">
        <f t="shared" si="9"/>
        <v>0.1210384879322738</v>
      </c>
      <c r="AY56">
        <f t="shared" si="10"/>
        <v>7.6366945435751371E-2</v>
      </c>
      <c r="AZ56">
        <f t="shared" si="11"/>
        <v>0.11887911321343547</v>
      </c>
      <c r="BA56">
        <f t="shared" si="12"/>
        <v>0.21051194433672518</v>
      </c>
      <c r="BB56">
        <f t="shared" si="13"/>
        <v>0.21270414538794907</v>
      </c>
      <c r="BC56">
        <f t="shared" si="14"/>
        <v>0.12110350390234324</v>
      </c>
      <c r="BD56">
        <f t="shared" si="15"/>
        <v>0.16887427063344221</v>
      </c>
      <c r="BE56">
        <f t="shared" si="16"/>
        <v>0.12164197671858716</v>
      </c>
      <c r="BF56">
        <f t="shared" si="17"/>
        <v>0.11925751918259252</v>
      </c>
      <c r="BG56">
        <f t="shared" si="18"/>
        <v>3.3286418418418257E-2</v>
      </c>
      <c r="BH56">
        <f t="shared" si="19"/>
        <v>0.19750946734130678</v>
      </c>
      <c r="BI56">
        <f t="shared" si="20"/>
        <v>0.31990284422970422</v>
      </c>
      <c r="BJ56">
        <f t="shared" si="21"/>
        <v>0.26139319424232904</v>
      </c>
      <c r="BK56">
        <f t="shared" si="22"/>
        <v>0.28030662139911561</v>
      </c>
      <c r="BL56">
        <f t="shared" si="23"/>
        <v>0.15666048344683944</v>
      </c>
      <c r="BM56">
        <f t="shared" si="24"/>
        <v>5.6960844242246192E-2</v>
      </c>
      <c r="BN56">
        <f t="shared" si="25"/>
        <v>0.2180821517884042</v>
      </c>
      <c r="BO56">
        <f t="shared" si="26"/>
        <v>0.11266509480524604</v>
      </c>
      <c r="BP56">
        <f t="shared" si="27"/>
        <v>0.1184158424334384</v>
      </c>
      <c r="BQ56">
        <f t="shared" si="28"/>
        <v>0.18639488806470078</v>
      </c>
      <c r="BR56">
        <f t="shared" si="29"/>
        <v>0.21037724340661471</v>
      </c>
      <c r="BS56">
        <f t="shared" si="30"/>
        <v>8.7880713183900616E-2</v>
      </c>
      <c r="BT56">
        <f t="shared" si="31"/>
        <v>0.14641224934523367</v>
      </c>
      <c r="BU56">
        <f t="shared" si="32"/>
        <v>0.13118177950028886</v>
      </c>
      <c r="BV56">
        <f t="shared" si="33"/>
        <v>4.5440761094566427E-2</v>
      </c>
      <c r="BW56">
        <f t="shared" si="34"/>
        <v>0.12081288485646408</v>
      </c>
      <c r="BX56">
        <f t="shared" si="35"/>
        <v>0.13916350871546282</v>
      </c>
      <c r="BY56">
        <f t="shared" si="36"/>
        <v>0.16321457779437307</v>
      </c>
      <c r="BZ56">
        <f t="shared" si="37"/>
        <v>5.300816685622247E-2</v>
      </c>
      <c r="CA56">
        <f t="shared" si="38"/>
        <v>6.6668715785278887E-2</v>
      </c>
      <c r="CB56">
        <f t="shared" si="39"/>
        <v>7.1244884300474098E-2</v>
      </c>
      <c r="CC56">
        <f t="shared" si="40"/>
        <v>0.28281374372693785</v>
      </c>
      <c r="CD56">
        <f t="shared" si="41"/>
        <v>9.4452908792983709E-2</v>
      </c>
      <c r="CE56">
        <f t="shared" si="42"/>
        <v>9.6500671378162151E-3</v>
      </c>
      <c r="CG56">
        <f t="shared" si="43"/>
        <v>1</v>
      </c>
      <c r="CH56">
        <f t="shared" si="44"/>
        <v>1</v>
      </c>
      <c r="CJ56">
        <f t="shared" si="45"/>
        <v>0.89235303472714544</v>
      </c>
    </row>
    <row r="57" spans="1:88" ht="14.4" x14ac:dyDescent="0.3">
      <c r="A57" t="s">
        <v>58</v>
      </c>
      <c r="B57" s="6">
        <v>6.2099752879619538E-2</v>
      </c>
      <c r="C57" s="6">
        <v>0.13014064073515405</v>
      </c>
      <c r="D57" s="6">
        <v>0.2223411178077257</v>
      </c>
      <c r="E57" s="6">
        <v>0.15289650657820325</v>
      </c>
      <c r="F57" s="6">
        <v>0.17098693470977336</v>
      </c>
      <c r="G57" s="6">
        <v>0.12103848770709758</v>
      </c>
      <c r="H57" s="6">
        <v>7.6366945293680696E-2</v>
      </c>
      <c r="I57" s="6">
        <v>0.11887911299227648</v>
      </c>
      <c r="J57" s="6">
        <v>0.21051194394509534</v>
      </c>
      <c r="K57" s="6">
        <v>0.21270414499224094</v>
      </c>
      <c r="L57" s="6">
        <v>0.12110350367704607</v>
      </c>
      <c r="M57" s="6">
        <v>0.16887427031927379</v>
      </c>
      <c r="N57" s="6">
        <v>0.12164197649228822</v>
      </c>
      <c r="O57" s="6">
        <v>0.11925751896072956</v>
      </c>
      <c r="P57" s="6">
        <v>3.3286418356493243E-2</v>
      </c>
      <c r="Q57" s="6">
        <v>0.19750946697386634</v>
      </c>
      <c r="R57" s="6">
        <v>0.31990284363456695</v>
      </c>
      <c r="S57" s="6">
        <v>0.26139319375604131</v>
      </c>
      <c r="T57" s="6">
        <v>0.28030662087764191</v>
      </c>
      <c r="U57" s="6">
        <v>0.15666048315539319</v>
      </c>
      <c r="V57" s="6">
        <v>5.696084413627802E-2</v>
      </c>
      <c r="W57" s="6">
        <v>0.21808215138269099</v>
      </c>
      <c r="X57" s="6">
        <v>0.11266509459564743</v>
      </c>
      <c r="Y57" s="6">
        <v>0.11841584221314128</v>
      </c>
      <c r="Z57" s="6">
        <v>0.18639488771793755</v>
      </c>
      <c r="AA57" s="6">
        <v>0.21037724301523544</v>
      </c>
      <c r="AB57" s="6">
        <v>8.7880713020410089E-2</v>
      </c>
      <c r="AC57" s="6">
        <v>0.14641224907285288</v>
      </c>
      <c r="AD57" s="6">
        <v>0.13118177925624239</v>
      </c>
      <c r="AE57" s="6">
        <v>4.5440761010029855E-2</v>
      </c>
      <c r="AF57" s="6">
        <v>0.12081288463170756</v>
      </c>
      <c r="AG57" s="6">
        <v>0.13916350845656739</v>
      </c>
      <c r="AH57" s="6">
        <v>0.16321457749073376</v>
      </c>
      <c r="AI57" s="6">
        <v>5.3008166757607736E-2</v>
      </c>
      <c r="AJ57" s="6">
        <v>6.6668715661250488E-2</v>
      </c>
      <c r="AK57" s="6">
        <v>7.1244884167932343E-2</v>
      </c>
      <c r="AL57" s="6">
        <v>0.28281374320079999</v>
      </c>
      <c r="AM57" s="6">
        <v>9.4452908617266462E-2</v>
      </c>
      <c r="AN57" s="6">
        <v>9.6500671198635323E-3</v>
      </c>
      <c r="AP57">
        <f t="shared" si="2"/>
        <v>0.99999999627926262</v>
      </c>
      <c r="AQ57">
        <f t="shared" si="3"/>
        <v>0.99999999813963125</v>
      </c>
      <c r="AS57">
        <f t="shared" si="4"/>
        <v>6.2099752995147979E-2</v>
      </c>
      <c r="AT57">
        <f t="shared" si="5"/>
        <v>0.13014064097726363</v>
      </c>
      <c r="AU57">
        <f t="shared" si="6"/>
        <v>0.22234111822136216</v>
      </c>
      <c r="AV57">
        <f t="shared" si="7"/>
        <v>0.15289650686264714</v>
      </c>
      <c r="AW57">
        <f t="shared" si="8"/>
        <v>0.1709869350278721</v>
      </c>
      <c r="AX57">
        <f t="shared" si="9"/>
        <v>0.1210384879322738</v>
      </c>
      <c r="AY57">
        <f t="shared" si="10"/>
        <v>7.6366945435751371E-2</v>
      </c>
      <c r="AZ57">
        <f t="shared" si="11"/>
        <v>0.11887911321343547</v>
      </c>
      <c r="BA57">
        <f t="shared" si="12"/>
        <v>0.21051194433672518</v>
      </c>
      <c r="BB57">
        <f t="shared" si="13"/>
        <v>0.21270414538794907</v>
      </c>
      <c r="BC57">
        <f t="shared" si="14"/>
        <v>0.12110350390234324</v>
      </c>
      <c r="BD57">
        <f t="shared" si="15"/>
        <v>0.16887427063344221</v>
      </c>
      <c r="BE57">
        <f t="shared" si="16"/>
        <v>0.12164197671858716</v>
      </c>
      <c r="BF57">
        <f t="shared" si="17"/>
        <v>0.11925751918259252</v>
      </c>
      <c r="BG57">
        <f t="shared" si="18"/>
        <v>3.3286418418418257E-2</v>
      </c>
      <c r="BH57">
        <f t="shared" si="19"/>
        <v>0.19750946734130678</v>
      </c>
      <c r="BI57">
        <f t="shared" si="20"/>
        <v>0.31990284422970422</v>
      </c>
      <c r="BJ57">
        <f t="shared" si="21"/>
        <v>0.26139319424232904</v>
      </c>
      <c r="BK57">
        <f t="shared" si="22"/>
        <v>0.28030662139911561</v>
      </c>
      <c r="BL57">
        <f t="shared" si="23"/>
        <v>0.15666048344683944</v>
      </c>
      <c r="BM57">
        <f t="shared" si="24"/>
        <v>5.6960844242246192E-2</v>
      </c>
      <c r="BN57">
        <f t="shared" si="25"/>
        <v>0.2180821517884042</v>
      </c>
      <c r="BO57">
        <f t="shared" si="26"/>
        <v>0.11266509480524604</v>
      </c>
      <c r="BP57">
        <f t="shared" si="27"/>
        <v>0.1184158424334384</v>
      </c>
      <c r="BQ57">
        <f t="shared" si="28"/>
        <v>0.18639488806470078</v>
      </c>
      <c r="BR57">
        <f t="shared" si="29"/>
        <v>0.21037724340661471</v>
      </c>
      <c r="BS57">
        <f t="shared" si="30"/>
        <v>8.7880713183900616E-2</v>
      </c>
      <c r="BT57">
        <f t="shared" si="31"/>
        <v>0.14641224934523367</v>
      </c>
      <c r="BU57">
        <f t="shared" si="32"/>
        <v>0.13118177950028886</v>
      </c>
      <c r="BV57">
        <f t="shared" si="33"/>
        <v>4.5440761094566427E-2</v>
      </c>
      <c r="BW57">
        <f t="shared" si="34"/>
        <v>0.12081288485646408</v>
      </c>
      <c r="BX57">
        <f t="shared" si="35"/>
        <v>0.13916350871546282</v>
      </c>
      <c r="BY57">
        <f t="shared" si="36"/>
        <v>0.16321457779437307</v>
      </c>
      <c r="BZ57">
        <f t="shared" si="37"/>
        <v>5.300816685622247E-2</v>
      </c>
      <c r="CA57">
        <f t="shared" si="38"/>
        <v>6.6668715785278887E-2</v>
      </c>
      <c r="CB57">
        <f t="shared" si="39"/>
        <v>7.1244884300474098E-2</v>
      </c>
      <c r="CC57">
        <f t="shared" si="40"/>
        <v>0.28281374372693785</v>
      </c>
      <c r="CD57">
        <f t="shared" si="41"/>
        <v>9.4452908792983709E-2</v>
      </c>
      <c r="CE57">
        <f t="shared" si="42"/>
        <v>9.6500671378162151E-3</v>
      </c>
      <c r="CG57">
        <f t="shared" si="43"/>
        <v>1</v>
      </c>
      <c r="CH57">
        <f t="shared" si="44"/>
        <v>1</v>
      </c>
      <c r="CJ57">
        <f t="shared" si="45"/>
        <v>0.89235303472714544</v>
      </c>
    </row>
    <row r="58" spans="1:88" ht="14.4" x14ac:dyDescent="0.3">
      <c r="A58" t="s">
        <v>59</v>
      </c>
      <c r="B58" s="6">
        <v>6.2099752879619538E-2</v>
      </c>
      <c r="C58" s="6">
        <v>0.13014064073515405</v>
      </c>
      <c r="D58" s="6">
        <v>0.2223411178077257</v>
      </c>
      <c r="E58" s="6">
        <v>0.15289650657820325</v>
      </c>
      <c r="F58" s="6">
        <v>0.17098693470977336</v>
      </c>
      <c r="G58" s="6">
        <v>0.12103848770709758</v>
      </c>
      <c r="H58" s="6">
        <v>7.6366945293680696E-2</v>
      </c>
      <c r="I58" s="6">
        <v>0.11887911299227648</v>
      </c>
      <c r="J58" s="6">
        <v>0.21051194394509534</v>
      </c>
      <c r="K58" s="6">
        <v>0.21270414499224094</v>
      </c>
      <c r="L58" s="6">
        <v>0.12110350367704607</v>
      </c>
      <c r="M58" s="6">
        <v>0.16887427031927379</v>
      </c>
      <c r="N58" s="6">
        <v>0.12164197649228822</v>
      </c>
      <c r="O58" s="6">
        <v>0.11925751896072956</v>
      </c>
      <c r="P58" s="6">
        <v>3.3286418356493243E-2</v>
      </c>
      <c r="Q58" s="6">
        <v>0.19750946697386634</v>
      </c>
      <c r="R58" s="6">
        <v>0.31990284363456695</v>
      </c>
      <c r="S58" s="6">
        <v>0.26139319375604131</v>
      </c>
      <c r="T58" s="6">
        <v>0.28030662087764191</v>
      </c>
      <c r="U58" s="6">
        <v>0.15666048315539319</v>
      </c>
      <c r="V58" s="6">
        <v>5.696084413627802E-2</v>
      </c>
      <c r="W58" s="6">
        <v>0.21808215138269099</v>
      </c>
      <c r="X58" s="6">
        <v>0.11266509459564743</v>
      </c>
      <c r="Y58" s="6">
        <v>0.11841584221314128</v>
      </c>
      <c r="Z58" s="6">
        <v>0.18639488771793755</v>
      </c>
      <c r="AA58" s="6">
        <v>0.21037724301523544</v>
      </c>
      <c r="AB58" s="6">
        <v>8.7880713020410089E-2</v>
      </c>
      <c r="AC58" s="6">
        <v>0.14641224907285288</v>
      </c>
      <c r="AD58" s="6">
        <v>0.13118177925624239</v>
      </c>
      <c r="AE58" s="6">
        <v>4.5440761010029855E-2</v>
      </c>
      <c r="AF58" s="6">
        <v>0.12081288463170756</v>
      </c>
      <c r="AG58" s="6">
        <v>0.13916350845656739</v>
      </c>
      <c r="AH58" s="6">
        <v>0.16321457749073376</v>
      </c>
      <c r="AI58" s="6">
        <v>5.3008166757607736E-2</v>
      </c>
      <c r="AJ58" s="6">
        <v>6.6668715661250488E-2</v>
      </c>
      <c r="AK58" s="6">
        <v>7.1244884167932343E-2</v>
      </c>
      <c r="AL58" s="6">
        <v>0.28281374320079999</v>
      </c>
      <c r="AM58" s="6">
        <v>9.4452908617266462E-2</v>
      </c>
      <c r="AN58" s="6">
        <v>9.6500671198635323E-3</v>
      </c>
      <c r="AP58">
        <f t="shared" si="2"/>
        <v>0.99999999627926262</v>
      </c>
      <c r="AQ58">
        <f t="shared" si="3"/>
        <v>0.99999999813963125</v>
      </c>
      <c r="AS58">
        <f t="shared" si="4"/>
        <v>6.2099752995147979E-2</v>
      </c>
      <c r="AT58">
        <f t="shared" si="5"/>
        <v>0.13014064097726363</v>
      </c>
      <c r="AU58">
        <f t="shared" si="6"/>
        <v>0.22234111822136216</v>
      </c>
      <c r="AV58">
        <f t="shared" si="7"/>
        <v>0.15289650686264714</v>
      </c>
      <c r="AW58">
        <f t="shared" si="8"/>
        <v>0.1709869350278721</v>
      </c>
      <c r="AX58">
        <f t="shared" si="9"/>
        <v>0.1210384879322738</v>
      </c>
      <c r="AY58">
        <f t="shared" si="10"/>
        <v>7.6366945435751371E-2</v>
      </c>
      <c r="AZ58">
        <f t="shared" si="11"/>
        <v>0.11887911321343547</v>
      </c>
      <c r="BA58">
        <f t="shared" si="12"/>
        <v>0.21051194433672518</v>
      </c>
      <c r="BB58">
        <f t="shared" si="13"/>
        <v>0.21270414538794907</v>
      </c>
      <c r="BC58">
        <f t="shared" si="14"/>
        <v>0.12110350390234324</v>
      </c>
      <c r="BD58">
        <f t="shared" si="15"/>
        <v>0.16887427063344221</v>
      </c>
      <c r="BE58">
        <f t="shared" si="16"/>
        <v>0.12164197671858716</v>
      </c>
      <c r="BF58">
        <f t="shared" si="17"/>
        <v>0.11925751918259252</v>
      </c>
      <c r="BG58">
        <f t="shared" si="18"/>
        <v>3.3286418418418257E-2</v>
      </c>
      <c r="BH58">
        <f t="shared" si="19"/>
        <v>0.19750946734130678</v>
      </c>
      <c r="BI58">
        <f t="shared" si="20"/>
        <v>0.31990284422970422</v>
      </c>
      <c r="BJ58">
        <f t="shared" si="21"/>
        <v>0.26139319424232904</v>
      </c>
      <c r="BK58">
        <f t="shared" si="22"/>
        <v>0.28030662139911561</v>
      </c>
      <c r="BL58">
        <f t="shared" si="23"/>
        <v>0.15666048344683944</v>
      </c>
      <c r="BM58">
        <f t="shared" si="24"/>
        <v>5.6960844242246192E-2</v>
      </c>
      <c r="BN58">
        <f t="shared" si="25"/>
        <v>0.2180821517884042</v>
      </c>
      <c r="BO58">
        <f t="shared" si="26"/>
        <v>0.11266509480524604</v>
      </c>
      <c r="BP58">
        <f t="shared" si="27"/>
        <v>0.1184158424334384</v>
      </c>
      <c r="BQ58">
        <f t="shared" si="28"/>
        <v>0.18639488806470078</v>
      </c>
      <c r="BR58">
        <f t="shared" si="29"/>
        <v>0.21037724340661471</v>
      </c>
      <c r="BS58">
        <f t="shared" si="30"/>
        <v>8.7880713183900616E-2</v>
      </c>
      <c r="BT58">
        <f t="shared" si="31"/>
        <v>0.14641224934523367</v>
      </c>
      <c r="BU58">
        <f t="shared" si="32"/>
        <v>0.13118177950028886</v>
      </c>
      <c r="BV58">
        <f t="shared" si="33"/>
        <v>4.5440761094566427E-2</v>
      </c>
      <c r="BW58">
        <f t="shared" si="34"/>
        <v>0.12081288485646408</v>
      </c>
      <c r="BX58">
        <f t="shared" si="35"/>
        <v>0.13916350871546282</v>
      </c>
      <c r="BY58">
        <f t="shared" si="36"/>
        <v>0.16321457779437307</v>
      </c>
      <c r="BZ58">
        <f t="shared" si="37"/>
        <v>5.300816685622247E-2</v>
      </c>
      <c r="CA58">
        <f t="shared" si="38"/>
        <v>6.6668715785278887E-2</v>
      </c>
      <c r="CB58">
        <f t="shared" si="39"/>
        <v>7.1244884300474098E-2</v>
      </c>
      <c r="CC58">
        <f t="shared" si="40"/>
        <v>0.28281374372693785</v>
      </c>
      <c r="CD58">
        <f t="shared" si="41"/>
        <v>9.4452908792983709E-2</v>
      </c>
      <c r="CE58">
        <f t="shared" si="42"/>
        <v>9.6500671378162151E-3</v>
      </c>
      <c r="CG58">
        <f t="shared" si="43"/>
        <v>1</v>
      </c>
      <c r="CH58">
        <f t="shared" si="44"/>
        <v>1</v>
      </c>
      <c r="CJ58">
        <f t="shared" si="45"/>
        <v>0.89235303472714544</v>
      </c>
    </row>
    <row r="59" spans="1:88" ht="14.4" x14ac:dyDescent="0.3">
      <c r="A59" t="s">
        <v>60</v>
      </c>
      <c r="B59" s="6">
        <v>6.2099752879619538E-2</v>
      </c>
      <c r="C59" s="6">
        <v>0.13014064073515405</v>
      </c>
      <c r="D59" s="6">
        <v>0.2223411178077257</v>
      </c>
      <c r="E59" s="6">
        <v>0.15289650657820325</v>
      </c>
      <c r="F59" s="6">
        <v>0.17098693470977336</v>
      </c>
      <c r="G59" s="6">
        <v>0.12103848770709758</v>
      </c>
      <c r="H59" s="6">
        <v>7.6366945293680696E-2</v>
      </c>
      <c r="I59" s="6">
        <v>0.11887911299227648</v>
      </c>
      <c r="J59" s="6">
        <v>0.21051194394509534</v>
      </c>
      <c r="K59" s="6">
        <v>0.21270414499224094</v>
      </c>
      <c r="L59" s="6">
        <v>0.12110350367704607</v>
      </c>
      <c r="M59" s="6">
        <v>0.16887427031927379</v>
      </c>
      <c r="N59" s="6">
        <v>0.12164197649228822</v>
      </c>
      <c r="O59" s="6">
        <v>0.11925751896072956</v>
      </c>
      <c r="P59" s="6">
        <v>3.3286418356493243E-2</v>
      </c>
      <c r="Q59" s="6">
        <v>0.19750946697386634</v>
      </c>
      <c r="R59" s="6">
        <v>0.31990284363456695</v>
      </c>
      <c r="S59" s="6">
        <v>0.26139319375604131</v>
      </c>
      <c r="T59" s="6">
        <v>0.28030662087764191</v>
      </c>
      <c r="U59" s="6">
        <v>0.15666048315539319</v>
      </c>
      <c r="V59" s="6">
        <v>5.696084413627802E-2</v>
      </c>
      <c r="W59" s="6">
        <v>0.21808215138269099</v>
      </c>
      <c r="X59" s="6">
        <v>0.11266509459564743</v>
      </c>
      <c r="Y59" s="6">
        <v>0.11841584221314128</v>
      </c>
      <c r="Z59" s="6">
        <v>0.18639488771793755</v>
      </c>
      <c r="AA59" s="6">
        <v>0.21037724301523544</v>
      </c>
      <c r="AB59" s="6">
        <v>8.7880713020410089E-2</v>
      </c>
      <c r="AC59" s="6">
        <v>0.14641224907285288</v>
      </c>
      <c r="AD59" s="6">
        <v>0.13118177925624239</v>
      </c>
      <c r="AE59" s="6">
        <v>4.5440761010029855E-2</v>
      </c>
      <c r="AF59" s="6">
        <v>0.12081288463170756</v>
      </c>
      <c r="AG59" s="6">
        <v>0.13916350845656739</v>
      </c>
      <c r="AH59" s="6">
        <v>0.16321457749073376</v>
      </c>
      <c r="AI59" s="6">
        <v>5.3008166757607736E-2</v>
      </c>
      <c r="AJ59" s="6">
        <v>6.6668715661250488E-2</v>
      </c>
      <c r="AK59" s="6">
        <v>7.1244884167932343E-2</v>
      </c>
      <c r="AL59" s="6">
        <v>0.28281374320079999</v>
      </c>
      <c r="AM59" s="6">
        <v>9.4452908617266462E-2</v>
      </c>
      <c r="AN59" s="6">
        <v>9.6500671198635323E-3</v>
      </c>
      <c r="AP59">
        <f t="shared" si="2"/>
        <v>0.99999999627926262</v>
      </c>
      <c r="AQ59">
        <f t="shared" si="3"/>
        <v>0.99999999813963125</v>
      </c>
      <c r="AS59">
        <f t="shared" si="4"/>
        <v>6.2099752995147979E-2</v>
      </c>
      <c r="AT59">
        <f t="shared" si="5"/>
        <v>0.13014064097726363</v>
      </c>
      <c r="AU59">
        <f t="shared" si="6"/>
        <v>0.22234111822136216</v>
      </c>
      <c r="AV59">
        <f t="shared" si="7"/>
        <v>0.15289650686264714</v>
      </c>
      <c r="AW59">
        <f t="shared" si="8"/>
        <v>0.1709869350278721</v>
      </c>
      <c r="AX59">
        <f t="shared" si="9"/>
        <v>0.1210384879322738</v>
      </c>
      <c r="AY59">
        <f t="shared" si="10"/>
        <v>7.6366945435751371E-2</v>
      </c>
      <c r="AZ59">
        <f t="shared" si="11"/>
        <v>0.11887911321343547</v>
      </c>
      <c r="BA59">
        <f t="shared" si="12"/>
        <v>0.21051194433672518</v>
      </c>
      <c r="BB59">
        <f t="shared" si="13"/>
        <v>0.21270414538794907</v>
      </c>
      <c r="BC59">
        <f t="shared" si="14"/>
        <v>0.12110350390234324</v>
      </c>
      <c r="BD59">
        <f t="shared" si="15"/>
        <v>0.16887427063344221</v>
      </c>
      <c r="BE59">
        <f t="shared" si="16"/>
        <v>0.12164197671858716</v>
      </c>
      <c r="BF59">
        <f t="shared" si="17"/>
        <v>0.11925751918259252</v>
      </c>
      <c r="BG59">
        <f t="shared" si="18"/>
        <v>3.3286418418418257E-2</v>
      </c>
      <c r="BH59">
        <f t="shared" si="19"/>
        <v>0.19750946734130678</v>
      </c>
      <c r="BI59">
        <f t="shared" si="20"/>
        <v>0.31990284422970422</v>
      </c>
      <c r="BJ59">
        <f t="shared" si="21"/>
        <v>0.26139319424232904</v>
      </c>
      <c r="BK59">
        <f t="shared" si="22"/>
        <v>0.28030662139911561</v>
      </c>
      <c r="BL59">
        <f t="shared" si="23"/>
        <v>0.15666048344683944</v>
      </c>
      <c r="BM59">
        <f t="shared" si="24"/>
        <v>5.6960844242246192E-2</v>
      </c>
      <c r="BN59">
        <f t="shared" si="25"/>
        <v>0.2180821517884042</v>
      </c>
      <c r="BO59">
        <f t="shared" si="26"/>
        <v>0.11266509480524604</v>
      </c>
      <c r="BP59">
        <f t="shared" si="27"/>
        <v>0.1184158424334384</v>
      </c>
      <c r="BQ59">
        <f t="shared" si="28"/>
        <v>0.18639488806470078</v>
      </c>
      <c r="BR59">
        <f t="shared" si="29"/>
        <v>0.21037724340661471</v>
      </c>
      <c r="BS59">
        <f t="shared" si="30"/>
        <v>8.7880713183900616E-2</v>
      </c>
      <c r="BT59">
        <f t="shared" si="31"/>
        <v>0.14641224934523367</v>
      </c>
      <c r="BU59">
        <f t="shared" si="32"/>
        <v>0.13118177950028886</v>
      </c>
      <c r="BV59">
        <f t="shared" si="33"/>
        <v>4.5440761094566427E-2</v>
      </c>
      <c r="BW59">
        <f t="shared" si="34"/>
        <v>0.12081288485646408</v>
      </c>
      <c r="BX59">
        <f t="shared" si="35"/>
        <v>0.13916350871546282</v>
      </c>
      <c r="BY59">
        <f t="shared" si="36"/>
        <v>0.16321457779437307</v>
      </c>
      <c r="BZ59">
        <f t="shared" si="37"/>
        <v>5.300816685622247E-2</v>
      </c>
      <c r="CA59">
        <f t="shared" si="38"/>
        <v>6.6668715785278887E-2</v>
      </c>
      <c r="CB59">
        <f t="shared" si="39"/>
        <v>7.1244884300474098E-2</v>
      </c>
      <c r="CC59">
        <f t="shared" si="40"/>
        <v>0.28281374372693785</v>
      </c>
      <c r="CD59">
        <f t="shared" si="41"/>
        <v>9.4452908792983709E-2</v>
      </c>
      <c r="CE59">
        <f t="shared" si="42"/>
        <v>9.6500671378162151E-3</v>
      </c>
      <c r="CG59">
        <f t="shared" si="43"/>
        <v>1</v>
      </c>
      <c r="CH59">
        <f t="shared" si="44"/>
        <v>1</v>
      </c>
      <c r="CJ59">
        <f t="shared" si="45"/>
        <v>0.89235303472714544</v>
      </c>
    </row>
    <row r="60" spans="1:88" ht="14.4" x14ac:dyDescent="0.3">
      <c r="A60" t="s">
        <v>61</v>
      </c>
      <c r="B60" s="6">
        <v>6.2099752879619538E-2</v>
      </c>
      <c r="C60" s="6">
        <v>0.13014064073515405</v>
      </c>
      <c r="D60" s="6">
        <v>0.2223411178077257</v>
      </c>
      <c r="E60" s="6">
        <v>0.15289650657820325</v>
      </c>
      <c r="F60" s="6">
        <v>0.17098693470977336</v>
      </c>
      <c r="G60" s="6">
        <v>0.12103848770709758</v>
      </c>
      <c r="H60" s="6">
        <v>7.6366945293680696E-2</v>
      </c>
      <c r="I60" s="6">
        <v>0.11887911299227648</v>
      </c>
      <c r="J60" s="6">
        <v>0.21051194394509534</v>
      </c>
      <c r="K60" s="6">
        <v>0.21270414499224094</v>
      </c>
      <c r="L60" s="6">
        <v>0.12110350367704607</v>
      </c>
      <c r="M60" s="6">
        <v>0.16887427031927379</v>
      </c>
      <c r="N60" s="6">
        <v>0.12164197649228822</v>
      </c>
      <c r="O60" s="6">
        <v>0.11925751896072956</v>
      </c>
      <c r="P60" s="6">
        <v>3.3286418356493243E-2</v>
      </c>
      <c r="Q60" s="6">
        <v>0.19750946697386634</v>
      </c>
      <c r="R60" s="6">
        <v>0.31990284363456695</v>
      </c>
      <c r="S60" s="6">
        <v>0.26139319375604131</v>
      </c>
      <c r="T60" s="6">
        <v>0.28030662087764191</v>
      </c>
      <c r="U60" s="6">
        <v>0.15666048315539319</v>
      </c>
      <c r="V60" s="6">
        <v>5.696084413627802E-2</v>
      </c>
      <c r="W60" s="6">
        <v>0.21808215138269099</v>
      </c>
      <c r="X60" s="6">
        <v>0.11266509459564743</v>
      </c>
      <c r="Y60" s="6">
        <v>0.11841584221314128</v>
      </c>
      <c r="Z60" s="6">
        <v>0.18639488771793755</v>
      </c>
      <c r="AA60" s="6">
        <v>0.21037724301523544</v>
      </c>
      <c r="AB60" s="6">
        <v>8.7880713020410089E-2</v>
      </c>
      <c r="AC60" s="6">
        <v>0.14641224907285288</v>
      </c>
      <c r="AD60" s="6">
        <v>0.13118177925624239</v>
      </c>
      <c r="AE60" s="6">
        <v>4.5440761010029855E-2</v>
      </c>
      <c r="AF60" s="6">
        <v>0.12081288463170756</v>
      </c>
      <c r="AG60" s="6">
        <v>0.13916350845656739</v>
      </c>
      <c r="AH60" s="6">
        <v>0.16321457749073376</v>
      </c>
      <c r="AI60" s="6">
        <v>5.3008166757607736E-2</v>
      </c>
      <c r="AJ60" s="6">
        <v>6.6668715661250488E-2</v>
      </c>
      <c r="AK60" s="6">
        <v>7.1244884167932343E-2</v>
      </c>
      <c r="AL60" s="6">
        <v>0.28281374320079999</v>
      </c>
      <c r="AM60" s="6">
        <v>9.4452908617266462E-2</v>
      </c>
      <c r="AN60" s="6">
        <v>9.6500671198635323E-3</v>
      </c>
      <c r="AP60">
        <f t="shared" si="2"/>
        <v>0.99999999627926262</v>
      </c>
      <c r="AQ60">
        <f t="shared" si="3"/>
        <v>0.99999999813963125</v>
      </c>
      <c r="AS60">
        <f t="shared" si="4"/>
        <v>6.2099752995147979E-2</v>
      </c>
      <c r="AT60">
        <f t="shared" si="5"/>
        <v>0.13014064097726363</v>
      </c>
      <c r="AU60">
        <f t="shared" si="6"/>
        <v>0.22234111822136216</v>
      </c>
      <c r="AV60">
        <f t="shared" si="7"/>
        <v>0.15289650686264714</v>
      </c>
      <c r="AW60">
        <f t="shared" si="8"/>
        <v>0.1709869350278721</v>
      </c>
      <c r="AX60">
        <f t="shared" si="9"/>
        <v>0.1210384879322738</v>
      </c>
      <c r="AY60">
        <f t="shared" si="10"/>
        <v>7.6366945435751371E-2</v>
      </c>
      <c r="AZ60">
        <f t="shared" si="11"/>
        <v>0.11887911321343547</v>
      </c>
      <c r="BA60">
        <f t="shared" si="12"/>
        <v>0.21051194433672518</v>
      </c>
      <c r="BB60">
        <f t="shared" si="13"/>
        <v>0.21270414538794907</v>
      </c>
      <c r="BC60">
        <f t="shared" si="14"/>
        <v>0.12110350390234324</v>
      </c>
      <c r="BD60">
        <f t="shared" si="15"/>
        <v>0.16887427063344221</v>
      </c>
      <c r="BE60">
        <f t="shared" si="16"/>
        <v>0.12164197671858716</v>
      </c>
      <c r="BF60">
        <f t="shared" si="17"/>
        <v>0.11925751918259252</v>
      </c>
      <c r="BG60">
        <f t="shared" si="18"/>
        <v>3.3286418418418257E-2</v>
      </c>
      <c r="BH60">
        <f t="shared" si="19"/>
        <v>0.19750946734130678</v>
      </c>
      <c r="BI60">
        <f t="shared" si="20"/>
        <v>0.31990284422970422</v>
      </c>
      <c r="BJ60">
        <f t="shared" si="21"/>
        <v>0.26139319424232904</v>
      </c>
      <c r="BK60">
        <f t="shared" si="22"/>
        <v>0.28030662139911561</v>
      </c>
      <c r="BL60">
        <f t="shared" si="23"/>
        <v>0.15666048344683944</v>
      </c>
      <c r="BM60">
        <f t="shared" si="24"/>
        <v>5.6960844242246192E-2</v>
      </c>
      <c r="BN60">
        <f t="shared" si="25"/>
        <v>0.2180821517884042</v>
      </c>
      <c r="BO60">
        <f t="shared" si="26"/>
        <v>0.11266509480524604</v>
      </c>
      <c r="BP60">
        <f t="shared" si="27"/>
        <v>0.1184158424334384</v>
      </c>
      <c r="BQ60">
        <f t="shared" si="28"/>
        <v>0.18639488806470078</v>
      </c>
      <c r="BR60">
        <f t="shared" si="29"/>
        <v>0.21037724340661471</v>
      </c>
      <c r="BS60">
        <f t="shared" si="30"/>
        <v>8.7880713183900616E-2</v>
      </c>
      <c r="BT60">
        <f t="shared" si="31"/>
        <v>0.14641224934523367</v>
      </c>
      <c r="BU60">
        <f t="shared" si="32"/>
        <v>0.13118177950028886</v>
      </c>
      <c r="BV60">
        <f t="shared" si="33"/>
        <v>4.5440761094566427E-2</v>
      </c>
      <c r="BW60">
        <f t="shared" si="34"/>
        <v>0.12081288485646408</v>
      </c>
      <c r="BX60">
        <f t="shared" si="35"/>
        <v>0.13916350871546282</v>
      </c>
      <c r="BY60">
        <f t="shared" si="36"/>
        <v>0.16321457779437307</v>
      </c>
      <c r="BZ60">
        <f t="shared" si="37"/>
        <v>5.300816685622247E-2</v>
      </c>
      <c r="CA60">
        <f t="shared" si="38"/>
        <v>6.6668715785278887E-2</v>
      </c>
      <c r="CB60">
        <f t="shared" si="39"/>
        <v>7.1244884300474098E-2</v>
      </c>
      <c r="CC60">
        <f t="shared" si="40"/>
        <v>0.28281374372693785</v>
      </c>
      <c r="CD60">
        <f t="shared" si="41"/>
        <v>9.4452908792983709E-2</v>
      </c>
      <c r="CE60">
        <f t="shared" si="42"/>
        <v>9.6500671378162151E-3</v>
      </c>
      <c r="CG60">
        <f t="shared" si="43"/>
        <v>1</v>
      </c>
      <c r="CH60">
        <f t="shared" si="44"/>
        <v>1</v>
      </c>
      <c r="CJ60">
        <f t="shared" si="45"/>
        <v>0.89235303472714544</v>
      </c>
    </row>
    <row r="61" spans="1:88" ht="14.4" x14ac:dyDescent="0.3">
      <c r="A61" t="s">
        <v>62</v>
      </c>
      <c r="B61" s="6">
        <v>6.2099752879619538E-2</v>
      </c>
      <c r="C61" s="6">
        <v>0.13014064073515405</v>
      </c>
      <c r="D61" s="6">
        <v>0.2223411178077257</v>
      </c>
      <c r="E61" s="6">
        <v>0.15289650657820325</v>
      </c>
      <c r="F61" s="6">
        <v>0.17098693470977336</v>
      </c>
      <c r="G61" s="6">
        <v>0.12103848770709758</v>
      </c>
      <c r="H61" s="6">
        <v>7.6366945293680696E-2</v>
      </c>
      <c r="I61" s="6">
        <v>0.11887911299227648</v>
      </c>
      <c r="J61" s="6">
        <v>0.21051194394509534</v>
      </c>
      <c r="K61" s="6">
        <v>0.21270414499224094</v>
      </c>
      <c r="L61" s="6">
        <v>0.12110350367704607</v>
      </c>
      <c r="M61" s="6">
        <v>0.16887427031927379</v>
      </c>
      <c r="N61" s="6">
        <v>0.12164197649228822</v>
      </c>
      <c r="O61" s="6">
        <v>0.11925751896072956</v>
      </c>
      <c r="P61" s="6">
        <v>3.3286418356493243E-2</v>
      </c>
      <c r="Q61" s="6">
        <v>0.19750946697386634</v>
      </c>
      <c r="R61" s="6">
        <v>0.31990284363456695</v>
      </c>
      <c r="S61" s="6">
        <v>0.26139319375604131</v>
      </c>
      <c r="T61" s="6">
        <v>0.28030662087764191</v>
      </c>
      <c r="U61" s="6">
        <v>0.15666048315539319</v>
      </c>
      <c r="V61" s="6">
        <v>5.696084413627802E-2</v>
      </c>
      <c r="W61" s="6">
        <v>0.21808215138269099</v>
      </c>
      <c r="X61" s="6">
        <v>0.11266509459564743</v>
      </c>
      <c r="Y61" s="6">
        <v>0.11841584221314128</v>
      </c>
      <c r="Z61" s="6">
        <v>0.18639488771793755</v>
      </c>
      <c r="AA61" s="6">
        <v>0.21037724301523544</v>
      </c>
      <c r="AB61" s="6">
        <v>8.7880713020410089E-2</v>
      </c>
      <c r="AC61" s="6">
        <v>0.14641224907285288</v>
      </c>
      <c r="AD61" s="6">
        <v>0.13118177925624239</v>
      </c>
      <c r="AE61" s="6">
        <v>4.5440761010029855E-2</v>
      </c>
      <c r="AF61" s="6">
        <v>0.12081288463170756</v>
      </c>
      <c r="AG61" s="6">
        <v>0.13916350845656739</v>
      </c>
      <c r="AH61" s="6">
        <v>0.16321457749073376</v>
      </c>
      <c r="AI61" s="6">
        <v>5.3008166757607736E-2</v>
      </c>
      <c r="AJ61" s="6">
        <v>6.6668715661250488E-2</v>
      </c>
      <c r="AK61" s="6">
        <v>7.1244884167932343E-2</v>
      </c>
      <c r="AL61" s="6">
        <v>0.28281374320079999</v>
      </c>
      <c r="AM61" s="6">
        <v>9.4452908617266462E-2</v>
      </c>
      <c r="AN61" s="6">
        <v>9.6500671198635323E-3</v>
      </c>
      <c r="AP61">
        <f t="shared" si="2"/>
        <v>0.99999999627926262</v>
      </c>
      <c r="AQ61">
        <f t="shared" si="3"/>
        <v>0.99999999813963125</v>
      </c>
      <c r="AS61">
        <f t="shared" si="4"/>
        <v>6.2099752995147979E-2</v>
      </c>
      <c r="AT61">
        <f t="shared" si="5"/>
        <v>0.13014064097726363</v>
      </c>
      <c r="AU61">
        <f t="shared" si="6"/>
        <v>0.22234111822136216</v>
      </c>
      <c r="AV61">
        <f t="shared" si="7"/>
        <v>0.15289650686264714</v>
      </c>
      <c r="AW61">
        <f t="shared" si="8"/>
        <v>0.1709869350278721</v>
      </c>
      <c r="AX61">
        <f t="shared" si="9"/>
        <v>0.1210384879322738</v>
      </c>
      <c r="AY61">
        <f t="shared" si="10"/>
        <v>7.6366945435751371E-2</v>
      </c>
      <c r="AZ61">
        <f t="shared" si="11"/>
        <v>0.11887911321343547</v>
      </c>
      <c r="BA61">
        <f t="shared" si="12"/>
        <v>0.21051194433672518</v>
      </c>
      <c r="BB61">
        <f t="shared" si="13"/>
        <v>0.21270414538794907</v>
      </c>
      <c r="BC61">
        <f t="shared" si="14"/>
        <v>0.12110350390234324</v>
      </c>
      <c r="BD61">
        <f t="shared" si="15"/>
        <v>0.16887427063344221</v>
      </c>
      <c r="BE61">
        <f t="shared" si="16"/>
        <v>0.12164197671858716</v>
      </c>
      <c r="BF61">
        <f t="shared" si="17"/>
        <v>0.11925751918259252</v>
      </c>
      <c r="BG61">
        <f t="shared" si="18"/>
        <v>3.3286418418418257E-2</v>
      </c>
      <c r="BH61">
        <f t="shared" si="19"/>
        <v>0.19750946734130678</v>
      </c>
      <c r="BI61">
        <f t="shared" si="20"/>
        <v>0.31990284422970422</v>
      </c>
      <c r="BJ61">
        <f t="shared" si="21"/>
        <v>0.26139319424232904</v>
      </c>
      <c r="BK61">
        <f t="shared" si="22"/>
        <v>0.28030662139911561</v>
      </c>
      <c r="BL61">
        <f t="shared" si="23"/>
        <v>0.15666048344683944</v>
      </c>
      <c r="BM61">
        <f t="shared" si="24"/>
        <v>5.6960844242246192E-2</v>
      </c>
      <c r="BN61">
        <f t="shared" si="25"/>
        <v>0.2180821517884042</v>
      </c>
      <c r="BO61">
        <f t="shared" si="26"/>
        <v>0.11266509480524604</v>
      </c>
      <c r="BP61">
        <f t="shared" si="27"/>
        <v>0.1184158424334384</v>
      </c>
      <c r="BQ61">
        <f t="shared" si="28"/>
        <v>0.18639488806470078</v>
      </c>
      <c r="BR61">
        <f t="shared" si="29"/>
        <v>0.21037724340661471</v>
      </c>
      <c r="BS61">
        <f t="shared" si="30"/>
        <v>8.7880713183900616E-2</v>
      </c>
      <c r="BT61">
        <f t="shared" si="31"/>
        <v>0.14641224934523367</v>
      </c>
      <c r="BU61">
        <f t="shared" si="32"/>
        <v>0.13118177950028886</v>
      </c>
      <c r="BV61">
        <f t="shared" si="33"/>
        <v>4.5440761094566427E-2</v>
      </c>
      <c r="BW61">
        <f t="shared" si="34"/>
        <v>0.12081288485646408</v>
      </c>
      <c r="BX61">
        <f t="shared" si="35"/>
        <v>0.13916350871546282</v>
      </c>
      <c r="BY61">
        <f t="shared" si="36"/>
        <v>0.16321457779437307</v>
      </c>
      <c r="BZ61">
        <f t="shared" si="37"/>
        <v>5.300816685622247E-2</v>
      </c>
      <c r="CA61">
        <f t="shared" si="38"/>
        <v>6.6668715785278887E-2</v>
      </c>
      <c r="CB61">
        <f t="shared" si="39"/>
        <v>7.1244884300474098E-2</v>
      </c>
      <c r="CC61">
        <f t="shared" si="40"/>
        <v>0.28281374372693785</v>
      </c>
      <c r="CD61">
        <f t="shared" si="41"/>
        <v>9.4452908792983709E-2</v>
      </c>
      <c r="CE61">
        <f t="shared" si="42"/>
        <v>9.6500671378162151E-3</v>
      </c>
      <c r="CG61">
        <f t="shared" si="43"/>
        <v>1</v>
      </c>
      <c r="CH61">
        <f t="shared" si="44"/>
        <v>1</v>
      </c>
      <c r="CJ61">
        <f t="shared" si="45"/>
        <v>0.89235303472714544</v>
      </c>
    </row>
    <row r="62" spans="1:88" ht="14.4" x14ac:dyDescent="0.3">
      <c r="A62" t="s">
        <v>63</v>
      </c>
      <c r="B62" s="6">
        <v>6.2099752879619538E-2</v>
      </c>
      <c r="C62" s="6">
        <v>0.13014064073515405</v>
      </c>
      <c r="D62" s="6">
        <v>0.2223411178077257</v>
      </c>
      <c r="E62" s="6">
        <v>0.15289650657820325</v>
      </c>
      <c r="F62" s="6">
        <v>0.17098693470977336</v>
      </c>
      <c r="G62" s="6">
        <v>0.12103848770709758</v>
      </c>
      <c r="H62" s="6">
        <v>7.6366945293680696E-2</v>
      </c>
      <c r="I62" s="6">
        <v>0.11887911299227648</v>
      </c>
      <c r="J62" s="6">
        <v>0.21051194394509534</v>
      </c>
      <c r="K62" s="6">
        <v>0.21270414499224094</v>
      </c>
      <c r="L62" s="6">
        <v>0.12110350367704607</v>
      </c>
      <c r="M62" s="6">
        <v>0.16887427031927379</v>
      </c>
      <c r="N62" s="6">
        <v>0.12164197649228822</v>
      </c>
      <c r="O62" s="6">
        <v>0.11925751896072956</v>
      </c>
      <c r="P62" s="6">
        <v>3.3286418356493243E-2</v>
      </c>
      <c r="Q62" s="6">
        <v>0.19750946697386634</v>
      </c>
      <c r="R62" s="6">
        <v>0.31990284363456695</v>
      </c>
      <c r="S62" s="6">
        <v>0.26139319375604131</v>
      </c>
      <c r="T62" s="6">
        <v>0.28030662087764191</v>
      </c>
      <c r="U62" s="6">
        <v>0.15666048315539319</v>
      </c>
      <c r="V62" s="6">
        <v>5.696084413627802E-2</v>
      </c>
      <c r="W62" s="6">
        <v>0.21808215138269099</v>
      </c>
      <c r="X62" s="6">
        <v>0.11266509459564743</v>
      </c>
      <c r="Y62" s="6">
        <v>0.11841584221314128</v>
      </c>
      <c r="Z62" s="6">
        <v>0.18639488771793755</v>
      </c>
      <c r="AA62" s="6">
        <v>0.21037724301523544</v>
      </c>
      <c r="AB62" s="6">
        <v>8.7880713020410089E-2</v>
      </c>
      <c r="AC62" s="6">
        <v>0.14641224907285288</v>
      </c>
      <c r="AD62" s="6">
        <v>0.13118177925624239</v>
      </c>
      <c r="AE62" s="6">
        <v>4.5440761010029855E-2</v>
      </c>
      <c r="AF62" s="6">
        <v>0.12081288463170756</v>
      </c>
      <c r="AG62" s="6">
        <v>0.13916350845656739</v>
      </c>
      <c r="AH62" s="6">
        <v>0.16321457749073376</v>
      </c>
      <c r="AI62" s="6">
        <v>5.3008166757607736E-2</v>
      </c>
      <c r="AJ62" s="6">
        <v>6.6668715661250488E-2</v>
      </c>
      <c r="AK62" s="6">
        <v>7.1244884167932343E-2</v>
      </c>
      <c r="AL62" s="6">
        <v>0.28281374320079999</v>
      </c>
      <c r="AM62" s="6">
        <v>9.4452908617266462E-2</v>
      </c>
      <c r="AN62" s="6">
        <v>9.6500671198635323E-3</v>
      </c>
      <c r="AP62">
        <f t="shared" si="2"/>
        <v>0.99999999627926262</v>
      </c>
      <c r="AQ62">
        <f t="shared" si="3"/>
        <v>0.99999999813963125</v>
      </c>
      <c r="AS62">
        <f t="shared" si="4"/>
        <v>6.2099752995147979E-2</v>
      </c>
      <c r="AT62">
        <f t="shared" si="5"/>
        <v>0.13014064097726363</v>
      </c>
      <c r="AU62">
        <f t="shared" si="6"/>
        <v>0.22234111822136216</v>
      </c>
      <c r="AV62">
        <f t="shared" si="7"/>
        <v>0.15289650686264714</v>
      </c>
      <c r="AW62">
        <f t="shared" si="8"/>
        <v>0.1709869350278721</v>
      </c>
      <c r="AX62">
        <f t="shared" si="9"/>
        <v>0.1210384879322738</v>
      </c>
      <c r="AY62">
        <f t="shared" si="10"/>
        <v>7.6366945435751371E-2</v>
      </c>
      <c r="AZ62">
        <f t="shared" si="11"/>
        <v>0.11887911321343547</v>
      </c>
      <c r="BA62">
        <f t="shared" si="12"/>
        <v>0.21051194433672518</v>
      </c>
      <c r="BB62">
        <f t="shared" si="13"/>
        <v>0.21270414538794907</v>
      </c>
      <c r="BC62">
        <f t="shared" si="14"/>
        <v>0.12110350390234324</v>
      </c>
      <c r="BD62">
        <f t="shared" si="15"/>
        <v>0.16887427063344221</v>
      </c>
      <c r="BE62">
        <f t="shared" si="16"/>
        <v>0.12164197671858716</v>
      </c>
      <c r="BF62">
        <f t="shared" si="17"/>
        <v>0.11925751918259252</v>
      </c>
      <c r="BG62">
        <f t="shared" si="18"/>
        <v>3.3286418418418257E-2</v>
      </c>
      <c r="BH62">
        <f t="shared" si="19"/>
        <v>0.19750946734130678</v>
      </c>
      <c r="BI62">
        <f t="shared" si="20"/>
        <v>0.31990284422970422</v>
      </c>
      <c r="BJ62">
        <f t="shared" si="21"/>
        <v>0.26139319424232904</v>
      </c>
      <c r="BK62">
        <f t="shared" si="22"/>
        <v>0.28030662139911561</v>
      </c>
      <c r="BL62">
        <f t="shared" si="23"/>
        <v>0.15666048344683944</v>
      </c>
      <c r="BM62">
        <f t="shared" si="24"/>
        <v>5.6960844242246192E-2</v>
      </c>
      <c r="BN62">
        <f t="shared" si="25"/>
        <v>0.2180821517884042</v>
      </c>
      <c r="BO62">
        <f t="shared" si="26"/>
        <v>0.11266509480524604</v>
      </c>
      <c r="BP62">
        <f t="shared" si="27"/>
        <v>0.1184158424334384</v>
      </c>
      <c r="BQ62">
        <f t="shared" si="28"/>
        <v>0.18639488806470078</v>
      </c>
      <c r="BR62">
        <f t="shared" si="29"/>
        <v>0.21037724340661471</v>
      </c>
      <c r="BS62">
        <f t="shared" si="30"/>
        <v>8.7880713183900616E-2</v>
      </c>
      <c r="BT62">
        <f t="shared" si="31"/>
        <v>0.14641224934523367</v>
      </c>
      <c r="BU62">
        <f t="shared" si="32"/>
        <v>0.13118177950028886</v>
      </c>
      <c r="BV62">
        <f t="shared" si="33"/>
        <v>4.5440761094566427E-2</v>
      </c>
      <c r="BW62">
        <f t="shared" si="34"/>
        <v>0.12081288485646408</v>
      </c>
      <c r="BX62">
        <f t="shared" si="35"/>
        <v>0.13916350871546282</v>
      </c>
      <c r="BY62">
        <f t="shared" si="36"/>
        <v>0.16321457779437307</v>
      </c>
      <c r="BZ62">
        <f t="shared" si="37"/>
        <v>5.300816685622247E-2</v>
      </c>
      <c r="CA62">
        <f t="shared" si="38"/>
        <v>6.6668715785278887E-2</v>
      </c>
      <c r="CB62">
        <f t="shared" si="39"/>
        <v>7.1244884300474098E-2</v>
      </c>
      <c r="CC62">
        <f t="shared" si="40"/>
        <v>0.28281374372693785</v>
      </c>
      <c r="CD62">
        <f t="shared" si="41"/>
        <v>9.4452908792983709E-2</v>
      </c>
      <c r="CE62">
        <f t="shared" si="42"/>
        <v>9.6500671378162151E-3</v>
      </c>
      <c r="CG62">
        <f t="shared" si="43"/>
        <v>1</v>
      </c>
      <c r="CH62">
        <f t="shared" si="44"/>
        <v>1</v>
      </c>
      <c r="CJ62">
        <f t="shared" si="45"/>
        <v>0.89235303472714544</v>
      </c>
    </row>
    <row r="63" spans="1:88" ht="14.4" x14ac:dyDescent="0.3">
      <c r="A63" s="2" t="s">
        <v>64</v>
      </c>
      <c r="B63" s="6">
        <v>6.2099752879619538E-2</v>
      </c>
      <c r="C63" s="6">
        <v>0.13014064073515405</v>
      </c>
      <c r="D63" s="6">
        <v>0.2223411178077257</v>
      </c>
      <c r="E63" s="6">
        <v>0.15289650657820325</v>
      </c>
      <c r="F63" s="6">
        <v>0.17098693470977336</v>
      </c>
      <c r="G63" s="6">
        <v>0.12103848770709758</v>
      </c>
      <c r="H63" s="6">
        <v>7.6366945293680696E-2</v>
      </c>
      <c r="I63" s="6">
        <v>0.11887911299227648</v>
      </c>
      <c r="J63" s="6">
        <v>0.21051194394509534</v>
      </c>
      <c r="K63" s="6">
        <v>0.21270414499224094</v>
      </c>
      <c r="L63" s="6">
        <v>0.12110350367704607</v>
      </c>
      <c r="M63" s="6">
        <v>0.16887427031927379</v>
      </c>
      <c r="N63" s="6">
        <v>0.12164197649228822</v>
      </c>
      <c r="O63" s="6">
        <v>0.11925751896072956</v>
      </c>
      <c r="P63" s="6">
        <v>3.3286418356493243E-2</v>
      </c>
      <c r="Q63" s="6">
        <v>0.19750946697386634</v>
      </c>
      <c r="R63" s="6">
        <v>0.31990284363456695</v>
      </c>
      <c r="S63" s="6">
        <v>0.26139319375604131</v>
      </c>
      <c r="T63" s="6">
        <v>0.28030662087764191</v>
      </c>
      <c r="U63" s="6">
        <v>0.15666048315539319</v>
      </c>
      <c r="V63" s="6">
        <v>5.696084413627802E-2</v>
      </c>
      <c r="W63" s="6">
        <v>0.21808215138269099</v>
      </c>
      <c r="X63" s="6">
        <v>0.11266509459564743</v>
      </c>
      <c r="Y63" s="6">
        <v>0.11841584221314128</v>
      </c>
      <c r="Z63" s="6">
        <v>0.18639488771793755</v>
      </c>
      <c r="AA63" s="6">
        <v>0.21037724301523544</v>
      </c>
      <c r="AB63" s="6">
        <v>8.7880713020410089E-2</v>
      </c>
      <c r="AC63" s="6">
        <v>0.14641224907285288</v>
      </c>
      <c r="AD63" s="6">
        <v>0.13118177925624239</v>
      </c>
      <c r="AE63" s="6">
        <v>4.5440761010029855E-2</v>
      </c>
      <c r="AF63" s="6">
        <v>0.12081288463170756</v>
      </c>
      <c r="AG63" s="6">
        <v>0.13916350845656739</v>
      </c>
      <c r="AH63" s="6">
        <v>0.16321457749073376</v>
      </c>
      <c r="AI63" s="6">
        <v>5.3008166757607736E-2</v>
      </c>
      <c r="AJ63" s="6">
        <v>6.6668715661250488E-2</v>
      </c>
      <c r="AK63" s="6">
        <v>7.1244884167932343E-2</v>
      </c>
      <c r="AL63" s="6">
        <v>0.28281374320079999</v>
      </c>
      <c r="AM63" s="6">
        <v>9.4452908617266462E-2</v>
      </c>
      <c r="AN63" s="6">
        <v>9.6500671198635323E-3</v>
      </c>
      <c r="AP63">
        <f t="shared" si="2"/>
        <v>0.99999999627926262</v>
      </c>
      <c r="AQ63">
        <f t="shared" si="3"/>
        <v>0.99999999813963125</v>
      </c>
      <c r="AS63">
        <f t="shared" si="4"/>
        <v>6.2099752995147979E-2</v>
      </c>
      <c r="AT63">
        <f t="shared" si="5"/>
        <v>0.13014064097726363</v>
      </c>
      <c r="AU63">
        <f t="shared" si="6"/>
        <v>0.22234111822136216</v>
      </c>
      <c r="AV63">
        <f t="shared" si="7"/>
        <v>0.15289650686264714</v>
      </c>
      <c r="AW63">
        <f t="shared" si="8"/>
        <v>0.1709869350278721</v>
      </c>
      <c r="AX63">
        <f t="shared" si="9"/>
        <v>0.1210384879322738</v>
      </c>
      <c r="AY63">
        <f t="shared" si="10"/>
        <v>7.6366945435751371E-2</v>
      </c>
      <c r="AZ63">
        <f t="shared" si="11"/>
        <v>0.11887911321343547</v>
      </c>
      <c r="BA63">
        <f t="shared" si="12"/>
        <v>0.21051194433672518</v>
      </c>
      <c r="BB63">
        <f t="shared" si="13"/>
        <v>0.21270414538794907</v>
      </c>
      <c r="BC63">
        <f t="shared" si="14"/>
        <v>0.12110350390234324</v>
      </c>
      <c r="BD63">
        <f t="shared" si="15"/>
        <v>0.16887427063344221</v>
      </c>
      <c r="BE63">
        <f t="shared" si="16"/>
        <v>0.12164197671858716</v>
      </c>
      <c r="BF63">
        <f t="shared" si="17"/>
        <v>0.11925751918259252</v>
      </c>
      <c r="BG63">
        <f t="shared" si="18"/>
        <v>3.3286418418418257E-2</v>
      </c>
      <c r="BH63">
        <f t="shared" si="19"/>
        <v>0.19750946734130678</v>
      </c>
      <c r="BI63">
        <f t="shared" si="20"/>
        <v>0.31990284422970422</v>
      </c>
      <c r="BJ63">
        <f t="shared" si="21"/>
        <v>0.26139319424232904</v>
      </c>
      <c r="BK63">
        <f t="shared" si="22"/>
        <v>0.28030662139911561</v>
      </c>
      <c r="BL63">
        <f t="shared" si="23"/>
        <v>0.15666048344683944</v>
      </c>
      <c r="BM63">
        <f t="shared" si="24"/>
        <v>5.6960844242246192E-2</v>
      </c>
      <c r="BN63">
        <f t="shared" si="25"/>
        <v>0.2180821517884042</v>
      </c>
      <c r="BO63">
        <f t="shared" si="26"/>
        <v>0.11266509480524604</v>
      </c>
      <c r="BP63">
        <f t="shared" si="27"/>
        <v>0.1184158424334384</v>
      </c>
      <c r="BQ63">
        <f t="shared" si="28"/>
        <v>0.18639488806470078</v>
      </c>
      <c r="BR63">
        <f t="shared" si="29"/>
        <v>0.21037724340661471</v>
      </c>
      <c r="BS63">
        <f t="shared" si="30"/>
        <v>8.7880713183900616E-2</v>
      </c>
      <c r="BT63">
        <f t="shared" si="31"/>
        <v>0.14641224934523367</v>
      </c>
      <c r="BU63">
        <f t="shared" si="32"/>
        <v>0.13118177950028886</v>
      </c>
      <c r="BV63">
        <f t="shared" si="33"/>
        <v>4.5440761094566427E-2</v>
      </c>
      <c r="BW63">
        <f t="shared" si="34"/>
        <v>0.12081288485646408</v>
      </c>
      <c r="BX63">
        <f t="shared" si="35"/>
        <v>0.13916350871546282</v>
      </c>
      <c r="BY63">
        <f t="shared" si="36"/>
        <v>0.16321457779437307</v>
      </c>
      <c r="BZ63">
        <f t="shared" si="37"/>
        <v>5.300816685622247E-2</v>
      </c>
      <c r="CA63">
        <f t="shared" si="38"/>
        <v>6.6668715785278887E-2</v>
      </c>
      <c r="CB63">
        <f t="shared" si="39"/>
        <v>7.1244884300474098E-2</v>
      </c>
      <c r="CC63">
        <f t="shared" si="40"/>
        <v>0.28281374372693785</v>
      </c>
      <c r="CD63">
        <f t="shared" si="41"/>
        <v>9.4452908792983709E-2</v>
      </c>
      <c r="CE63">
        <f t="shared" si="42"/>
        <v>9.6500671378162151E-3</v>
      </c>
      <c r="CG63">
        <f t="shared" si="43"/>
        <v>1</v>
      </c>
      <c r="CH63">
        <f t="shared" si="44"/>
        <v>1</v>
      </c>
      <c r="CJ63" s="2">
        <f t="shared" si="45"/>
        <v>0.89235303472714544</v>
      </c>
    </row>
    <row r="64" spans="1:88" ht="14.4" x14ac:dyDescent="0.3">
      <c r="A64" t="s">
        <v>65</v>
      </c>
      <c r="B64" s="6">
        <v>6.2099752879619538E-2</v>
      </c>
      <c r="C64" s="6">
        <v>0.13014064073515405</v>
      </c>
      <c r="D64" s="6">
        <v>0.2223411178077257</v>
      </c>
      <c r="E64" s="6">
        <v>0.15289650657820325</v>
      </c>
      <c r="F64" s="6">
        <v>0.17098693470977336</v>
      </c>
      <c r="G64" s="6">
        <v>0.12103848770709758</v>
      </c>
      <c r="H64" s="6">
        <v>7.6366945293680696E-2</v>
      </c>
      <c r="I64" s="6">
        <v>0.11887911299227648</v>
      </c>
      <c r="J64" s="6">
        <v>0.21051194394509534</v>
      </c>
      <c r="K64" s="6">
        <v>0.21270414499224094</v>
      </c>
      <c r="L64" s="6">
        <v>0.12110350367704607</v>
      </c>
      <c r="M64" s="6">
        <v>0.16887427031927379</v>
      </c>
      <c r="N64" s="6">
        <v>0.12164197649228822</v>
      </c>
      <c r="O64" s="6">
        <v>0.11925751896072956</v>
      </c>
      <c r="P64" s="6">
        <v>3.3286418356493243E-2</v>
      </c>
      <c r="Q64" s="6">
        <v>0.19750946697386634</v>
      </c>
      <c r="R64" s="6">
        <v>0.31990284363456695</v>
      </c>
      <c r="S64" s="6">
        <v>0.26139319375604131</v>
      </c>
      <c r="T64" s="6">
        <v>0.28030662087764191</v>
      </c>
      <c r="U64" s="6">
        <v>0.15666048315539319</v>
      </c>
      <c r="V64" s="6">
        <v>5.696084413627802E-2</v>
      </c>
      <c r="W64" s="6">
        <v>0.21808215138269099</v>
      </c>
      <c r="X64" s="6">
        <v>0.11266509459564743</v>
      </c>
      <c r="Y64" s="6">
        <v>0.11841584221314128</v>
      </c>
      <c r="Z64" s="6">
        <v>0.18639488771793755</v>
      </c>
      <c r="AA64" s="6">
        <v>0.21037724301523544</v>
      </c>
      <c r="AB64" s="6">
        <v>8.7880713020410089E-2</v>
      </c>
      <c r="AC64" s="6">
        <v>0.14641224907285288</v>
      </c>
      <c r="AD64" s="6">
        <v>0.13118177925624239</v>
      </c>
      <c r="AE64" s="6">
        <v>4.5440761010029855E-2</v>
      </c>
      <c r="AF64" s="6">
        <v>0.12081288463170756</v>
      </c>
      <c r="AG64" s="6">
        <v>0.13916350845656739</v>
      </c>
      <c r="AH64" s="6">
        <v>0.16321457749073376</v>
      </c>
      <c r="AI64" s="6">
        <v>5.3008166757607736E-2</v>
      </c>
      <c r="AJ64" s="6">
        <v>6.6668715661250488E-2</v>
      </c>
      <c r="AK64" s="6">
        <v>7.1244884167932343E-2</v>
      </c>
      <c r="AL64" s="6">
        <v>0.28281374320079999</v>
      </c>
      <c r="AM64" s="6">
        <v>9.4452908617266462E-2</v>
      </c>
      <c r="AN64" s="6">
        <v>9.6500671198635323E-3</v>
      </c>
      <c r="AP64">
        <f t="shared" si="2"/>
        <v>0.99999999627926262</v>
      </c>
      <c r="AQ64">
        <f t="shared" si="3"/>
        <v>0.99999999813963125</v>
      </c>
      <c r="AS64">
        <f t="shared" si="4"/>
        <v>6.2099752995147979E-2</v>
      </c>
      <c r="AT64">
        <f t="shared" si="5"/>
        <v>0.13014064097726363</v>
      </c>
      <c r="AU64">
        <f t="shared" si="6"/>
        <v>0.22234111822136216</v>
      </c>
      <c r="AV64">
        <f t="shared" si="7"/>
        <v>0.15289650686264714</v>
      </c>
      <c r="AW64">
        <f t="shared" si="8"/>
        <v>0.1709869350278721</v>
      </c>
      <c r="AX64">
        <f t="shared" si="9"/>
        <v>0.1210384879322738</v>
      </c>
      <c r="AY64">
        <f t="shared" si="10"/>
        <v>7.6366945435751371E-2</v>
      </c>
      <c r="AZ64">
        <f t="shared" si="11"/>
        <v>0.11887911321343547</v>
      </c>
      <c r="BA64">
        <f t="shared" si="12"/>
        <v>0.21051194433672518</v>
      </c>
      <c r="BB64">
        <f t="shared" si="13"/>
        <v>0.21270414538794907</v>
      </c>
      <c r="BC64">
        <f t="shared" si="14"/>
        <v>0.12110350390234324</v>
      </c>
      <c r="BD64">
        <f t="shared" si="15"/>
        <v>0.16887427063344221</v>
      </c>
      <c r="BE64">
        <f t="shared" si="16"/>
        <v>0.12164197671858716</v>
      </c>
      <c r="BF64">
        <f t="shared" si="17"/>
        <v>0.11925751918259252</v>
      </c>
      <c r="BG64">
        <f t="shared" si="18"/>
        <v>3.3286418418418257E-2</v>
      </c>
      <c r="BH64">
        <f t="shared" si="19"/>
        <v>0.19750946734130678</v>
      </c>
      <c r="BI64">
        <f t="shared" si="20"/>
        <v>0.31990284422970422</v>
      </c>
      <c r="BJ64">
        <f t="shared" si="21"/>
        <v>0.26139319424232904</v>
      </c>
      <c r="BK64">
        <f t="shared" si="22"/>
        <v>0.28030662139911561</v>
      </c>
      <c r="BL64">
        <f t="shared" si="23"/>
        <v>0.15666048344683944</v>
      </c>
      <c r="BM64">
        <f t="shared" si="24"/>
        <v>5.6960844242246192E-2</v>
      </c>
      <c r="BN64">
        <f t="shared" si="25"/>
        <v>0.2180821517884042</v>
      </c>
      <c r="BO64">
        <f t="shared" si="26"/>
        <v>0.11266509480524604</v>
      </c>
      <c r="BP64">
        <f t="shared" si="27"/>
        <v>0.1184158424334384</v>
      </c>
      <c r="BQ64">
        <f t="shared" si="28"/>
        <v>0.18639488806470078</v>
      </c>
      <c r="BR64">
        <f t="shared" si="29"/>
        <v>0.21037724340661471</v>
      </c>
      <c r="BS64">
        <f t="shared" si="30"/>
        <v>8.7880713183900616E-2</v>
      </c>
      <c r="BT64">
        <f t="shared" si="31"/>
        <v>0.14641224934523367</v>
      </c>
      <c r="BU64">
        <f t="shared" si="32"/>
        <v>0.13118177950028886</v>
      </c>
      <c r="BV64">
        <f t="shared" si="33"/>
        <v>4.5440761094566427E-2</v>
      </c>
      <c r="BW64">
        <f t="shared" si="34"/>
        <v>0.12081288485646408</v>
      </c>
      <c r="BX64">
        <f t="shared" si="35"/>
        <v>0.13916350871546282</v>
      </c>
      <c r="BY64">
        <f t="shared" si="36"/>
        <v>0.16321457779437307</v>
      </c>
      <c r="BZ64">
        <f t="shared" si="37"/>
        <v>5.300816685622247E-2</v>
      </c>
      <c r="CA64">
        <f t="shared" si="38"/>
        <v>6.6668715785278887E-2</v>
      </c>
      <c r="CB64">
        <f t="shared" si="39"/>
        <v>7.1244884300474098E-2</v>
      </c>
      <c r="CC64">
        <f t="shared" si="40"/>
        <v>0.28281374372693785</v>
      </c>
      <c r="CD64">
        <f t="shared" si="41"/>
        <v>9.4452908792983709E-2</v>
      </c>
      <c r="CE64">
        <f t="shared" si="42"/>
        <v>9.6500671378162151E-3</v>
      </c>
      <c r="CG64">
        <f t="shared" si="43"/>
        <v>1</v>
      </c>
      <c r="CH64">
        <f t="shared" si="44"/>
        <v>1</v>
      </c>
      <c r="CJ64">
        <f t="shared" si="45"/>
        <v>0.89235303472714544</v>
      </c>
    </row>
    <row r="65" spans="1:88" ht="14.4" x14ac:dyDescent="0.3">
      <c r="A65" t="s">
        <v>66</v>
      </c>
      <c r="B65" s="6">
        <v>6.2099752879619538E-2</v>
      </c>
      <c r="C65" s="6">
        <v>0.13014064073515405</v>
      </c>
      <c r="D65" s="6">
        <v>0.2223411178077257</v>
      </c>
      <c r="E65" s="6">
        <v>0.15289650657820325</v>
      </c>
      <c r="F65" s="6">
        <v>0.17098693470977336</v>
      </c>
      <c r="G65" s="6">
        <v>0.12103848770709758</v>
      </c>
      <c r="H65" s="6">
        <v>7.6366945293680696E-2</v>
      </c>
      <c r="I65" s="6">
        <v>0.11887911299227648</v>
      </c>
      <c r="J65" s="6">
        <v>0.21051194394509534</v>
      </c>
      <c r="K65" s="6">
        <v>0.21270414499224094</v>
      </c>
      <c r="L65" s="6">
        <v>0.12110350367704607</v>
      </c>
      <c r="M65" s="6">
        <v>0.16887427031927379</v>
      </c>
      <c r="N65" s="6">
        <v>0.12164197649228822</v>
      </c>
      <c r="O65" s="6">
        <v>0.11925751896072956</v>
      </c>
      <c r="P65" s="6">
        <v>3.3286418356493243E-2</v>
      </c>
      <c r="Q65" s="6">
        <v>0.19750946697386634</v>
      </c>
      <c r="R65" s="6">
        <v>0.31990284363456695</v>
      </c>
      <c r="S65" s="6">
        <v>0.26139319375604131</v>
      </c>
      <c r="T65" s="6">
        <v>0.28030662087764191</v>
      </c>
      <c r="U65" s="6">
        <v>0.15666048315539319</v>
      </c>
      <c r="V65" s="6">
        <v>5.696084413627802E-2</v>
      </c>
      <c r="W65" s="6">
        <v>0.21808215138269099</v>
      </c>
      <c r="X65" s="6">
        <v>0.11266509459564743</v>
      </c>
      <c r="Y65" s="6">
        <v>0.11841584221314128</v>
      </c>
      <c r="Z65" s="6">
        <v>0.18639488771793755</v>
      </c>
      <c r="AA65" s="6">
        <v>0.21037724301523544</v>
      </c>
      <c r="AB65" s="6">
        <v>8.7880713020410089E-2</v>
      </c>
      <c r="AC65" s="6">
        <v>0.14641224907285288</v>
      </c>
      <c r="AD65" s="6">
        <v>0.13118177925624239</v>
      </c>
      <c r="AE65" s="6">
        <v>4.5440761010029855E-2</v>
      </c>
      <c r="AF65" s="6">
        <v>0.12081288463170756</v>
      </c>
      <c r="AG65" s="6">
        <v>0.13916350845656739</v>
      </c>
      <c r="AH65" s="6">
        <v>0.16321457749073376</v>
      </c>
      <c r="AI65" s="6">
        <v>5.3008166757607736E-2</v>
      </c>
      <c r="AJ65" s="6">
        <v>6.6668715661250488E-2</v>
      </c>
      <c r="AK65" s="6">
        <v>7.1244884167932343E-2</v>
      </c>
      <c r="AL65" s="6">
        <v>0.28281374320079999</v>
      </c>
      <c r="AM65" s="6">
        <v>9.4452908617266462E-2</v>
      </c>
      <c r="AN65" s="6">
        <v>9.6500671198635323E-3</v>
      </c>
      <c r="AP65">
        <f t="shared" si="2"/>
        <v>0.99999999627926262</v>
      </c>
      <c r="AQ65">
        <f t="shared" si="3"/>
        <v>0.99999999813963125</v>
      </c>
      <c r="AS65">
        <f t="shared" si="4"/>
        <v>6.2099752995147979E-2</v>
      </c>
      <c r="AT65">
        <f t="shared" si="5"/>
        <v>0.13014064097726363</v>
      </c>
      <c r="AU65">
        <f t="shared" si="6"/>
        <v>0.22234111822136216</v>
      </c>
      <c r="AV65">
        <f t="shared" si="7"/>
        <v>0.15289650686264714</v>
      </c>
      <c r="AW65">
        <f t="shared" si="8"/>
        <v>0.1709869350278721</v>
      </c>
      <c r="AX65">
        <f t="shared" si="9"/>
        <v>0.1210384879322738</v>
      </c>
      <c r="AY65">
        <f t="shared" si="10"/>
        <v>7.6366945435751371E-2</v>
      </c>
      <c r="AZ65">
        <f t="shared" si="11"/>
        <v>0.11887911321343547</v>
      </c>
      <c r="BA65">
        <f t="shared" si="12"/>
        <v>0.21051194433672518</v>
      </c>
      <c r="BB65">
        <f t="shared" si="13"/>
        <v>0.21270414538794907</v>
      </c>
      <c r="BC65">
        <f t="shared" si="14"/>
        <v>0.12110350390234324</v>
      </c>
      <c r="BD65">
        <f t="shared" si="15"/>
        <v>0.16887427063344221</v>
      </c>
      <c r="BE65">
        <f t="shared" si="16"/>
        <v>0.12164197671858716</v>
      </c>
      <c r="BF65">
        <f t="shared" si="17"/>
        <v>0.11925751918259252</v>
      </c>
      <c r="BG65">
        <f t="shared" si="18"/>
        <v>3.3286418418418257E-2</v>
      </c>
      <c r="BH65">
        <f t="shared" si="19"/>
        <v>0.19750946734130678</v>
      </c>
      <c r="BI65">
        <f t="shared" si="20"/>
        <v>0.31990284422970422</v>
      </c>
      <c r="BJ65">
        <f t="shared" si="21"/>
        <v>0.26139319424232904</v>
      </c>
      <c r="BK65">
        <f t="shared" si="22"/>
        <v>0.28030662139911561</v>
      </c>
      <c r="BL65">
        <f t="shared" si="23"/>
        <v>0.15666048344683944</v>
      </c>
      <c r="BM65">
        <f t="shared" si="24"/>
        <v>5.6960844242246192E-2</v>
      </c>
      <c r="BN65">
        <f t="shared" si="25"/>
        <v>0.2180821517884042</v>
      </c>
      <c r="BO65">
        <f t="shared" si="26"/>
        <v>0.11266509480524604</v>
      </c>
      <c r="BP65">
        <f t="shared" si="27"/>
        <v>0.1184158424334384</v>
      </c>
      <c r="BQ65">
        <f t="shared" si="28"/>
        <v>0.18639488806470078</v>
      </c>
      <c r="BR65">
        <f t="shared" si="29"/>
        <v>0.21037724340661471</v>
      </c>
      <c r="BS65">
        <f t="shared" si="30"/>
        <v>8.7880713183900616E-2</v>
      </c>
      <c r="BT65">
        <f t="shared" si="31"/>
        <v>0.14641224934523367</v>
      </c>
      <c r="BU65">
        <f t="shared" si="32"/>
        <v>0.13118177950028886</v>
      </c>
      <c r="BV65">
        <f t="shared" si="33"/>
        <v>4.5440761094566427E-2</v>
      </c>
      <c r="BW65">
        <f t="shared" si="34"/>
        <v>0.12081288485646408</v>
      </c>
      <c r="BX65">
        <f t="shared" si="35"/>
        <v>0.13916350871546282</v>
      </c>
      <c r="BY65">
        <f t="shared" si="36"/>
        <v>0.16321457779437307</v>
      </c>
      <c r="BZ65">
        <f t="shared" si="37"/>
        <v>5.300816685622247E-2</v>
      </c>
      <c r="CA65">
        <f t="shared" si="38"/>
        <v>6.6668715785278887E-2</v>
      </c>
      <c r="CB65">
        <f t="shared" si="39"/>
        <v>7.1244884300474098E-2</v>
      </c>
      <c r="CC65">
        <f t="shared" si="40"/>
        <v>0.28281374372693785</v>
      </c>
      <c r="CD65">
        <f t="shared" si="41"/>
        <v>9.4452908792983709E-2</v>
      </c>
      <c r="CE65">
        <f t="shared" si="42"/>
        <v>9.6500671378162151E-3</v>
      </c>
      <c r="CG65">
        <f t="shared" si="43"/>
        <v>1</v>
      </c>
      <c r="CH65">
        <f t="shared" si="44"/>
        <v>1</v>
      </c>
      <c r="CJ65">
        <f t="shared" si="45"/>
        <v>0.89235303472714544</v>
      </c>
    </row>
    <row r="68" spans="1:88" x14ac:dyDescent="0.25">
      <c r="A68" t="s">
        <v>112</v>
      </c>
      <c r="B68">
        <v>0.16910156595362713</v>
      </c>
      <c r="C68">
        <v>4.2429070529975348E-2</v>
      </c>
      <c r="D68">
        <v>0.43527774691275056</v>
      </c>
      <c r="E68">
        <v>-5.2902840894120265E-3</v>
      </c>
      <c r="F68">
        <v>4.2369141502595908E-2</v>
      </c>
      <c r="G68">
        <v>0.12526302317635421</v>
      </c>
      <c r="H68">
        <v>-7.572316965918241E-2</v>
      </c>
      <c r="I68">
        <v>0.18606479967137513</v>
      </c>
      <c r="J68">
        <v>0.20279777400099247</v>
      </c>
      <c r="K68">
        <v>0.17137981095222471</v>
      </c>
      <c r="L68">
        <v>0.23465056179026408</v>
      </c>
      <c r="M68">
        <v>0.20952735851081175</v>
      </c>
      <c r="N68">
        <v>8.4490442689008599E-2</v>
      </c>
      <c r="O68">
        <v>-0.24647915684977628</v>
      </c>
      <c r="P68">
        <v>-7.1717431297342982E-2</v>
      </c>
      <c r="Q68">
        <v>0.18715413368614262</v>
      </c>
      <c r="R68">
        <v>0.32989834019990399</v>
      </c>
      <c r="S68">
        <v>0.1833969773491039</v>
      </c>
      <c r="T68">
        <v>0.10501553097761875</v>
      </c>
      <c r="U68">
        <v>7.4108707382248257E-2</v>
      </c>
      <c r="V68">
        <v>-9.6831713407896352E-3</v>
      </c>
      <c r="W68">
        <v>-2.6127606746701188E-2</v>
      </c>
      <c r="X68">
        <v>9.3753136220926403E-2</v>
      </c>
      <c r="Y68">
        <v>-0.1261043159138158</v>
      </c>
      <c r="Z68">
        <v>0.1627624802617067</v>
      </c>
      <c r="AA68">
        <v>-6.8280410208542461E-2</v>
      </c>
      <c r="AB68">
        <v>8.6161857563387123E-2</v>
      </c>
      <c r="AC68">
        <v>-0.11247896861089039</v>
      </c>
      <c r="AD68">
        <v>0.11829315800653022</v>
      </c>
      <c r="AE68">
        <v>0.12684434658763327</v>
      </c>
      <c r="AF68">
        <v>0.22224079798355029</v>
      </c>
      <c r="AG68">
        <v>-7.6416434386881685E-2</v>
      </c>
      <c r="AH68">
        <v>5.4930551225108046E-3</v>
      </c>
      <c r="AI68">
        <v>0.12821072117084886</v>
      </c>
      <c r="AJ68">
        <v>-0.21817506275220683</v>
      </c>
      <c r="AK68">
        <v>0.18864354980169862</v>
      </c>
      <c r="AL68">
        <v>-9.756334168529919E-2</v>
      </c>
      <c r="AM68">
        <v>0.11109299991126537</v>
      </c>
      <c r="AN68">
        <v>4.7272755747712267E-2</v>
      </c>
      <c r="AP68">
        <f t="shared" ref="AP68" si="46">SUMSQ(A68:AN68)</f>
        <v>0.99999999623787794</v>
      </c>
      <c r="AQ68">
        <f t="shared" ref="AQ68:AQ69" si="47">SQRT(AP68)</f>
        <v>0.99999999811893892</v>
      </c>
      <c r="AS68">
        <f t="shared" ref="AS68" si="48">B68/$AQ68</f>
        <v>0.16910156627171752</v>
      </c>
      <c r="AT68">
        <f t="shared" ref="AT68" si="49">C68/$AQ68</f>
        <v>4.2429070609787019E-2</v>
      </c>
      <c r="AU68">
        <f t="shared" ref="AU68" si="50">D68/$AQ68</f>
        <v>0.4352777477315346</v>
      </c>
      <c r="AV68">
        <f t="shared" ref="AV68" si="51">E68/$AQ68</f>
        <v>-5.2902840993633744E-3</v>
      </c>
      <c r="AW68">
        <f t="shared" ref="AW68" si="52">F68/$AQ68</f>
        <v>4.236914158229485E-2</v>
      </c>
      <c r="AX68">
        <f t="shared" ref="AX68" si="53">G68/$AQ68</f>
        <v>0.12526302341198162</v>
      </c>
      <c r="AY68">
        <f t="shared" ref="AY68" si="54">H68/$AQ68</f>
        <v>-7.5723169801622317E-2</v>
      </c>
      <c r="AZ68">
        <f t="shared" ref="AZ68" si="55">I68/$AQ68</f>
        <v>0.18606480002137438</v>
      </c>
      <c r="BA68">
        <f t="shared" ref="BA68" si="56">J68/$AQ68</f>
        <v>0.20279777438246746</v>
      </c>
      <c r="BB68">
        <f t="shared" ref="BB68" si="57">K68/$AQ68</f>
        <v>0.17137981127460061</v>
      </c>
      <c r="BC68">
        <f t="shared" ref="BC68" si="58">L68/$AQ68</f>
        <v>0.23465056223165612</v>
      </c>
      <c r="BD68">
        <f t="shared" ref="BD68" si="59">M68/$AQ68</f>
        <v>0.2095273589049455</v>
      </c>
      <c r="BE68">
        <f t="shared" ref="BE68" si="60">N68/$AQ68</f>
        <v>8.4490442847940286E-2</v>
      </c>
      <c r="BF68">
        <f t="shared" ref="BF68" si="61">O68/$AQ68</f>
        <v>-0.24647915731341863</v>
      </c>
      <c r="BG68">
        <f t="shared" ref="BG68" si="62">P68/$AQ68</f>
        <v>-7.1717431432247847E-2</v>
      </c>
      <c r="BH68">
        <f t="shared" ref="BH68" si="63">Q68/$AQ68</f>
        <v>0.18715413403819098</v>
      </c>
      <c r="BI68">
        <f t="shared" ref="BI68" si="64">R68/$AQ68</f>
        <v>0.32989834082046293</v>
      </c>
      <c r="BJ68">
        <f t="shared" ref="BJ68" si="65">S68/$AQ68</f>
        <v>0.18339697769408481</v>
      </c>
      <c r="BK68">
        <f t="shared" ref="BK68" si="66">T68/$AQ68</f>
        <v>0.10501553117515937</v>
      </c>
      <c r="BL68">
        <f t="shared" ref="BL68" si="67">U68/$AQ68</f>
        <v>7.410870752165126E-2</v>
      </c>
      <c r="BM68">
        <f t="shared" ref="BM68" si="68">V68/$AQ68</f>
        <v>-9.6831713590042716E-3</v>
      </c>
      <c r="BN68">
        <f t="shared" ref="BN68" si="69">W68/$AQ68</f>
        <v>-2.6127606795848812E-2</v>
      </c>
      <c r="BO68">
        <f t="shared" ref="BO68" si="70">X68/$AQ68</f>
        <v>9.3753136397281778E-2</v>
      </c>
      <c r="BP68">
        <f t="shared" ref="BP68" si="71">Y68/$AQ68</f>
        <v>-0.12610431615102571</v>
      </c>
      <c r="BQ68">
        <f t="shared" ref="BQ68" si="72">Z68/$AQ68</f>
        <v>0.16276248056787287</v>
      </c>
      <c r="BR68">
        <f t="shared" ref="BR68" si="73">AA68/$AQ68</f>
        <v>-6.8280410336982081E-2</v>
      </c>
      <c r="BS68">
        <f t="shared" ref="BS68" si="74">AB68/$AQ68</f>
        <v>8.6161857725462837E-2</v>
      </c>
      <c r="BT68">
        <f t="shared" ref="BT68" si="75">AC68/$AQ68</f>
        <v>-0.1124789688224702</v>
      </c>
      <c r="BU68">
        <f t="shared" ref="BU68" si="76">AD68/$AQ68</f>
        <v>0.11829315822904687</v>
      </c>
      <c r="BV68">
        <f t="shared" ref="BV68" si="77">AE68/$AQ68</f>
        <v>0.12684434682623524</v>
      </c>
      <c r="BW68">
        <f t="shared" ref="BW68" si="78">AF68/$AQ68</f>
        <v>0.2222407984015988</v>
      </c>
      <c r="BX68">
        <f t="shared" ref="BX68" si="79">AG68/$AQ68</f>
        <v>-7.641643453062566E-2</v>
      </c>
      <c r="BY68">
        <f t="shared" ref="BY68" si="80">AH68/$AQ68</f>
        <v>5.4930551328435766E-3</v>
      </c>
      <c r="BZ68">
        <f t="shared" ref="BZ68" si="81">AI68/$AQ68</f>
        <v>0.12821072141202106</v>
      </c>
      <c r="CA68">
        <f t="shared" ref="CA68" si="82">AJ68/$AQ68</f>
        <v>-0.21817506316260746</v>
      </c>
      <c r="CB68">
        <f t="shared" ref="CB68" si="83">AK68/$AQ68</f>
        <v>0.18864355015654866</v>
      </c>
      <c r="CC68">
        <f t="shared" ref="CC68" si="84">AL68/$AQ68</f>
        <v>-9.756334186882179E-2</v>
      </c>
      <c r="CD68">
        <f t="shared" ref="CD68" si="85">AM68/$AQ68</f>
        <v>0.11109300012023808</v>
      </c>
      <c r="CE68">
        <f t="shared" ref="CE68" si="86">AN68/$AQ68</f>
        <v>4.7272755836635205E-2</v>
      </c>
      <c r="CG68">
        <f t="shared" ref="CG68" si="87">SUMSQ(AR68:CE68)</f>
        <v>1.0000000000000002</v>
      </c>
      <c r="CH68">
        <f t="shared" ref="CH68:CH69" si="88">SQRT(CG68)</f>
        <v>1</v>
      </c>
      <c r="CJ68">
        <f t="shared" ref="CJ68" si="89">SUMPRODUCT($AS$1:$CE$1,AS68:CE68)</f>
        <v>0.47072144721351455</v>
      </c>
    </row>
    <row r="69" spans="1:88" x14ac:dyDescent="0.25">
      <c r="A69" t="s">
        <v>113</v>
      </c>
      <c r="B69">
        <v>5.1779151823063779E-2</v>
      </c>
      <c r="C69">
        <v>-0.22677412655777837</v>
      </c>
      <c r="D69">
        <v>0.16076024341386333</v>
      </c>
      <c r="E69">
        <v>-5.1786204043257254E-2</v>
      </c>
      <c r="F69">
        <v>0.12989800580179145</v>
      </c>
      <c r="G69">
        <v>0.17984789324950079</v>
      </c>
      <c r="H69">
        <v>0.12040259525348568</v>
      </c>
      <c r="I69">
        <v>-1.8837583652799694E-2</v>
      </c>
      <c r="J69">
        <v>9.6566763391156898E-2</v>
      </c>
      <c r="K69">
        <v>0.25800201370093717</v>
      </c>
      <c r="L69">
        <v>6.6234812174745403E-2</v>
      </c>
      <c r="M69">
        <v>0.15927697036564392</v>
      </c>
      <c r="N69">
        <v>0.23284870941924754</v>
      </c>
      <c r="O69">
        <v>9.9478657769860854E-2</v>
      </c>
      <c r="P69">
        <v>1.1857949968408723E-2</v>
      </c>
      <c r="Q69">
        <v>9.499584134229605E-2</v>
      </c>
      <c r="R69">
        <v>6.9283864720822264E-2</v>
      </c>
      <c r="S69">
        <v>6.7843095231016032E-2</v>
      </c>
      <c r="T69">
        <v>0.11103062714998009</v>
      </c>
      <c r="U69">
        <v>0.1457117241651123</v>
      </c>
      <c r="V69">
        <v>4.0407346498796119E-2</v>
      </c>
      <c r="W69">
        <v>8.5254945768242607E-2</v>
      </c>
      <c r="X69">
        <v>0.30683784512015561</v>
      </c>
      <c r="Y69">
        <v>7.9689516733380067E-2</v>
      </c>
      <c r="Z69">
        <v>0.14894115168360825</v>
      </c>
      <c r="AA69">
        <v>-3.9385309646055265E-2</v>
      </c>
      <c r="AB69">
        <v>4.682173185169726E-2</v>
      </c>
      <c r="AC69">
        <v>-0.22408780334274517</v>
      </c>
      <c r="AD69">
        <v>4.2940691146154321E-2</v>
      </c>
      <c r="AE69">
        <v>0.16772343971448386</v>
      </c>
      <c r="AF69">
        <v>0.10192335736259835</v>
      </c>
      <c r="AG69">
        <v>-0.39974306307360791</v>
      </c>
      <c r="AH69">
        <v>7.7273818169411604E-2</v>
      </c>
      <c r="AI69">
        <v>0.14481356925397232</v>
      </c>
      <c r="AJ69">
        <v>-0.36223402723253473</v>
      </c>
      <c r="AK69">
        <v>-0.22650487073448525</v>
      </c>
      <c r="AL69">
        <v>5.369983010392456E-2</v>
      </c>
      <c r="AM69">
        <v>0.10562432919487856</v>
      </c>
      <c r="AN69">
        <v>-0.14901804313028771</v>
      </c>
      <c r="AP69">
        <f t="shared" ref="AP69" si="90">SUMSQ(A69:AN69)</f>
        <v>1.0000000015524526</v>
      </c>
      <c r="AQ69">
        <f t="shared" si="47"/>
        <v>1.0000000007762262</v>
      </c>
      <c r="AS69">
        <f t="shared" ref="AS69" si="91">B69/$AQ69</f>
        <v>5.1779151782871444E-2</v>
      </c>
      <c r="AT69">
        <f t="shared" ref="AT69" si="92">C69/$AQ69</f>
        <v>-0.22677412638175035</v>
      </c>
      <c r="AU69">
        <f t="shared" ref="AU69" si="93">D69/$AQ69</f>
        <v>0.16076024328907701</v>
      </c>
      <c r="AV69">
        <f t="shared" ref="AV69" si="94">E69/$AQ69</f>
        <v>-5.1786204003059444E-2</v>
      </c>
      <c r="AW69">
        <f t="shared" ref="AW69" si="95">F69/$AQ69</f>
        <v>0.12989800570096122</v>
      </c>
      <c r="AX69">
        <f t="shared" ref="AX69" si="96">G69/$AQ69</f>
        <v>0.17984789310989815</v>
      </c>
      <c r="AY69">
        <f t="shared" ref="AY69" si="97">H69/$AQ69</f>
        <v>0.12040259516002604</v>
      </c>
      <c r="AZ69">
        <f t="shared" ref="AZ69" si="98">I69/$AQ69</f>
        <v>-1.8837583638177467E-2</v>
      </c>
      <c r="BA69">
        <f t="shared" ref="BA69" si="99">J69/$AQ69</f>
        <v>9.6566763316199247E-2</v>
      </c>
      <c r="BB69">
        <f t="shared" ref="BB69" si="100">K69/$AQ69</f>
        <v>0.25800201350066926</v>
      </c>
      <c r="BC69">
        <f t="shared" ref="BC69" si="101">L69/$AQ69</f>
        <v>6.623481212333221E-2</v>
      </c>
      <c r="BD69">
        <f t="shared" ref="BD69" si="102">M69/$AQ69</f>
        <v>0.15927697024200896</v>
      </c>
      <c r="BE69">
        <f t="shared" ref="BE69" si="103">N69/$AQ69</f>
        <v>0.23284870923850429</v>
      </c>
      <c r="BF69">
        <f t="shared" ref="BF69" si="104">O69/$AQ69</f>
        <v>9.9478657692642913E-2</v>
      </c>
      <c r="BG69">
        <f t="shared" ref="BG69" si="105">P69/$AQ69</f>
        <v>1.1857949959204271E-2</v>
      </c>
      <c r="BH69">
        <f t="shared" ref="BH69" si="106">Q69/$AQ69</f>
        <v>9.4995841268557785E-2</v>
      </c>
      <c r="BI69">
        <f t="shared" ref="BI69" si="107">R69/$AQ69</f>
        <v>6.9283864667042311E-2</v>
      </c>
      <c r="BJ69">
        <f t="shared" ref="BJ69" si="108">S69/$AQ69</f>
        <v>6.7843095178354448E-2</v>
      </c>
      <c r="BK69">
        <f t="shared" ref="BK69" si="109">T69/$AQ69</f>
        <v>0.11103062706379521</v>
      </c>
      <c r="BL69">
        <f t="shared" ref="BL69" si="110">U69/$AQ69</f>
        <v>0.14571172405200705</v>
      </c>
      <c r="BM69">
        <f t="shared" ref="BM69" si="111">V69/$AQ69</f>
        <v>4.0407346467430875E-2</v>
      </c>
      <c r="BN69">
        <f t="shared" ref="BN69" si="112">W69/$AQ69</f>
        <v>8.5254945702065488E-2</v>
      </c>
      <c r="BO69">
        <f t="shared" ref="BO69" si="113">X69/$AQ69</f>
        <v>0.30683784488198002</v>
      </c>
      <c r="BP69">
        <f t="shared" ref="BP69" si="114">Y69/$AQ69</f>
        <v>7.9689516671522978E-2</v>
      </c>
      <c r="BQ69">
        <f t="shared" ref="BQ69" si="115">Z69/$AQ69</f>
        <v>0.14894115156799623</v>
      </c>
      <c r="BR69">
        <f t="shared" ref="BR69" si="116">AA69/$AQ69</f>
        <v>-3.9385309615483359E-2</v>
      </c>
      <c r="BS69">
        <f t="shared" ref="BS69" si="117">AB69/$AQ69</f>
        <v>4.6821731815353006E-2</v>
      </c>
      <c r="BT69">
        <f t="shared" ref="BT69" si="118">AC69/$AQ69</f>
        <v>-0.22408780316880234</v>
      </c>
      <c r="BU69">
        <f t="shared" ref="BU69" si="119">AD69/$AQ69</f>
        <v>4.2940691112822629E-2</v>
      </c>
      <c r="BV69">
        <f t="shared" ref="BV69" si="120">AE69/$AQ69</f>
        <v>0.16772343958429253</v>
      </c>
      <c r="BW69">
        <f t="shared" ref="BW69" si="121">AF69/$AQ69</f>
        <v>0.10192335728348277</v>
      </c>
      <c r="BX69">
        <f t="shared" ref="BX69" si="122">AG69/$AQ69</f>
        <v>-0.39974306276331689</v>
      </c>
      <c r="BY69">
        <f t="shared" ref="BY69" si="123">AH69/$AQ69</f>
        <v>7.727381810942964E-2</v>
      </c>
      <c r="BZ69">
        <f t="shared" ref="BZ69" si="124">AI69/$AQ69</f>
        <v>0.14481356914156424</v>
      </c>
      <c r="CA69">
        <f t="shared" ref="CA69" si="125">AJ69/$AQ69</f>
        <v>-0.3622340269513592</v>
      </c>
      <c r="CB69">
        <f t="shared" ref="CB69" si="126">AK69/$AQ69</f>
        <v>-0.22650487055866622</v>
      </c>
      <c r="CC69">
        <f t="shared" ref="CC69" si="127">AL69/$AQ69</f>
        <v>5.3699830062241348E-2</v>
      </c>
      <c r="CD69">
        <f t="shared" ref="CD69" si="128">AM69/$AQ69</f>
        <v>0.10562432911289019</v>
      </c>
      <c r="CE69">
        <f t="shared" ref="CE69" si="129">AN69/$AQ69</f>
        <v>-0.14901804301461599</v>
      </c>
      <c r="CG69">
        <f t="shared" ref="CG69" si="130">SUMSQ(AR69:CE69)</f>
        <v>1.0000000000000004</v>
      </c>
      <c r="CH69">
        <f t="shared" si="88"/>
        <v>1.0000000000000002</v>
      </c>
      <c r="CJ69">
        <f>SUMPRODUCT($AS$50:$CE$50,AS69:CE69)</f>
        <v>0.34512960096950163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69"/>
  <sheetViews>
    <sheetView topLeftCell="A16" zoomScale="85" zoomScaleNormal="85" workbookViewId="0">
      <selection activeCell="B41" sqref="B41:AN65"/>
    </sheetView>
  </sheetViews>
  <sheetFormatPr defaultColWidth="11.5546875" defaultRowHeight="13.2" x14ac:dyDescent="0.25"/>
  <cols>
    <col min="1" max="1" width="22.109375" customWidth="1"/>
  </cols>
  <sheetData>
    <row r="1" spans="1:88" x14ac:dyDescent="0.25">
      <c r="A1" s="1" t="s">
        <v>0</v>
      </c>
      <c r="AS1">
        <f>1/SQRT(39)</f>
        <v>0.16012815380508713</v>
      </c>
      <c r="AT1">
        <f t="shared" ref="AT1:CE1" si="0">1/SQRT(39)</f>
        <v>0.16012815380508713</v>
      </c>
      <c r="AU1">
        <f t="shared" si="0"/>
        <v>0.16012815380508713</v>
      </c>
      <c r="AV1">
        <f t="shared" si="0"/>
        <v>0.16012815380508713</v>
      </c>
      <c r="AW1">
        <f t="shared" si="0"/>
        <v>0.16012815380508713</v>
      </c>
      <c r="AX1">
        <f t="shared" si="0"/>
        <v>0.16012815380508713</v>
      </c>
      <c r="AY1">
        <f t="shared" si="0"/>
        <v>0.16012815380508713</v>
      </c>
      <c r="AZ1">
        <f t="shared" si="0"/>
        <v>0.16012815380508713</v>
      </c>
      <c r="BA1">
        <f t="shared" si="0"/>
        <v>0.16012815380508713</v>
      </c>
      <c r="BB1">
        <f t="shared" si="0"/>
        <v>0.16012815380508713</v>
      </c>
      <c r="BC1">
        <f t="shared" si="0"/>
        <v>0.16012815380508713</v>
      </c>
      <c r="BD1">
        <f t="shared" si="0"/>
        <v>0.16012815380508713</v>
      </c>
      <c r="BE1">
        <f t="shared" si="0"/>
        <v>0.16012815380508713</v>
      </c>
      <c r="BF1">
        <f t="shared" si="0"/>
        <v>0.16012815380508713</v>
      </c>
      <c r="BG1">
        <f t="shared" si="0"/>
        <v>0.16012815380508713</v>
      </c>
      <c r="BH1">
        <f t="shared" si="0"/>
        <v>0.16012815380508713</v>
      </c>
      <c r="BI1">
        <f t="shared" si="0"/>
        <v>0.16012815380508713</v>
      </c>
      <c r="BJ1">
        <f t="shared" si="0"/>
        <v>0.16012815380508713</v>
      </c>
      <c r="BK1">
        <f t="shared" si="0"/>
        <v>0.16012815380508713</v>
      </c>
      <c r="BL1">
        <f t="shared" si="0"/>
        <v>0.16012815380508713</v>
      </c>
      <c r="BM1">
        <f t="shared" si="0"/>
        <v>0.16012815380508713</v>
      </c>
      <c r="BN1">
        <f t="shared" si="0"/>
        <v>0.16012815380508713</v>
      </c>
      <c r="BO1">
        <f t="shared" si="0"/>
        <v>0.16012815380508713</v>
      </c>
      <c r="BP1">
        <f t="shared" si="0"/>
        <v>0.16012815380508713</v>
      </c>
      <c r="BQ1">
        <f t="shared" si="0"/>
        <v>0.16012815380508713</v>
      </c>
      <c r="BR1">
        <f t="shared" si="0"/>
        <v>0.16012815380508713</v>
      </c>
      <c r="BS1">
        <f t="shared" si="0"/>
        <v>0.16012815380508713</v>
      </c>
      <c r="BT1">
        <f t="shared" si="0"/>
        <v>0.16012815380508713</v>
      </c>
      <c r="BU1">
        <f t="shared" si="0"/>
        <v>0.16012815380508713</v>
      </c>
      <c r="BV1">
        <f t="shared" si="0"/>
        <v>0.16012815380508713</v>
      </c>
      <c r="BW1">
        <f t="shared" si="0"/>
        <v>0.16012815380508713</v>
      </c>
      <c r="BX1">
        <f t="shared" si="0"/>
        <v>0.16012815380508713</v>
      </c>
      <c r="BY1">
        <f t="shared" si="0"/>
        <v>0.16012815380508713</v>
      </c>
      <c r="BZ1">
        <f t="shared" si="0"/>
        <v>0.16012815380508713</v>
      </c>
      <c r="CA1">
        <f t="shared" si="0"/>
        <v>0.16012815380508713</v>
      </c>
      <c r="CB1">
        <f t="shared" si="0"/>
        <v>0.16012815380508713</v>
      </c>
      <c r="CC1">
        <f t="shared" si="0"/>
        <v>0.16012815380508713</v>
      </c>
      <c r="CD1">
        <f t="shared" si="0"/>
        <v>0.16012815380508713</v>
      </c>
      <c r="CE1">
        <f t="shared" si="0"/>
        <v>0.16012815380508713</v>
      </c>
    </row>
    <row r="2" spans="1:88" x14ac:dyDescent="0.25">
      <c r="A2" t="s">
        <v>3</v>
      </c>
      <c r="B2">
        <v>7.2024347849697769E-4</v>
      </c>
      <c r="C2">
        <v>7.2635355554771935E-2</v>
      </c>
      <c r="D2">
        <v>0.15706495928686995</v>
      </c>
      <c r="E2">
        <v>0.26906591602343555</v>
      </c>
      <c r="F2">
        <v>0.17452288329359189</v>
      </c>
      <c r="G2">
        <v>4.3164388199052446E-2</v>
      </c>
      <c r="H2">
        <v>0.3510762920258988</v>
      </c>
      <c r="I2">
        <v>0.18310243589501052</v>
      </c>
      <c r="J2">
        <v>5.5223553509018287E-2</v>
      </c>
      <c r="K2">
        <v>-0.31963582371114557</v>
      </c>
      <c r="L2">
        <v>-4.8931001131431916E-2</v>
      </c>
      <c r="M2">
        <v>-2.4951196607477653E-2</v>
      </c>
      <c r="N2">
        <v>-0.32610688685152528</v>
      </c>
      <c r="O2">
        <v>-0.37620762211481712</v>
      </c>
      <c r="P2">
        <v>-1.7996323456252216E-3</v>
      </c>
      <c r="Q2">
        <v>-6.8378598026236082E-2</v>
      </c>
      <c r="R2">
        <v>-0.11370007584624625</v>
      </c>
      <c r="S2">
        <v>-9.1250068252648212E-2</v>
      </c>
      <c r="T2">
        <v>-1.2619256016088841E-2</v>
      </c>
      <c r="U2">
        <v>2.9688000189572877E-2</v>
      </c>
      <c r="V2">
        <v>-4.1823285236270991E-3</v>
      </c>
      <c r="W2">
        <v>1.5802785300945775E-2</v>
      </c>
      <c r="X2">
        <v>-1.1520166208221442E-2</v>
      </c>
      <c r="Y2">
        <v>-7.5114246937517696E-3</v>
      </c>
      <c r="Z2">
        <v>-2.0012642119864796E-2</v>
      </c>
      <c r="AA2">
        <v>-3.4393150437397519E-3</v>
      </c>
      <c r="AB2">
        <v>6.8141362575721079E-2</v>
      </c>
      <c r="AC2">
        <v>2.7248893800105897E-3</v>
      </c>
      <c r="AD2">
        <v>-1.274986580058635E-2</v>
      </c>
      <c r="AE2">
        <v>-2.2515955546855426E-2</v>
      </c>
      <c r="AF2">
        <v>-5.5465568767700944E-2</v>
      </c>
      <c r="AG2">
        <v>5.4246337901606989E-3</v>
      </c>
      <c r="AH2">
        <v>-1.7200272491896776E-2</v>
      </c>
      <c r="AI2">
        <v>-0.21275459821233664</v>
      </c>
      <c r="AJ2">
        <v>-0.35509171387018734</v>
      </c>
      <c r="AK2">
        <v>-0.28300405372712345</v>
      </c>
      <c r="AL2">
        <v>-0.21249049706950934</v>
      </c>
      <c r="AM2">
        <v>-0.13846239484489606</v>
      </c>
      <c r="AN2">
        <v>-1.046494358971589E-2</v>
      </c>
      <c r="AP2">
        <f>SUMSQ(A2:AN2)</f>
        <v>1.0000000004156873</v>
      </c>
      <c r="AQ2">
        <f>SQRT(AP2)</f>
        <v>1.0000000002078435</v>
      </c>
      <c r="AS2">
        <f>B2/$AQ2</f>
        <v>7.2024347834727972E-4</v>
      </c>
      <c r="AT2">
        <f t="shared" ref="AT2:CE8" si="1">C2/$AQ2</f>
        <v>7.263535553967515E-2</v>
      </c>
      <c r="AU2">
        <f t="shared" si="1"/>
        <v>0.15706495925422501</v>
      </c>
      <c r="AV2">
        <f t="shared" si="1"/>
        <v>0.26906591596751195</v>
      </c>
      <c r="AW2">
        <f t="shared" si="1"/>
        <v>0.17452288325731843</v>
      </c>
      <c r="AX2">
        <f t="shared" si="1"/>
        <v>4.3164388190081004E-2</v>
      </c>
      <c r="AY2">
        <f t="shared" si="1"/>
        <v>0.35107629195292989</v>
      </c>
      <c r="AZ2">
        <f t="shared" si="1"/>
        <v>0.18310243585695388</v>
      </c>
      <c r="BA2">
        <f t="shared" si="1"/>
        <v>5.5223553497540427E-2</v>
      </c>
      <c r="BB2">
        <f t="shared" si="1"/>
        <v>-0.31963582364471133</v>
      </c>
      <c r="BC2">
        <f t="shared" si="1"/>
        <v>-4.8931001121261926E-2</v>
      </c>
      <c r="BD2">
        <f t="shared" si="1"/>
        <v>-2.4951196602291708E-2</v>
      </c>
      <c r="BE2">
        <f t="shared" si="1"/>
        <v>-0.32610688678374605</v>
      </c>
      <c r="BF2">
        <f t="shared" si="1"/>
        <v>-0.37620762203662478</v>
      </c>
      <c r="BG2">
        <f t="shared" si="1"/>
        <v>-1.7996323452511797E-3</v>
      </c>
      <c r="BH2">
        <f t="shared" si="1"/>
        <v>-6.8378598012024033E-2</v>
      </c>
      <c r="BI2">
        <f t="shared" si="1"/>
        <v>-0.11370007582261443</v>
      </c>
      <c r="BJ2">
        <f t="shared" si="1"/>
        <v>-9.125006823368248E-2</v>
      </c>
      <c r="BK2">
        <f t="shared" si="1"/>
        <v>-1.261925601346601E-2</v>
      </c>
      <c r="BL2">
        <f t="shared" si="1"/>
        <v>2.9688000183402417E-2</v>
      </c>
      <c r="BM2">
        <f t="shared" si="1"/>
        <v>-4.1823285227578291E-3</v>
      </c>
      <c r="BN2">
        <f t="shared" si="1"/>
        <v>1.5802785297661267E-2</v>
      </c>
      <c r="BO2">
        <f t="shared" si="1"/>
        <v>-1.152016620582705E-2</v>
      </c>
      <c r="BP2">
        <f t="shared" si="1"/>
        <v>-7.5114246921905688E-3</v>
      </c>
      <c r="BQ2">
        <f t="shared" si="1"/>
        <v>-2.0012642115705297E-2</v>
      </c>
      <c r="BR2">
        <f t="shared" si="1"/>
        <v>-3.4393150430249127E-3</v>
      </c>
      <c r="BS2">
        <f t="shared" si="1"/>
        <v>6.8141362561558338E-2</v>
      </c>
      <c r="BT2">
        <f t="shared" si="1"/>
        <v>2.7248893794442389E-3</v>
      </c>
      <c r="BU2">
        <f t="shared" si="1"/>
        <v>-1.2749865797936372E-2</v>
      </c>
      <c r="BV2">
        <f t="shared" si="1"/>
        <v>-2.2515955542175631E-2</v>
      </c>
      <c r="BW2">
        <f t="shared" si="1"/>
        <v>-5.5465568756172784E-2</v>
      </c>
      <c r="BX2">
        <f t="shared" si="1"/>
        <v>5.4246337890332241E-3</v>
      </c>
      <c r="BY2">
        <f t="shared" si="1"/>
        <v>-1.7200272488321809E-2</v>
      </c>
      <c r="BZ2">
        <f t="shared" si="1"/>
        <v>-0.21275459816811698</v>
      </c>
      <c r="CA2">
        <f t="shared" si="1"/>
        <v>-0.35509171379638382</v>
      </c>
      <c r="CB2">
        <f t="shared" si="1"/>
        <v>-0.28300405366830289</v>
      </c>
      <c r="CC2">
        <f t="shared" si="1"/>
        <v>-0.21249049702534456</v>
      </c>
      <c r="CD2">
        <f t="shared" si="1"/>
        <v>-0.13846239481611755</v>
      </c>
      <c r="CE2">
        <f t="shared" si="1"/>
        <v>-1.0464943587540819E-2</v>
      </c>
      <c r="CG2">
        <f>SUMSQ(AR2:CE2)</f>
        <v>1.0000000000000002</v>
      </c>
      <c r="CH2">
        <f>SQRT(CG2)</f>
        <v>1</v>
      </c>
      <c r="CJ2">
        <f>SUMPRODUCT($AS$1:$CE$1,AS2:CE2)</f>
        <v>-0.21170354305557426</v>
      </c>
    </row>
    <row r="3" spans="1:88" x14ac:dyDescent="0.25">
      <c r="A3" t="s">
        <v>4</v>
      </c>
      <c r="B3">
        <v>7.2024347849697769E-4</v>
      </c>
      <c r="C3">
        <v>7.2635355554771935E-2</v>
      </c>
      <c r="D3">
        <v>0.15706495928686995</v>
      </c>
      <c r="E3">
        <v>0.26906591602343555</v>
      </c>
      <c r="F3">
        <v>0.17452288329359189</v>
      </c>
      <c r="G3">
        <v>4.3164388199052446E-2</v>
      </c>
      <c r="H3">
        <v>0.3510762920258988</v>
      </c>
      <c r="I3">
        <v>0.18310243589501052</v>
      </c>
      <c r="J3">
        <v>5.5223553509018287E-2</v>
      </c>
      <c r="K3">
        <v>-0.31963582371114557</v>
      </c>
      <c r="L3">
        <v>-4.8931001131431916E-2</v>
      </c>
      <c r="M3">
        <v>-2.4951196607477653E-2</v>
      </c>
      <c r="N3">
        <v>-0.32610688685152528</v>
      </c>
      <c r="O3">
        <v>-0.37620762211481712</v>
      </c>
      <c r="P3">
        <v>-1.7996323456252216E-3</v>
      </c>
      <c r="Q3">
        <v>-6.8378598026236082E-2</v>
      </c>
      <c r="R3">
        <v>-0.11370007584624625</v>
      </c>
      <c r="S3">
        <v>-9.1250068252648212E-2</v>
      </c>
      <c r="T3">
        <v>-1.2619256016088841E-2</v>
      </c>
      <c r="U3">
        <v>2.9688000189572877E-2</v>
      </c>
      <c r="V3">
        <v>-4.1823285236270991E-3</v>
      </c>
      <c r="W3">
        <v>1.5802785300945775E-2</v>
      </c>
      <c r="X3">
        <v>-1.1520166208221442E-2</v>
      </c>
      <c r="Y3">
        <v>-7.5114246937517696E-3</v>
      </c>
      <c r="Z3">
        <v>-2.0012642119864796E-2</v>
      </c>
      <c r="AA3">
        <v>-3.4393150437397519E-3</v>
      </c>
      <c r="AB3">
        <v>6.8141362575721079E-2</v>
      </c>
      <c r="AC3">
        <v>2.7248893800105897E-3</v>
      </c>
      <c r="AD3">
        <v>-1.274986580058635E-2</v>
      </c>
      <c r="AE3">
        <v>-2.2515955546855426E-2</v>
      </c>
      <c r="AF3">
        <v>-5.5465568767700944E-2</v>
      </c>
      <c r="AG3">
        <v>5.4246337901606989E-3</v>
      </c>
      <c r="AH3">
        <v>-1.7200272491896776E-2</v>
      </c>
      <c r="AI3">
        <v>-0.21275459821233664</v>
      </c>
      <c r="AJ3">
        <v>-0.35509171387018734</v>
      </c>
      <c r="AK3">
        <v>-0.28300405372712345</v>
      </c>
      <c r="AL3">
        <v>-0.21249049706950934</v>
      </c>
      <c r="AM3">
        <v>-0.13846239484489606</v>
      </c>
      <c r="AN3">
        <v>-1.046494358971589E-2</v>
      </c>
      <c r="AP3">
        <f t="shared" ref="AP3:AP65" si="2">SUMSQ(A3:AN3)</f>
        <v>1.0000000004156873</v>
      </c>
      <c r="AQ3">
        <f t="shared" ref="AQ3:AQ65" si="3">SQRT(AP3)</f>
        <v>1.0000000002078435</v>
      </c>
      <c r="AS3">
        <f t="shared" ref="AS3:BH24" si="4">B3/$AQ3</f>
        <v>7.2024347834727972E-4</v>
      </c>
      <c r="AT3">
        <f t="shared" si="1"/>
        <v>7.263535553967515E-2</v>
      </c>
      <c r="AU3">
        <f t="shared" si="1"/>
        <v>0.15706495925422501</v>
      </c>
      <c r="AV3">
        <f t="shared" si="1"/>
        <v>0.26906591596751195</v>
      </c>
      <c r="AW3">
        <f t="shared" si="1"/>
        <v>0.17452288325731843</v>
      </c>
      <c r="AX3">
        <f t="shared" si="1"/>
        <v>4.3164388190081004E-2</v>
      </c>
      <c r="AY3">
        <f t="shared" si="1"/>
        <v>0.35107629195292989</v>
      </c>
      <c r="AZ3">
        <f t="shared" si="1"/>
        <v>0.18310243585695388</v>
      </c>
      <c r="BA3">
        <f t="shared" si="1"/>
        <v>5.5223553497540427E-2</v>
      </c>
      <c r="BB3">
        <f t="shared" si="1"/>
        <v>-0.31963582364471133</v>
      </c>
      <c r="BC3">
        <f t="shared" si="1"/>
        <v>-4.8931001121261926E-2</v>
      </c>
      <c r="BD3">
        <f t="shared" si="1"/>
        <v>-2.4951196602291708E-2</v>
      </c>
      <c r="BE3">
        <f t="shared" si="1"/>
        <v>-0.32610688678374605</v>
      </c>
      <c r="BF3">
        <f t="shared" si="1"/>
        <v>-0.37620762203662478</v>
      </c>
      <c r="BG3">
        <f t="shared" si="1"/>
        <v>-1.7996323452511797E-3</v>
      </c>
      <c r="BH3">
        <f t="shared" si="1"/>
        <v>-6.8378598012024033E-2</v>
      </c>
      <c r="BI3">
        <f t="shared" si="1"/>
        <v>-0.11370007582261443</v>
      </c>
      <c r="BJ3">
        <f t="shared" si="1"/>
        <v>-9.125006823368248E-2</v>
      </c>
      <c r="BK3">
        <f t="shared" si="1"/>
        <v>-1.261925601346601E-2</v>
      </c>
      <c r="BL3">
        <f t="shared" si="1"/>
        <v>2.9688000183402417E-2</v>
      </c>
      <c r="BM3">
        <f t="shared" si="1"/>
        <v>-4.1823285227578291E-3</v>
      </c>
      <c r="BN3">
        <f t="shared" si="1"/>
        <v>1.5802785297661267E-2</v>
      </c>
      <c r="BO3">
        <f t="shared" si="1"/>
        <v>-1.152016620582705E-2</v>
      </c>
      <c r="BP3">
        <f t="shared" si="1"/>
        <v>-7.5114246921905688E-3</v>
      </c>
      <c r="BQ3">
        <f t="shared" si="1"/>
        <v>-2.0012642115705297E-2</v>
      </c>
      <c r="BR3">
        <f t="shared" si="1"/>
        <v>-3.4393150430249127E-3</v>
      </c>
      <c r="BS3">
        <f t="shared" si="1"/>
        <v>6.8141362561558338E-2</v>
      </c>
      <c r="BT3">
        <f t="shared" si="1"/>
        <v>2.7248893794442389E-3</v>
      </c>
      <c r="BU3">
        <f t="shared" si="1"/>
        <v>-1.2749865797936372E-2</v>
      </c>
      <c r="BV3">
        <f t="shared" si="1"/>
        <v>-2.2515955542175631E-2</v>
      </c>
      <c r="BW3">
        <f t="shared" si="1"/>
        <v>-5.5465568756172784E-2</v>
      </c>
      <c r="BX3">
        <f t="shared" si="1"/>
        <v>5.4246337890332241E-3</v>
      </c>
      <c r="BY3">
        <f t="shared" si="1"/>
        <v>-1.7200272488321809E-2</v>
      </c>
      <c r="BZ3">
        <f t="shared" si="1"/>
        <v>-0.21275459816811698</v>
      </c>
      <c r="CA3">
        <f t="shared" si="1"/>
        <v>-0.35509171379638382</v>
      </c>
      <c r="CB3">
        <f t="shared" si="1"/>
        <v>-0.28300405366830289</v>
      </c>
      <c r="CC3">
        <f t="shared" si="1"/>
        <v>-0.21249049702534456</v>
      </c>
      <c r="CD3">
        <f t="shared" si="1"/>
        <v>-0.13846239481611755</v>
      </c>
      <c r="CE3">
        <f t="shared" si="1"/>
        <v>-1.0464943587540819E-2</v>
      </c>
      <c r="CG3">
        <f t="shared" ref="CG3:CG65" si="5">SUMSQ(AR3:CE3)</f>
        <v>1.0000000000000002</v>
      </c>
      <c r="CH3">
        <f t="shared" ref="CH3:CH65" si="6">SQRT(CG3)</f>
        <v>1</v>
      </c>
      <c r="CJ3">
        <f t="shared" ref="CJ3:CJ65" si="7">SUMPRODUCT($AS$1:$CE$1,AS3:CE3)</f>
        <v>-0.21170354305557426</v>
      </c>
    </row>
    <row r="4" spans="1:88" x14ac:dyDescent="0.25">
      <c r="A4" t="s">
        <v>5</v>
      </c>
      <c r="B4">
        <v>7.2024347849697769E-4</v>
      </c>
      <c r="C4">
        <v>7.2635355554771935E-2</v>
      </c>
      <c r="D4">
        <v>0.15706495928686995</v>
      </c>
      <c r="E4">
        <v>0.26906591602343555</v>
      </c>
      <c r="F4">
        <v>0.17452288329359189</v>
      </c>
      <c r="G4">
        <v>4.3164388199052446E-2</v>
      </c>
      <c r="H4">
        <v>0.3510762920258988</v>
      </c>
      <c r="I4">
        <v>0.18310243589501052</v>
      </c>
      <c r="J4">
        <v>5.5223553509018287E-2</v>
      </c>
      <c r="K4">
        <v>-0.31963582371114557</v>
      </c>
      <c r="L4">
        <v>-4.8931001131431916E-2</v>
      </c>
      <c r="M4">
        <v>-2.4951196607477653E-2</v>
      </c>
      <c r="N4">
        <v>-0.32610688685152528</v>
      </c>
      <c r="O4">
        <v>-0.37620762211481712</v>
      </c>
      <c r="P4">
        <v>-1.7996323456252216E-3</v>
      </c>
      <c r="Q4">
        <v>-6.8378598026236082E-2</v>
      </c>
      <c r="R4">
        <v>-0.11370007584624625</v>
      </c>
      <c r="S4">
        <v>-9.1250068252648212E-2</v>
      </c>
      <c r="T4">
        <v>-1.2619256016088841E-2</v>
      </c>
      <c r="U4">
        <v>2.9688000189572877E-2</v>
      </c>
      <c r="V4">
        <v>-4.1823285236270991E-3</v>
      </c>
      <c r="W4">
        <v>1.5802785300945775E-2</v>
      </c>
      <c r="X4">
        <v>-1.1520166208221442E-2</v>
      </c>
      <c r="Y4">
        <v>-7.5114246937517696E-3</v>
      </c>
      <c r="Z4">
        <v>-2.0012642119864796E-2</v>
      </c>
      <c r="AA4">
        <v>-3.4393150437397519E-3</v>
      </c>
      <c r="AB4">
        <v>6.8141362575721079E-2</v>
      </c>
      <c r="AC4">
        <v>2.7248893800105897E-3</v>
      </c>
      <c r="AD4">
        <v>-1.274986580058635E-2</v>
      </c>
      <c r="AE4">
        <v>-2.2515955546855426E-2</v>
      </c>
      <c r="AF4">
        <v>-5.5465568767700944E-2</v>
      </c>
      <c r="AG4">
        <v>5.4246337901606989E-3</v>
      </c>
      <c r="AH4">
        <v>-1.7200272491896776E-2</v>
      </c>
      <c r="AI4">
        <v>-0.21275459821233664</v>
      </c>
      <c r="AJ4">
        <v>-0.35509171387018734</v>
      </c>
      <c r="AK4">
        <v>-0.28300405372712345</v>
      </c>
      <c r="AL4">
        <v>-0.21249049706950934</v>
      </c>
      <c r="AM4">
        <v>-0.13846239484489606</v>
      </c>
      <c r="AN4">
        <v>-1.046494358971589E-2</v>
      </c>
      <c r="AP4">
        <f t="shared" si="2"/>
        <v>1.0000000004156873</v>
      </c>
      <c r="AQ4">
        <f t="shared" si="3"/>
        <v>1.0000000002078435</v>
      </c>
      <c r="AS4">
        <f t="shared" si="4"/>
        <v>7.2024347834727972E-4</v>
      </c>
      <c r="AT4">
        <f t="shared" si="1"/>
        <v>7.263535553967515E-2</v>
      </c>
      <c r="AU4">
        <f t="shared" si="1"/>
        <v>0.15706495925422501</v>
      </c>
      <c r="AV4">
        <f t="shared" si="1"/>
        <v>0.26906591596751195</v>
      </c>
      <c r="AW4">
        <f t="shared" si="1"/>
        <v>0.17452288325731843</v>
      </c>
      <c r="AX4">
        <f t="shared" si="1"/>
        <v>4.3164388190081004E-2</v>
      </c>
      <c r="AY4">
        <f t="shared" si="1"/>
        <v>0.35107629195292989</v>
      </c>
      <c r="AZ4">
        <f t="shared" si="1"/>
        <v>0.18310243585695388</v>
      </c>
      <c r="BA4">
        <f t="shared" si="1"/>
        <v>5.5223553497540427E-2</v>
      </c>
      <c r="BB4">
        <f t="shared" si="1"/>
        <v>-0.31963582364471133</v>
      </c>
      <c r="BC4">
        <f t="shared" si="1"/>
        <v>-4.8931001121261926E-2</v>
      </c>
      <c r="BD4">
        <f t="shared" si="1"/>
        <v>-2.4951196602291708E-2</v>
      </c>
      <c r="BE4">
        <f t="shared" si="1"/>
        <v>-0.32610688678374605</v>
      </c>
      <c r="BF4">
        <f t="shared" si="1"/>
        <v>-0.37620762203662478</v>
      </c>
      <c r="BG4">
        <f t="shared" si="1"/>
        <v>-1.7996323452511797E-3</v>
      </c>
      <c r="BH4">
        <f t="shared" si="1"/>
        <v>-6.8378598012024033E-2</v>
      </c>
      <c r="BI4">
        <f t="shared" si="1"/>
        <v>-0.11370007582261443</v>
      </c>
      <c r="BJ4">
        <f t="shared" si="1"/>
        <v>-9.125006823368248E-2</v>
      </c>
      <c r="BK4">
        <f t="shared" si="1"/>
        <v>-1.261925601346601E-2</v>
      </c>
      <c r="BL4">
        <f t="shared" si="1"/>
        <v>2.9688000183402417E-2</v>
      </c>
      <c r="BM4">
        <f t="shared" si="1"/>
        <v>-4.1823285227578291E-3</v>
      </c>
      <c r="BN4">
        <f t="shared" si="1"/>
        <v>1.5802785297661267E-2</v>
      </c>
      <c r="BO4">
        <f t="shared" si="1"/>
        <v>-1.152016620582705E-2</v>
      </c>
      <c r="BP4">
        <f t="shared" si="1"/>
        <v>-7.5114246921905688E-3</v>
      </c>
      <c r="BQ4">
        <f t="shared" si="1"/>
        <v>-2.0012642115705297E-2</v>
      </c>
      <c r="BR4">
        <f t="shared" si="1"/>
        <v>-3.4393150430249127E-3</v>
      </c>
      <c r="BS4">
        <f t="shared" si="1"/>
        <v>6.8141362561558338E-2</v>
      </c>
      <c r="BT4">
        <f t="shared" si="1"/>
        <v>2.7248893794442389E-3</v>
      </c>
      <c r="BU4">
        <f t="shared" si="1"/>
        <v>-1.2749865797936372E-2</v>
      </c>
      <c r="BV4">
        <f t="shared" si="1"/>
        <v>-2.2515955542175631E-2</v>
      </c>
      <c r="BW4">
        <f t="shared" si="1"/>
        <v>-5.5465568756172784E-2</v>
      </c>
      <c r="BX4">
        <f t="shared" si="1"/>
        <v>5.4246337890332241E-3</v>
      </c>
      <c r="BY4">
        <f t="shared" si="1"/>
        <v>-1.7200272488321809E-2</v>
      </c>
      <c r="BZ4">
        <f t="shared" si="1"/>
        <v>-0.21275459816811698</v>
      </c>
      <c r="CA4">
        <f t="shared" si="1"/>
        <v>-0.35509171379638382</v>
      </c>
      <c r="CB4">
        <f t="shared" si="1"/>
        <v>-0.28300405366830289</v>
      </c>
      <c r="CC4">
        <f t="shared" si="1"/>
        <v>-0.21249049702534456</v>
      </c>
      <c r="CD4">
        <f t="shared" si="1"/>
        <v>-0.13846239481611755</v>
      </c>
      <c r="CE4">
        <f t="shared" si="1"/>
        <v>-1.0464943587540819E-2</v>
      </c>
      <c r="CG4">
        <f t="shared" si="5"/>
        <v>1.0000000000000002</v>
      </c>
      <c r="CH4">
        <f t="shared" si="6"/>
        <v>1</v>
      </c>
      <c r="CJ4">
        <f t="shared" si="7"/>
        <v>-0.21170354305557426</v>
      </c>
    </row>
    <row r="5" spans="1:88" x14ac:dyDescent="0.25">
      <c r="A5" t="s">
        <v>6</v>
      </c>
      <c r="B5">
        <v>7.2024347849697769E-4</v>
      </c>
      <c r="C5">
        <v>7.2635355554771935E-2</v>
      </c>
      <c r="D5">
        <v>0.15706495928686995</v>
      </c>
      <c r="E5">
        <v>0.26906591602343555</v>
      </c>
      <c r="F5">
        <v>0.17452288329359189</v>
      </c>
      <c r="G5">
        <v>4.3164388199052446E-2</v>
      </c>
      <c r="H5">
        <v>0.3510762920258988</v>
      </c>
      <c r="I5">
        <v>0.18310243589501052</v>
      </c>
      <c r="J5">
        <v>5.5223553509018287E-2</v>
      </c>
      <c r="K5">
        <v>-0.31963582371114557</v>
      </c>
      <c r="L5">
        <v>-4.8931001131431916E-2</v>
      </c>
      <c r="M5">
        <v>-2.4951196607477653E-2</v>
      </c>
      <c r="N5">
        <v>-0.32610688685152528</v>
      </c>
      <c r="O5">
        <v>-0.37620762211481712</v>
      </c>
      <c r="P5">
        <v>-1.7996323456252216E-3</v>
      </c>
      <c r="Q5">
        <v>-6.8378598026236082E-2</v>
      </c>
      <c r="R5">
        <v>-0.11370007584624625</v>
      </c>
      <c r="S5">
        <v>-9.1250068252648212E-2</v>
      </c>
      <c r="T5">
        <v>-1.2619256016088841E-2</v>
      </c>
      <c r="U5">
        <v>2.9688000189572877E-2</v>
      </c>
      <c r="V5">
        <v>-4.1823285236270991E-3</v>
      </c>
      <c r="W5">
        <v>1.5802785300945775E-2</v>
      </c>
      <c r="X5">
        <v>-1.1520166208221442E-2</v>
      </c>
      <c r="Y5">
        <v>-7.5114246937517696E-3</v>
      </c>
      <c r="Z5">
        <v>-2.0012642119864796E-2</v>
      </c>
      <c r="AA5">
        <v>-3.4393150437397519E-3</v>
      </c>
      <c r="AB5">
        <v>6.8141362575721079E-2</v>
      </c>
      <c r="AC5">
        <v>2.7248893800105897E-3</v>
      </c>
      <c r="AD5">
        <v>-1.274986580058635E-2</v>
      </c>
      <c r="AE5">
        <v>-2.2515955546855426E-2</v>
      </c>
      <c r="AF5">
        <v>-5.5465568767700944E-2</v>
      </c>
      <c r="AG5">
        <v>5.4246337901606989E-3</v>
      </c>
      <c r="AH5">
        <v>-1.7200272491896776E-2</v>
      </c>
      <c r="AI5">
        <v>-0.21275459821233664</v>
      </c>
      <c r="AJ5">
        <v>-0.35509171387018734</v>
      </c>
      <c r="AK5">
        <v>-0.28300405372712345</v>
      </c>
      <c r="AL5">
        <v>-0.21249049706950934</v>
      </c>
      <c r="AM5">
        <v>-0.13846239484489606</v>
      </c>
      <c r="AN5">
        <v>-1.046494358971589E-2</v>
      </c>
      <c r="AP5">
        <f t="shared" si="2"/>
        <v>1.0000000004156873</v>
      </c>
      <c r="AQ5">
        <f t="shared" si="3"/>
        <v>1.0000000002078435</v>
      </c>
      <c r="AS5">
        <f t="shared" si="4"/>
        <v>7.2024347834727972E-4</v>
      </c>
      <c r="AT5">
        <f t="shared" si="1"/>
        <v>7.263535553967515E-2</v>
      </c>
      <c r="AU5">
        <f t="shared" si="1"/>
        <v>0.15706495925422501</v>
      </c>
      <c r="AV5">
        <f t="shared" si="1"/>
        <v>0.26906591596751195</v>
      </c>
      <c r="AW5">
        <f t="shared" si="1"/>
        <v>0.17452288325731843</v>
      </c>
      <c r="AX5">
        <f t="shared" si="1"/>
        <v>4.3164388190081004E-2</v>
      </c>
      <c r="AY5">
        <f t="shared" si="1"/>
        <v>0.35107629195292989</v>
      </c>
      <c r="AZ5">
        <f t="shared" si="1"/>
        <v>0.18310243585695388</v>
      </c>
      <c r="BA5">
        <f t="shared" si="1"/>
        <v>5.5223553497540427E-2</v>
      </c>
      <c r="BB5">
        <f t="shared" si="1"/>
        <v>-0.31963582364471133</v>
      </c>
      <c r="BC5">
        <f t="shared" si="1"/>
        <v>-4.8931001121261926E-2</v>
      </c>
      <c r="BD5">
        <f t="shared" si="1"/>
        <v>-2.4951196602291708E-2</v>
      </c>
      <c r="BE5">
        <f t="shared" si="1"/>
        <v>-0.32610688678374605</v>
      </c>
      <c r="BF5">
        <f t="shared" si="1"/>
        <v>-0.37620762203662478</v>
      </c>
      <c r="BG5">
        <f t="shared" si="1"/>
        <v>-1.7996323452511797E-3</v>
      </c>
      <c r="BH5">
        <f t="shared" si="1"/>
        <v>-6.8378598012024033E-2</v>
      </c>
      <c r="BI5">
        <f t="shared" si="1"/>
        <v>-0.11370007582261443</v>
      </c>
      <c r="BJ5">
        <f t="shared" si="1"/>
        <v>-9.125006823368248E-2</v>
      </c>
      <c r="BK5">
        <f t="shared" si="1"/>
        <v>-1.261925601346601E-2</v>
      </c>
      <c r="BL5">
        <f t="shared" si="1"/>
        <v>2.9688000183402417E-2</v>
      </c>
      <c r="BM5">
        <f t="shared" si="1"/>
        <v>-4.1823285227578291E-3</v>
      </c>
      <c r="BN5">
        <f t="shared" si="1"/>
        <v>1.5802785297661267E-2</v>
      </c>
      <c r="BO5">
        <f t="shared" si="1"/>
        <v>-1.152016620582705E-2</v>
      </c>
      <c r="BP5">
        <f t="shared" si="1"/>
        <v>-7.5114246921905688E-3</v>
      </c>
      <c r="BQ5">
        <f t="shared" si="1"/>
        <v>-2.0012642115705297E-2</v>
      </c>
      <c r="BR5">
        <f t="shared" si="1"/>
        <v>-3.4393150430249127E-3</v>
      </c>
      <c r="BS5">
        <f t="shared" si="1"/>
        <v>6.8141362561558338E-2</v>
      </c>
      <c r="BT5">
        <f t="shared" si="1"/>
        <v>2.7248893794442389E-3</v>
      </c>
      <c r="BU5">
        <f t="shared" si="1"/>
        <v>-1.2749865797936372E-2</v>
      </c>
      <c r="BV5">
        <f t="shared" si="1"/>
        <v>-2.2515955542175631E-2</v>
      </c>
      <c r="BW5">
        <f t="shared" si="1"/>
        <v>-5.5465568756172784E-2</v>
      </c>
      <c r="BX5">
        <f t="shared" si="1"/>
        <v>5.4246337890332241E-3</v>
      </c>
      <c r="BY5">
        <f t="shared" si="1"/>
        <v>-1.7200272488321809E-2</v>
      </c>
      <c r="BZ5">
        <f t="shared" si="1"/>
        <v>-0.21275459816811698</v>
      </c>
      <c r="CA5">
        <f t="shared" si="1"/>
        <v>-0.35509171379638382</v>
      </c>
      <c r="CB5">
        <f t="shared" si="1"/>
        <v>-0.28300405366830289</v>
      </c>
      <c r="CC5">
        <f t="shared" si="1"/>
        <v>-0.21249049702534456</v>
      </c>
      <c r="CD5">
        <f t="shared" si="1"/>
        <v>-0.13846239481611755</v>
      </c>
      <c r="CE5">
        <f t="shared" si="1"/>
        <v>-1.0464943587540819E-2</v>
      </c>
      <c r="CG5">
        <f t="shared" si="5"/>
        <v>1.0000000000000002</v>
      </c>
      <c r="CH5">
        <f t="shared" si="6"/>
        <v>1</v>
      </c>
      <c r="CJ5">
        <f t="shared" si="7"/>
        <v>-0.21170354305557426</v>
      </c>
    </row>
    <row r="6" spans="1:88" x14ac:dyDescent="0.25">
      <c r="A6" t="s">
        <v>7</v>
      </c>
      <c r="B6">
        <v>7.2024347849697769E-4</v>
      </c>
      <c r="C6">
        <v>7.2635355554771935E-2</v>
      </c>
      <c r="D6">
        <v>0.15706495928686995</v>
      </c>
      <c r="E6">
        <v>0.26906591602343555</v>
      </c>
      <c r="F6">
        <v>0.17452288329359189</v>
      </c>
      <c r="G6">
        <v>4.3164388199052446E-2</v>
      </c>
      <c r="H6">
        <v>0.3510762920258988</v>
      </c>
      <c r="I6">
        <v>0.18310243589501052</v>
      </c>
      <c r="J6">
        <v>5.5223553509018287E-2</v>
      </c>
      <c r="K6">
        <v>-0.31963582371114557</v>
      </c>
      <c r="L6">
        <v>-4.8931001131431916E-2</v>
      </c>
      <c r="M6">
        <v>-2.4951196607477653E-2</v>
      </c>
      <c r="N6">
        <v>-0.32610688685152528</v>
      </c>
      <c r="O6">
        <v>-0.37620762211481712</v>
      </c>
      <c r="P6">
        <v>-1.7996323456252216E-3</v>
      </c>
      <c r="Q6">
        <v>-6.8378598026236082E-2</v>
      </c>
      <c r="R6">
        <v>-0.11370007584624625</v>
      </c>
      <c r="S6">
        <v>-9.1250068252648212E-2</v>
      </c>
      <c r="T6">
        <v>-1.2619256016088841E-2</v>
      </c>
      <c r="U6">
        <v>2.9688000189572877E-2</v>
      </c>
      <c r="V6">
        <v>-4.1823285236270991E-3</v>
      </c>
      <c r="W6">
        <v>1.5802785300945775E-2</v>
      </c>
      <c r="X6">
        <v>-1.1520166208221442E-2</v>
      </c>
      <c r="Y6">
        <v>-7.5114246937517696E-3</v>
      </c>
      <c r="Z6">
        <v>-2.0012642119864796E-2</v>
      </c>
      <c r="AA6">
        <v>-3.4393150437397519E-3</v>
      </c>
      <c r="AB6">
        <v>6.8141362575721079E-2</v>
      </c>
      <c r="AC6">
        <v>2.7248893800105897E-3</v>
      </c>
      <c r="AD6">
        <v>-1.274986580058635E-2</v>
      </c>
      <c r="AE6">
        <v>-2.2515955546855426E-2</v>
      </c>
      <c r="AF6">
        <v>-5.5465568767700944E-2</v>
      </c>
      <c r="AG6">
        <v>5.4246337901606989E-3</v>
      </c>
      <c r="AH6">
        <v>-1.7200272491896776E-2</v>
      </c>
      <c r="AI6">
        <v>-0.21275459821233664</v>
      </c>
      <c r="AJ6">
        <v>-0.35509171387018734</v>
      </c>
      <c r="AK6">
        <v>-0.28300405372712345</v>
      </c>
      <c r="AL6">
        <v>-0.21249049706950934</v>
      </c>
      <c r="AM6">
        <v>-0.13846239484489606</v>
      </c>
      <c r="AN6">
        <v>-1.046494358971589E-2</v>
      </c>
      <c r="AP6">
        <f t="shared" si="2"/>
        <v>1.0000000004156873</v>
      </c>
      <c r="AQ6">
        <f t="shared" si="3"/>
        <v>1.0000000002078435</v>
      </c>
      <c r="AS6">
        <f t="shared" si="4"/>
        <v>7.2024347834727972E-4</v>
      </c>
      <c r="AT6">
        <f t="shared" si="1"/>
        <v>7.263535553967515E-2</v>
      </c>
      <c r="AU6">
        <f t="shared" si="1"/>
        <v>0.15706495925422501</v>
      </c>
      <c r="AV6">
        <f t="shared" si="1"/>
        <v>0.26906591596751195</v>
      </c>
      <c r="AW6">
        <f t="shared" si="1"/>
        <v>0.17452288325731843</v>
      </c>
      <c r="AX6">
        <f t="shared" si="1"/>
        <v>4.3164388190081004E-2</v>
      </c>
      <c r="AY6">
        <f t="shared" si="1"/>
        <v>0.35107629195292989</v>
      </c>
      <c r="AZ6">
        <f t="shared" si="1"/>
        <v>0.18310243585695388</v>
      </c>
      <c r="BA6">
        <f t="shared" si="1"/>
        <v>5.5223553497540427E-2</v>
      </c>
      <c r="BB6">
        <f t="shared" si="1"/>
        <v>-0.31963582364471133</v>
      </c>
      <c r="BC6">
        <f t="shared" si="1"/>
        <v>-4.8931001121261926E-2</v>
      </c>
      <c r="BD6">
        <f t="shared" si="1"/>
        <v>-2.4951196602291708E-2</v>
      </c>
      <c r="BE6">
        <f t="shared" si="1"/>
        <v>-0.32610688678374605</v>
      </c>
      <c r="BF6">
        <f t="shared" si="1"/>
        <v>-0.37620762203662478</v>
      </c>
      <c r="BG6">
        <f t="shared" si="1"/>
        <v>-1.7996323452511797E-3</v>
      </c>
      <c r="BH6">
        <f t="shared" si="1"/>
        <v>-6.8378598012024033E-2</v>
      </c>
      <c r="BI6">
        <f t="shared" si="1"/>
        <v>-0.11370007582261443</v>
      </c>
      <c r="BJ6">
        <f t="shared" si="1"/>
        <v>-9.125006823368248E-2</v>
      </c>
      <c r="BK6">
        <f t="shared" si="1"/>
        <v>-1.261925601346601E-2</v>
      </c>
      <c r="BL6">
        <f t="shared" si="1"/>
        <v>2.9688000183402417E-2</v>
      </c>
      <c r="BM6">
        <f t="shared" si="1"/>
        <v>-4.1823285227578291E-3</v>
      </c>
      <c r="BN6">
        <f t="shared" si="1"/>
        <v>1.5802785297661267E-2</v>
      </c>
      <c r="BO6">
        <f t="shared" si="1"/>
        <v>-1.152016620582705E-2</v>
      </c>
      <c r="BP6">
        <f t="shared" si="1"/>
        <v>-7.5114246921905688E-3</v>
      </c>
      <c r="BQ6">
        <f t="shared" si="1"/>
        <v>-2.0012642115705297E-2</v>
      </c>
      <c r="BR6">
        <f t="shared" si="1"/>
        <v>-3.4393150430249127E-3</v>
      </c>
      <c r="BS6">
        <f t="shared" si="1"/>
        <v>6.8141362561558338E-2</v>
      </c>
      <c r="BT6">
        <f t="shared" si="1"/>
        <v>2.7248893794442389E-3</v>
      </c>
      <c r="BU6">
        <f t="shared" si="1"/>
        <v>-1.2749865797936372E-2</v>
      </c>
      <c r="BV6">
        <f t="shared" si="1"/>
        <v>-2.2515955542175631E-2</v>
      </c>
      <c r="BW6">
        <f t="shared" si="1"/>
        <v>-5.5465568756172784E-2</v>
      </c>
      <c r="BX6">
        <f t="shared" si="1"/>
        <v>5.4246337890332241E-3</v>
      </c>
      <c r="BY6">
        <f t="shared" si="1"/>
        <v>-1.7200272488321809E-2</v>
      </c>
      <c r="BZ6">
        <f t="shared" si="1"/>
        <v>-0.21275459816811698</v>
      </c>
      <c r="CA6">
        <f t="shared" si="1"/>
        <v>-0.35509171379638382</v>
      </c>
      <c r="CB6">
        <f t="shared" si="1"/>
        <v>-0.28300405366830289</v>
      </c>
      <c r="CC6">
        <f t="shared" si="1"/>
        <v>-0.21249049702534456</v>
      </c>
      <c r="CD6">
        <f t="shared" si="1"/>
        <v>-0.13846239481611755</v>
      </c>
      <c r="CE6">
        <f t="shared" si="1"/>
        <v>-1.0464943587540819E-2</v>
      </c>
      <c r="CG6">
        <f t="shared" si="5"/>
        <v>1.0000000000000002</v>
      </c>
      <c r="CH6">
        <f t="shared" si="6"/>
        <v>1</v>
      </c>
      <c r="CJ6">
        <f t="shared" si="7"/>
        <v>-0.21170354305557426</v>
      </c>
    </row>
    <row r="7" spans="1:88" x14ac:dyDescent="0.25">
      <c r="A7" t="s">
        <v>8</v>
      </c>
      <c r="B7">
        <v>7.2024347849697769E-4</v>
      </c>
      <c r="C7">
        <v>7.2635355554771935E-2</v>
      </c>
      <c r="D7">
        <v>0.15706495928686995</v>
      </c>
      <c r="E7">
        <v>0.26906591602343555</v>
      </c>
      <c r="F7">
        <v>0.17452288329359189</v>
      </c>
      <c r="G7">
        <v>4.3164388199052446E-2</v>
      </c>
      <c r="H7">
        <v>0.3510762920258988</v>
      </c>
      <c r="I7">
        <v>0.18310243589501052</v>
      </c>
      <c r="J7">
        <v>5.5223553509018287E-2</v>
      </c>
      <c r="K7">
        <v>-0.31963582371114557</v>
      </c>
      <c r="L7">
        <v>-4.8931001131431916E-2</v>
      </c>
      <c r="M7">
        <v>-2.4951196607477653E-2</v>
      </c>
      <c r="N7">
        <v>-0.32610688685152528</v>
      </c>
      <c r="O7">
        <v>-0.37620762211481712</v>
      </c>
      <c r="P7">
        <v>-1.7996323456252216E-3</v>
      </c>
      <c r="Q7">
        <v>-6.8378598026236082E-2</v>
      </c>
      <c r="R7">
        <v>-0.11370007584624625</v>
      </c>
      <c r="S7">
        <v>-9.1250068252648212E-2</v>
      </c>
      <c r="T7">
        <v>-1.2619256016088841E-2</v>
      </c>
      <c r="U7">
        <v>2.9688000189572877E-2</v>
      </c>
      <c r="V7">
        <v>-4.1823285236270991E-3</v>
      </c>
      <c r="W7">
        <v>1.5802785300945775E-2</v>
      </c>
      <c r="X7">
        <v>-1.1520166208221442E-2</v>
      </c>
      <c r="Y7">
        <v>-7.5114246937517696E-3</v>
      </c>
      <c r="Z7">
        <v>-2.0012642119864796E-2</v>
      </c>
      <c r="AA7">
        <v>-3.4393150437397519E-3</v>
      </c>
      <c r="AB7">
        <v>6.8141362575721079E-2</v>
      </c>
      <c r="AC7">
        <v>2.7248893800105897E-3</v>
      </c>
      <c r="AD7">
        <v>-1.274986580058635E-2</v>
      </c>
      <c r="AE7">
        <v>-2.2515955546855426E-2</v>
      </c>
      <c r="AF7">
        <v>-5.5465568767700944E-2</v>
      </c>
      <c r="AG7">
        <v>5.4246337901606989E-3</v>
      </c>
      <c r="AH7">
        <v>-1.7200272491896776E-2</v>
      </c>
      <c r="AI7">
        <v>-0.21275459821233664</v>
      </c>
      <c r="AJ7">
        <v>-0.35509171387018734</v>
      </c>
      <c r="AK7">
        <v>-0.28300405372712345</v>
      </c>
      <c r="AL7">
        <v>-0.21249049706950934</v>
      </c>
      <c r="AM7">
        <v>-0.13846239484489606</v>
      </c>
      <c r="AN7">
        <v>-1.046494358971589E-2</v>
      </c>
      <c r="AP7">
        <f t="shared" si="2"/>
        <v>1.0000000004156873</v>
      </c>
      <c r="AQ7">
        <f t="shared" si="3"/>
        <v>1.0000000002078435</v>
      </c>
      <c r="AS7">
        <f t="shared" si="4"/>
        <v>7.2024347834727972E-4</v>
      </c>
      <c r="AT7">
        <f t="shared" si="1"/>
        <v>7.263535553967515E-2</v>
      </c>
      <c r="AU7">
        <f t="shared" si="1"/>
        <v>0.15706495925422501</v>
      </c>
      <c r="AV7">
        <f t="shared" si="1"/>
        <v>0.26906591596751195</v>
      </c>
      <c r="AW7">
        <f t="shared" si="1"/>
        <v>0.17452288325731843</v>
      </c>
      <c r="AX7">
        <f t="shared" si="1"/>
        <v>4.3164388190081004E-2</v>
      </c>
      <c r="AY7">
        <f t="shared" si="1"/>
        <v>0.35107629195292989</v>
      </c>
      <c r="AZ7">
        <f t="shared" si="1"/>
        <v>0.18310243585695388</v>
      </c>
      <c r="BA7">
        <f t="shared" si="1"/>
        <v>5.5223553497540427E-2</v>
      </c>
      <c r="BB7">
        <f t="shared" si="1"/>
        <v>-0.31963582364471133</v>
      </c>
      <c r="BC7">
        <f t="shared" si="1"/>
        <v>-4.8931001121261926E-2</v>
      </c>
      <c r="BD7">
        <f t="shared" si="1"/>
        <v>-2.4951196602291708E-2</v>
      </c>
      <c r="BE7">
        <f t="shared" si="1"/>
        <v>-0.32610688678374605</v>
      </c>
      <c r="BF7">
        <f t="shared" si="1"/>
        <v>-0.37620762203662478</v>
      </c>
      <c r="BG7">
        <f t="shared" si="1"/>
        <v>-1.7996323452511797E-3</v>
      </c>
      <c r="BH7">
        <f t="shared" si="1"/>
        <v>-6.8378598012024033E-2</v>
      </c>
      <c r="BI7">
        <f t="shared" si="1"/>
        <v>-0.11370007582261443</v>
      </c>
      <c r="BJ7">
        <f t="shared" si="1"/>
        <v>-9.125006823368248E-2</v>
      </c>
      <c r="BK7">
        <f t="shared" si="1"/>
        <v>-1.261925601346601E-2</v>
      </c>
      <c r="BL7">
        <f t="shared" si="1"/>
        <v>2.9688000183402417E-2</v>
      </c>
      <c r="BM7">
        <f t="shared" si="1"/>
        <v>-4.1823285227578291E-3</v>
      </c>
      <c r="BN7">
        <f t="shared" si="1"/>
        <v>1.5802785297661267E-2</v>
      </c>
      <c r="BO7">
        <f t="shared" si="1"/>
        <v>-1.152016620582705E-2</v>
      </c>
      <c r="BP7">
        <f t="shared" si="1"/>
        <v>-7.5114246921905688E-3</v>
      </c>
      <c r="BQ7">
        <f t="shared" si="1"/>
        <v>-2.0012642115705297E-2</v>
      </c>
      <c r="BR7">
        <f t="shared" si="1"/>
        <v>-3.4393150430249127E-3</v>
      </c>
      <c r="BS7">
        <f t="shared" si="1"/>
        <v>6.8141362561558338E-2</v>
      </c>
      <c r="BT7">
        <f t="shared" si="1"/>
        <v>2.7248893794442389E-3</v>
      </c>
      <c r="BU7">
        <f t="shared" si="1"/>
        <v>-1.2749865797936372E-2</v>
      </c>
      <c r="BV7">
        <f t="shared" si="1"/>
        <v>-2.2515955542175631E-2</v>
      </c>
      <c r="BW7">
        <f t="shared" si="1"/>
        <v>-5.5465568756172784E-2</v>
      </c>
      <c r="BX7">
        <f t="shared" si="1"/>
        <v>5.4246337890332241E-3</v>
      </c>
      <c r="BY7">
        <f t="shared" si="1"/>
        <v>-1.7200272488321809E-2</v>
      </c>
      <c r="BZ7">
        <f t="shared" si="1"/>
        <v>-0.21275459816811698</v>
      </c>
      <c r="CA7">
        <f t="shared" si="1"/>
        <v>-0.35509171379638382</v>
      </c>
      <c r="CB7">
        <f t="shared" si="1"/>
        <v>-0.28300405366830289</v>
      </c>
      <c r="CC7">
        <f t="shared" si="1"/>
        <v>-0.21249049702534456</v>
      </c>
      <c r="CD7">
        <f t="shared" si="1"/>
        <v>-0.13846239481611755</v>
      </c>
      <c r="CE7">
        <f t="shared" si="1"/>
        <v>-1.0464943587540819E-2</v>
      </c>
      <c r="CG7">
        <f t="shared" si="5"/>
        <v>1.0000000000000002</v>
      </c>
      <c r="CH7">
        <f t="shared" si="6"/>
        <v>1</v>
      </c>
      <c r="CJ7">
        <f t="shared" si="7"/>
        <v>-0.21170354305557426</v>
      </c>
    </row>
    <row r="8" spans="1:88" x14ac:dyDescent="0.25">
      <c r="A8" t="s">
        <v>9</v>
      </c>
      <c r="B8">
        <v>7.2024347849697769E-4</v>
      </c>
      <c r="C8">
        <v>7.2635355554771935E-2</v>
      </c>
      <c r="D8">
        <v>0.15706495928686995</v>
      </c>
      <c r="E8">
        <v>0.26906591602343555</v>
      </c>
      <c r="F8">
        <v>0.17452288329359189</v>
      </c>
      <c r="G8">
        <v>4.3164388199052446E-2</v>
      </c>
      <c r="H8">
        <v>0.3510762920258988</v>
      </c>
      <c r="I8">
        <v>0.18310243589501052</v>
      </c>
      <c r="J8">
        <v>5.5223553509018287E-2</v>
      </c>
      <c r="K8">
        <v>-0.31963582371114557</v>
      </c>
      <c r="L8">
        <v>-4.8931001131431916E-2</v>
      </c>
      <c r="M8">
        <v>-2.4951196607477653E-2</v>
      </c>
      <c r="N8">
        <v>-0.32610688685152528</v>
      </c>
      <c r="O8">
        <v>-0.37620762211481712</v>
      </c>
      <c r="P8">
        <v>-1.7996323456252216E-3</v>
      </c>
      <c r="Q8">
        <v>-6.8378598026236082E-2</v>
      </c>
      <c r="R8">
        <v>-0.11370007584624625</v>
      </c>
      <c r="S8">
        <v>-9.1250068252648212E-2</v>
      </c>
      <c r="T8">
        <v>-1.2619256016088841E-2</v>
      </c>
      <c r="U8">
        <v>2.9688000189572877E-2</v>
      </c>
      <c r="V8">
        <v>-4.1823285236270991E-3</v>
      </c>
      <c r="W8">
        <v>1.5802785300945775E-2</v>
      </c>
      <c r="X8">
        <v>-1.1520166208221442E-2</v>
      </c>
      <c r="Y8">
        <v>-7.5114246937517696E-3</v>
      </c>
      <c r="Z8">
        <v>-2.0012642119864796E-2</v>
      </c>
      <c r="AA8">
        <v>-3.4393150437397519E-3</v>
      </c>
      <c r="AB8">
        <v>6.8141362575721079E-2</v>
      </c>
      <c r="AC8">
        <v>2.7248893800105897E-3</v>
      </c>
      <c r="AD8">
        <v>-1.274986580058635E-2</v>
      </c>
      <c r="AE8">
        <v>-2.2515955546855426E-2</v>
      </c>
      <c r="AF8">
        <v>-5.5465568767700944E-2</v>
      </c>
      <c r="AG8">
        <v>5.4246337901606989E-3</v>
      </c>
      <c r="AH8">
        <v>-1.7200272491896776E-2</v>
      </c>
      <c r="AI8">
        <v>-0.21275459821233664</v>
      </c>
      <c r="AJ8">
        <v>-0.35509171387018734</v>
      </c>
      <c r="AK8">
        <v>-0.28300405372712345</v>
      </c>
      <c r="AL8">
        <v>-0.21249049706950934</v>
      </c>
      <c r="AM8">
        <v>-0.13846239484489606</v>
      </c>
      <c r="AN8">
        <v>-1.046494358971589E-2</v>
      </c>
      <c r="AP8">
        <f t="shared" si="2"/>
        <v>1.0000000004156873</v>
      </c>
      <c r="AQ8">
        <f t="shared" si="3"/>
        <v>1.0000000002078435</v>
      </c>
      <c r="AS8">
        <f t="shared" si="4"/>
        <v>7.2024347834727972E-4</v>
      </c>
      <c r="AT8">
        <f t="shared" si="1"/>
        <v>7.263535553967515E-2</v>
      </c>
      <c r="AU8">
        <f t="shared" si="1"/>
        <v>0.15706495925422501</v>
      </c>
      <c r="AV8">
        <f t="shared" si="1"/>
        <v>0.26906591596751195</v>
      </c>
      <c r="AW8">
        <f t="shared" si="1"/>
        <v>0.17452288325731843</v>
      </c>
      <c r="AX8">
        <f t="shared" si="1"/>
        <v>4.3164388190081004E-2</v>
      </c>
      <c r="AY8">
        <f t="shared" si="1"/>
        <v>0.35107629195292989</v>
      </c>
      <c r="AZ8">
        <f t="shared" si="1"/>
        <v>0.18310243585695388</v>
      </c>
      <c r="BA8">
        <f t="shared" si="1"/>
        <v>5.5223553497540427E-2</v>
      </c>
      <c r="BB8">
        <f t="shared" si="1"/>
        <v>-0.31963582364471133</v>
      </c>
      <c r="BC8">
        <f t="shared" si="1"/>
        <v>-4.8931001121261926E-2</v>
      </c>
      <c r="BD8">
        <f t="shared" si="1"/>
        <v>-2.4951196602291708E-2</v>
      </c>
      <c r="BE8">
        <f t="shared" si="1"/>
        <v>-0.32610688678374605</v>
      </c>
      <c r="BF8">
        <f t="shared" si="1"/>
        <v>-0.37620762203662478</v>
      </c>
      <c r="BG8">
        <f t="shared" si="1"/>
        <v>-1.7996323452511797E-3</v>
      </c>
      <c r="BH8">
        <f t="shared" si="1"/>
        <v>-6.8378598012024033E-2</v>
      </c>
      <c r="BI8">
        <f t="shared" si="1"/>
        <v>-0.11370007582261443</v>
      </c>
      <c r="BJ8">
        <f t="shared" si="1"/>
        <v>-9.125006823368248E-2</v>
      </c>
      <c r="BK8">
        <f t="shared" si="1"/>
        <v>-1.261925601346601E-2</v>
      </c>
      <c r="BL8">
        <f t="shared" si="1"/>
        <v>2.9688000183402417E-2</v>
      </c>
      <c r="BM8">
        <f t="shared" si="1"/>
        <v>-4.1823285227578291E-3</v>
      </c>
      <c r="BN8">
        <f t="shared" si="1"/>
        <v>1.5802785297661267E-2</v>
      </c>
      <c r="BO8">
        <f t="shared" si="1"/>
        <v>-1.152016620582705E-2</v>
      </c>
      <c r="BP8">
        <f t="shared" si="1"/>
        <v>-7.5114246921905688E-3</v>
      </c>
      <c r="BQ8">
        <f t="shared" si="1"/>
        <v>-2.0012642115705297E-2</v>
      </c>
      <c r="BR8">
        <f t="shared" si="1"/>
        <v>-3.4393150430249127E-3</v>
      </c>
      <c r="BS8">
        <f t="shared" si="1"/>
        <v>6.8141362561558338E-2</v>
      </c>
      <c r="BT8">
        <f t="shared" si="1"/>
        <v>2.7248893794442389E-3</v>
      </c>
      <c r="BU8">
        <f t="shared" ref="BU8:CE31" si="8">AD8/$AQ8</f>
        <v>-1.2749865797936372E-2</v>
      </c>
      <c r="BV8">
        <f t="shared" si="8"/>
        <v>-2.2515955542175631E-2</v>
      </c>
      <c r="BW8">
        <f t="shared" si="8"/>
        <v>-5.5465568756172784E-2</v>
      </c>
      <c r="BX8">
        <f t="shared" si="8"/>
        <v>5.4246337890332241E-3</v>
      </c>
      <c r="BY8">
        <f t="shared" si="8"/>
        <v>-1.7200272488321809E-2</v>
      </c>
      <c r="BZ8">
        <f t="shared" si="8"/>
        <v>-0.21275459816811698</v>
      </c>
      <c r="CA8">
        <f t="shared" si="8"/>
        <v>-0.35509171379638382</v>
      </c>
      <c r="CB8">
        <f t="shared" si="8"/>
        <v>-0.28300405366830289</v>
      </c>
      <c r="CC8">
        <f t="shared" si="8"/>
        <v>-0.21249049702534456</v>
      </c>
      <c r="CD8">
        <f t="shared" si="8"/>
        <v>-0.13846239481611755</v>
      </c>
      <c r="CE8">
        <f t="shared" si="8"/>
        <v>-1.0464943587540819E-2</v>
      </c>
      <c r="CG8">
        <f t="shared" si="5"/>
        <v>1.0000000000000002</v>
      </c>
      <c r="CH8">
        <f t="shared" si="6"/>
        <v>1</v>
      </c>
      <c r="CJ8">
        <f t="shared" si="7"/>
        <v>-0.21170354305557426</v>
      </c>
    </row>
    <row r="9" spans="1:88" x14ac:dyDescent="0.25">
      <c r="A9" t="s">
        <v>10</v>
      </c>
      <c r="B9">
        <v>7.2024347849697769E-4</v>
      </c>
      <c r="C9">
        <v>7.2635355554771935E-2</v>
      </c>
      <c r="D9">
        <v>0.15706495928686995</v>
      </c>
      <c r="E9">
        <v>0.26906591602343555</v>
      </c>
      <c r="F9">
        <v>0.17452288329359189</v>
      </c>
      <c r="G9">
        <v>4.3164388199052446E-2</v>
      </c>
      <c r="H9">
        <v>0.3510762920258988</v>
      </c>
      <c r="I9">
        <v>0.18310243589501052</v>
      </c>
      <c r="J9">
        <v>5.5223553509018287E-2</v>
      </c>
      <c r="K9">
        <v>-0.31963582371114557</v>
      </c>
      <c r="L9">
        <v>-4.8931001131431916E-2</v>
      </c>
      <c r="M9">
        <v>-2.4951196607477653E-2</v>
      </c>
      <c r="N9">
        <v>-0.32610688685152528</v>
      </c>
      <c r="O9">
        <v>-0.37620762211481712</v>
      </c>
      <c r="P9">
        <v>-1.7996323456252216E-3</v>
      </c>
      <c r="Q9">
        <v>-6.8378598026236082E-2</v>
      </c>
      <c r="R9">
        <v>-0.11370007584624625</v>
      </c>
      <c r="S9">
        <v>-9.1250068252648212E-2</v>
      </c>
      <c r="T9">
        <v>-1.2619256016088841E-2</v>
      </c>
      <c r="U9">
        <v>2.9688000189572877E-2</v>
      </c>
      <c r="V9">
        <v>-4.1823285236270991E-3</v>
      </c>
      <c r="W9">
        <v>1.5802785300945775E-2</v>
      </c>
      <c r="X9">
        <v>-1.1520166208221442E-2</v>
      </c>
      <c r="Y9">
        <v>-7.5114246937517696E-3</v>
      </c>
      <c r="Z9">
        <v>-2.0012642119864796E-2</v>
      </c>
      <c r="AA9">
        <v>-3.4393150437397519E-3</v>
      </c>
      <c r="AB9">
        <v>6.8141362575721079E-2</v>
      </c>
      <c r="AC9">
        <v>2.7248893800105897E-3</v>
      </c>
      <c r="AD9">
        <v>-1.274986580058635E-2</v>
      </c>
      <c r="AE9">
        <v>-2.2515955546855426E-2</v>
      </c>
      <c r="AF9">
        <v>-5.5465568767700944E-2</v>
      </c>
      <c r="AG9">
        <v>5.4246337901606989E-3</v>
      </c>
      <c r="AH9">
        <v>-1.7200272491896776E-2</v>
      </c>
      <c r="AI9">
        <v>-0.21275459821233664</v>
      </c>
      <c r="AJ9">
        <v>-0.35509171387018734</v>
      </c>
      <c r="AK9">
        <v>-0.28300405372712345</v>
      </c>
      <c r="AL9">
        <v>-0.21249049706950934</v>
      </c>
      <c r="AM9">
        <v>-0.13846239484489606</v>
      </c>
      <c r="AN9">
        <v>-1.046494358971589E-2</v>
      </c>
      <c r="AP9">
        <f t="shared" si="2"/>
        <v>1.0000000004156873</v>
      </c>
      <c r="AQ9">
        <f t="shared" si="3"/>
        <v>1.0000000002078435</v>
      </c>
      <c r="AS9">
        <f t="shared" si="4"/>
        <v>7.2024347834727972E-4</v>
      </c>
      <c r="AT9">
        <f t="shared" si="4"/>
        <v>7.263535553967515E-2</v>
      </c>
      <c r="AU9">
        <f t="shared" si="4"/>
        <v>0.15706495925422501</v>
      </c>
      <c r="AV9">
        <f t="shared" si="4"/>
        <v>0.26906591596751195</v>
      </c>
      <c r="AW9">
        <f t="shared" si="4"/>
        <v>0.17452288325731843</v>
      </c>
      <c r="AX9">
        <f t="shared" si="4"/>
        <v>4.3164388190081004E-2</v>
      </c>
      <c r="AY9">
        <f t="shared" si="4"/>
        <v>0.35107629195292989</v>
      </c>
      <c r="AZ9">
        <f t="shared" si="4"/>
        <v>0.18310243585695388</v>
      </c>
      <c r="BA9">
        <f t="shared" si="4"/>
        <v>5.5223553497540427E-2</v>
      </c>
      <c r="BB9">
        <f t="shared" si="4"/>
        <v>-0.31963582364471133</v>
      </c>
      <c r="BC9">
        <f t="shared" si="4"/>
        <v>-4.8931001121261926E-2</v>
      </c>
      <c r="BD9">
        <f t="shared" si="4"/>
        <v>-2.4951196602291708E-2</v>
      </c>
      <c r="BE9">
        <f t="shared" si="4"/>
        <v>-0.32610688678374605</v>
      </c>
      <c r="BF9">
        <f t="shared" si="4"/>
        <v>-0.37620762203662478</v>
      </c>
      <c r="BG9">
        <f t="shared" si="4"/>
        <v>-1.7996323452511797E-3</v>
      </c>
      <c r="BH9">
        <f t="shared" si="4"/>
        <v>-6.8378598012024033E-2</v>
      </c>
      <c r="BI9">
        <f t="shared" ref="BI9:BT30" si="9">R9/$AQ9</f>
        <v>-0.11370007582261443</v>
      </c>
      <c r="BJ9">
        <f t="shared" si="9"/>
        <v>-9.125006823368248E-2</v>
      </c>
      <c r="BK9">
        <f t="shared" si="9"/>
        <v>-1.261925601346601E-2</v>
      </c>
      <c r="BL9">
        <f t="shared" si="9"/>
        <v>2.9688000183402417E-2</v>
      </c>
      <c r="BM9">
        <f t="shared" si="9"/>
        <v>-4.1823285227578291E-3</v>
      </c>
      <c r="BN9">
        <f t="shared" si="9"/>
        <v>1.5802785297661267E-2</v>
      </c>
      <c r="BO9">
        <f t="shared" si="9"/>
        <v>-1.152016620582705E-2</v>
      </c>
      <c r="BP9">
        <f t="shared" si="9"/>
        <v>-7.5114246921905688E-3</v>
      </c>
      <c r="BQ9">
        <f t="shared" si="9"/>
        <v>-2.0012642115705297E-2</v>
      </c>
      <c r="BR9">
        <f t="shared" si="9"/>
        <v>-3.4393150430249127E-3</v>
      </c>
      <c r="BS9">
        <f t="shared" si="9"/>
        <v>6.8141362561558338E-2</v>
      </c>
      <c r="BT9">
        <f t="shared" si="9"/>
        <v>2.7248893794442389E-3</v>
      </c>
      <c r="BU9">
        <f t="shared" si="8"/>
        <v>-1.2749865797936372E-2</v>
      </c>
      <c r="BV9">
        <f t="shared" si="8"/>
        <v>-2.2515955542175631E-2</v>
      </c>
      <c r="BW9">
        <f t="shared" si="8"/>
        <v>-5.5465568756172784E-2</v>
      </c>
      <c r="BX9">
        <f t="shared" si="8"/>
        <v>5.4246337890332241E-3</v>
      </c>
      <c r="BY9">
        <f t="shared" si="8"/>
        <v>-1.7200272488321809E-2</v>
      </c>
      <c r="BZ9">
        <f t="shared" si="8"/>
        <v>-0.21275459816811698</v>
      </c>
      <c r="CA9">
        <f t="shared" si="8"/>
        <v>-0.35509171379638382</v>
      </c>
      <c r="CB9">
        <f t="shared" si="8"/>
        <v>-0.28300405366830289</v>
      </c>
      <c r="CC9">
        <f t="shared" si="8"/>
        <v>-0.21249049702534456</v>
      </c>
      <c r="CD9">
        <f t="shared" si="8"/>
        <v>-0.13846239481611755</v>
      </c>
      <c r="CE9">
        <f t="shared" si="8"/>
        <v>-1.0464943587540819E-2</v>
      </c>
      <c r="CG9">
        <f t="shared" si="5"/>
        <v>1.0000000000000002</v>
      </c>
      <c r="CH9">
        <f t="shared" si="6"/>
        <v>1</v>
      </c>
      <c r="CJ9">
        <f t="shared" si="7"/>
        <v>-0.21170354305557426</v>
      </c>
    </row>
    <row r="10" spans="1:88" x14ac:dyDescent="0.25">
      <c r="A10" t="s">
        <v>11</v>
      </c>
      <c r="B10">
        <v>7.2024347849697769E-4</v>
      </c>
      <c r="C10">
        <v>7.2635355554771935E-2</v>
      </c>
      <c r="D10">
        <v>0.15706495928686995</v>
      </c>
      <c r="E10">
        <v>0.26906591602343555</v>
      </c>
      <c r="F10">
        <v>0.17452288329359189</v>
      </c>
      <c r="G10">
        <v>4.3164388199052446E-2</v>
      </c>
      <c r="H10">
        <v>0.3510762920258988</v>
      </c>
      <c r="I10">
        <v>0.18310243589501052</v>
      </c>
      <c r="J10">
        <v>5.5223553509018287E-2</v>
      </c>
      <c r="K10">
        <v>-0.31963582371114557</v>
      </c>
      <c r="L10">
        <v>-4.8931001131431916E-2</v>
      </c>
      <c r="M10">
        <v>-2.4951196607477653E-2</v>
      </c>
      <c r="N10">
        <v>-0.32610688685152528</v>
      </c>
      <c r="O10">
        <v>-0.37620762211481712</v>
      </c>
      <c r="P10">
        <v>-1.7996323456252216E-3</v>
      </c>
      <c r="Q10">
        <v>-6.8378598026236082E-2</v>
      </c>
      <c r="R10">
        <v>-0.11370007584624625</v>
      </c>
      <c r="S10">
        <v>-9.1250068252648212E-2</v>
      </c>
      <c r="T10">
        <v>-1.2619256016088841E-2</v>
      </c>
      <c r="U10">
        <v>2.9688000189572877E-2</v>
      </c>
      <c r="V10">
        <v>-4.1823285236270991E-3</v>
      </c>
      <c r="W10">
        <v>1.5802785300945775E-2</v>
      </c>
      <c r="X10">
        <v>-1.1520166208221442E-2</v>
      </c>
      <c r="Y10">
        <v>-7.5114246937517696E-3</v>
      </c>
      <c r="Z10">
        <v>-2.0012642119864796E-2</v>
      </c>
      <c r="AA10">
        <v>-3.4393150437397519E-3</v>
      </c>
      <c r="AB10">
        <v>6.8141362575721079E-2</v>
      </c>
      <c r="AC10">
        <v>2.7248893800105897E-3</v>
      </c>
      <c r="AD10">
        <v>-1.274986580058635E-2</v>
      </c>
      <c r="AE10">
        <v>-2.2515955546855426E-2</v>
      </c>
      <c r="AF10">
        <v>-5.5465568767700944E-2</v>
      </c>
      <c r="AG10">
        <v>5.4246337901606989E-3</v>
      </c>
      <c r="AH10">
        <v>-1.7200272491896776E-2</v>
      </c>
      <c r="AI10">
        <v>-0.21275459821233664</v>
      </c>
      <c r="AJ10">
        <v>-0.35509171387018734</v>
      </c>
      <c r="AK10">
        <v>-0.28300405372712345</v>
      </c>
      <c r="AL10">
        <v>-0.21249049706950934</v>
      </c>
      <c r="AM10">
        <v>-0.13846239484489606</v>
      </c>
      <c r="AN10">
        <v>-1.046494358971589E-2</v>
      </c>
      <c r="AP10">
        <f t="shared" si="2"/>
        <v>1.0000000004156873</v>
      </c>
      <c r="AQ10">
        <f t="shared" si="3"/>
        <v>1.0000000002078435</v>
      </c>
      <c r="AS10">
        <f t="shared" si="4"/>
        <v>7.2024347834727972E-4</v>
      </c>
      <c r="AT10">
        <f t="shared" si="4"/>
        <v>7.263535553967515E-2</v>
      </c>
      <c r="AU10">
        <f t="shared" si="4"/>
        <v>0.15706495925422501</v>
      </c>
      <c r="AV10">
        <f t="shared" si="4"/>
        <v>0.26906591596751195</v>
      </c>
      <c r="AW10">
        <f t="shared" si="4"/>
        <v>0.17452288325731843</v>
      </c>
      <c r="AX10">
        <f t="shared" si="4"/>
        <v>4.3164388190081004E-2</v>
      </c>
      <c r="AY10">
        <f t="shared" si="4"/>
        <v>0.35107629195292989</v>
      </c>
      <c r="AZ10">
        <f t="shared" si="4"/>
        <v>0.18310243585695388</v>
      </c>
      <c r="BA10">
        <f t="shared" si="4"/>
        <v>5.5223553497540427E-2</v>
      </c>
      <c r="BB10">
        <f t="shared" si="4"/>
        <v>-0.31963582364471133</v>
      </c>
      <c r="BC10">
        <f t="shared" si="4"/>
        <v>-4.8931001121261926E-2</v>
      </c>
      <c r="BD10">
        <f t="shared" si="4"/>
        <v>-2.4951196602291708E-2</v>
      </c>
      <c r="BE10">
        <f t="shared" si="4"/>
        <v>-0.32610688678374605</v>
      </c>
      <c r="BF10">
        <f t="shared" si="4"/>
        <v>-0.37620762203662478</v>
      </c>
      <c r="BG10">
        <f t="shared" si="4"/>
        <v>-1.7996323452511797E-3</v>
      </c>
      <c r="BH10">
        <f t="shared" si="4"/>
        <v>-6.8378598012024033E-2</v>
      </c>
      <c r="BI10">
        <f t="shared" si="9"/>
        <v>-0.11370007582261443</v>
      </c>
      <c r="BJ10">
        <f t="shared" si="9"/>
        <v>-9.125006823368248E-2</v>
      </c>
      <c r="BK10">
        <f t="shared" si="9"/>
        <v>-1.261925601346601E-2</v>
      </c>
      <c r="BL10">
        <f t="shared" si="9"/>
        <v>2.9688000183402417E-2</v>
      </c>
      <c r="BM10">
        <f t="shared" si="9"/>
        <v>-4.1823285227578291E-3</v>
      </c>
      <c r="BN10">
        <f t="shared" si="9"/>
        <v>1.5802785297661267E-2</v>
      </c>
      <c r="BO10">
        <f t="shared" si="9"/>
        <v>-1.152016620582705E-2</v>
      </c>
      <c r="BP10">
        <f t="shared" si="9"/>
        <v>-7.5114246921905688E-3</v>
      </c>
      <c r="BQ10">
        <f t="shared" si="9"/>
        <v>-2.0012642115705297E-2</v>
      </c>
      <c r="BR10">
        <f t="shared" si="9"/>
        <v>-3.4393150430249127E-3</v>
      </c>
      <c r="BS10">
        <f t="shared" si="9"/>
        <v>6.8141362561558338E-2</v>
      </c>
      <c r="BT10">
        <f t="shared" si="9"/>
        <v>2.7248893794442389E-3</v>
      </c>
      <c r="BU10">
        <f t="shared" si="8"/>
        <v>-1.2749865797936372E-2</v>
      </c>
      <c r="BV10">
        <f t="shared" si="8"/>
        <v>-2.2515955542175631E-2</v>
      </c>
      <c r="BW10">
        <f t="shared" si="8"/>
        <v>-5.5465568756172784E-2</v>
      </c>
      <c r="BX10">
        <f t="shared" si="8"/>
        <v>5.4246337890332241E-3</v>
      </c>
      <c r="BY10">
        <f t="shared" si="8"/>
        <v>-1.7200272488321809E-2</v>
      </c>
      <c r="BZ10">
        <f t="shared" si="8"/>
        <v>-0.21275459816811698</v>
      </c>
      <c r="CA10">
        <f t="shared" si="8"/>
        <v>-0.35509171379638382</v>
      </c>
      <c r="CB10">
        <f t="shared" si="8"/>
        <v>-0.28300405366830289</v>
      </c>
      <c r="CC10">
        <f t="shared" si="8"/>
        <v>-0.21249049702534456</v>
      </c>
      <c r="CD10">
        <f t="shared" si="8"/>
        <v>-0.13846239481611755</v>
      </c>
      <c r="CE10">
        <f t="shared" si="8"/>
        <v>-1.0464943587540819E-2</v>
      </c>
      <c r="CG10">
        <f t="shared" si="5"/>
        <v>1.0000000000000002</v>
      </c>
      <c r="CH10">
        <f t="shared" si="6"/>
        <v>1</v>
      </c>
      <c r="CJ10">
        <f t="shared" si="7"/>
        <v>-0.21170354305557426</v>
      </c>
    </row>
    <row r="11" spans="1:88" x14ac:dyDescent="0.25">
      <c r="A11" t="s">
        <v>12</v>
      </c>
      <c r="B11">
        <v>7.2024347849697769E-4</v>
      </c>
      <c r="C11">
        <v>7.2635355554771935E-2</v>
      </c>
      <c r="D11">
        <v>0.15706495928686995</v>
      </c>
      <c r="E11">
        <v>0.26906591602343555</v>
      </c>
      <c r="F11">
        <v>0.17452288329359189</v>
      </c>
      <c r="G11">
        <v>4.3164388199052446E-2</v>
      </c>
      <c r="H11">
        <v>0.3510762920258988</v>
      </c>
      <c r="I11">
        <v>0.18310243589501052</v>
      </c>
      <c r="J11">
        <v>5.5223553509018287E-2</v>
      </c>
      <c r="K11">
        <v>-0.31963582371114557</v>
      </c>
      <c r="L11">
        <v>-4.8931001131431916E-2</v>
      </c>
      <c r="M11">
        <v>-2.4951196607477653E-2</v>
      </c>
      <c r="N11">
        <v>-0.32610688685152528</v>
      </c>
      <c r="O11">
        <v>-0.37620762211481712</v>
      </c>
      <c r="P11">
        <v>-1.7996323456252216E-3</v>
      </c>
      <c r="Q11">
        <v>-6.8378598026236082E-2</v>
      </c>
      <c r="R11">
        <v>-0.11370007584624625</v>
      </c>
      <c r="S11">
        <v>-9.1250068252648212E-2</v>
      </c>
      <c r="T11">
        <v>-1.2619256016088841E-2</v>
      </c>
      <c r="U11">
        <v>2.9688000189572877E-2</v>
      </c>
      <c r="V11">
        <v>-4.1823285236270991E-3</v>
      </c>
      <c r="W11">
        <v>1.5802785300945775E-2</v>
      </c>
      <c r="X11">
        <v>-1.1520166208221442E-2</v>
      </c>
      <c r="Y11">
        <v>-7.5114246937517696E-3</v>
      </c>
      <c r="Z11">
        <v>-2.0012642119864796E-2</v>
      </c>
      <c r="AA11">
        <v>-3.4393150437397519E-3</v>
      </c>
      <c r="AB11">
        <v>6.8141362575721079E-2</v>
      </c>
      <c r="AC11">
        <v>2.7248893800105897E-3</v>
      </c>
      <c r="AD11">
        <v>-1.274986580058635E-2</v>
      </c>
      <c r="AE11">
        <v>-2.2515955546855426E-2</v>
      </c>
      <c r="AF11">
        <v>-5.5465568767700944E-2</v>
      </c>
      <c r="AG11">
        <v>5.4246337901606989E-3</v>
      </c>
      <c r="AH11">
        <v>-1.7200272491896776E-2</v>
      </c>
      <c r="AI11">
        <v>-0.21275459821233664</v>
      </c>
      <c r="AJ11">
        <v>-0.35509171387018734</v>
      </c>
      <c r="AK11">
        <v>-0.28300405372712345</v>
      </c>
      <c r="AL11">
        <v>-0.21249049706950934</v>
      </c>
      <c r="AM11">
        <v>-0.13846239484489606</v>
      </c>
      <c r="AN11">
        <v>-1.046494358971589E-2</v>
      </c>
      <c r="AP11">
        <f t="shared" si="2"/>
        <v>1.0000000004156873</v>
      </c>
      <c r="AQ11">
        <f t="shared" si="3"/>
        <v>1.0000000002078435</v>
      </c>
      <c r="AS11">
        <f t="shared" si="4"/>
        <v>7.2024347834727972E-4</v>
      </c>
      <c r="AT11">
        <f t="shared" si="4"/>
        <v>7.263535553967515E-2</v>
      </c>
      <c r="AU11">
        <f t="shared" si="4"/>
        <v>0.15706495925422501</v>
      </c>
      <c r="AV11">
        <f t="shared" si="4"/>
        <v>0.26906591596751195</v>
      </c>
      <c r="AW11">
        <f t="shared" si="4"/>
        <v>0.17452288325731843</v>
      </c>
      <c r="AX11">
        <f t="shared" si="4"/>
        <v>4.3164388190081004E-2</v>
      </c>
      <c r="AY11">
        <f t="shared" si="4"/>
        <v>0.35107629195292989</v>
      </c>
      <c r="AZ11">
        <f t="shared" si="4"/>
        <v>0.18310243585695388</v>
      </c>
      <c r="BA11">
        <f t="shared" si="4"/>
        <v>5.5223553497540427E-2</v>
      </c>
      <c r="BB11">
        <f t="shared" si="4"/>
        <v>-0.31963582364471133</v>
      </c>
      <c r="BC11">
        <f t="shared" si="4"/>
        <v>-4.8931001121261926E-2</v>
      </c>
      <c r="BD11">
        <f t="shared" si="4"/>
        <v>-2.4951196602291708E-2</v>
      </c>
      <c r="BE11">
        <f t="shared" si="4"/>
        <v>-0.32610688678374605</v>
      </c>
      <c r="BF11">
        <f t="shared" si="4"/>
        <v>-0.37620762203662478</v>
      </c>
      <c r="BG11">
        <f t="shared" si="4"/>
        <v>-1.7996323452511797E-3</v>
      </c>
      <c r="BH11">
        <f t="shared" si="4"/>
        <v>-6.8378598012024033E-2</v>
      </c>
      <c r="BI11">
        <f t="shared" si="9"/>
        <v>-0.11370007582261443</v>
      </c>
      <c r="BJ11">
        <f t="shared" si="9"/>
        <v>-9.125006823368248E-2</v>
      </c>
      <c r="BK11">
        <f t="shared" si="9"/>
        <v>-1.261925601346601E-2</v>
      </c>
      <c r="BL11">
        <f t="shared" si="9"/>
        <v>2.9688000183402417E-2</v>
      </c>
      <c r="BM11">
        <f t="shared" si="9"/>
        <v>-4.1823285227578291E-3</v>
      </c>
      <c r="BN11">
        <f t="shared" si="9"/>
        <v>1.5802785297661267E-2</v>
      </c>
      <c r="BO11">
        <f t="shared" si="9"/>
        <v>-1.152016620582705E-2</v>
      </c>
      <c r="BP11">
        <f t="shared" si="9"/>
        <v>-7.5114246921905688E-3</v>
      </c>
      <c r="BQ11">
        <f t="shared" si="9"/>
        <v>-2.0012642115705297E-2</v>
      </c>
      <c r="BR11">
        <f t="shared" si="9"/>
        <v>-3.4393150430249127E-3</v>
      </c>
      <c r="BS11">
        <f t="shared" si="9"/>
        <v>6.8141362561558338E-2</v>
      </c>
      <c r="BT11">
        <f t="shared" si="9"/>
        <v>2.7248893794442389E-3</v>
      </c>
      <c r="BU11">
        <f t="shared" si="8"/>
        <v>-1.2749865797936372E-2</v>
      </c>
      <c r="BV11">
        <f t="shared" si="8"/>
        <v>-2.2515955542175631E-2</v>
      </c>
      <c r="BW11">
        <f t="shared" si="8"/>
        <v>-5.5465568756172784E-2</v>
      </c>
      <c r="BX11">
        <f t="shared" si="8"/>
        <v>5.4246337890332241E-3</v>
      </c>
      <c r="BY11">
        <f t="shared" si="8"/>
        <v>-1.7200272488321809E-2</v>
      </c>
      <c r="BZ11">
        <f t="shared" si="8"/>
        <v>-0.21275459816811698</v>
      </c>
      <c r="CA11">
        <f t="shared" si="8"/>
        <v>-0.35509171379638382</v>
      </c>
      <c r="CB11">
        <f t="shared" si="8"/>
        <v>-0.28300405366830289</v>
      </c>
      <c r="CC11">
        <f t="shared" si="8"/>
        <v>-0.21249049702534456</v>
      </c>
      <c r="CD11">
        <f t="shared" si="8"/>
        <v>-0.13846239481611755</v>
      </c>
      <c r="CE11">
        <f t="shared" si="8"/>
        <v>-1.0464943587540819E-2</v>
      </c>
      <c r="CG11">
        <f t="shared" si="5"/>
        <v>1.0000000000000002</v>
      </c>
      <c r="CH11">
        <f t="shared" si="6"/>
        <v>1</v>
      </c>
      <c r="CJ11">
        <f t="shared" si="7"/>
        <v>-0.21170354305557426</v>
      </c>
    </row>
    <row r="12" spans="1:88" x14ac:dyDescent="0.25">
      <c r="A12" t="s">
        <v>13</v>
      </c>
      <c r="B12">
        <v>7.2024347849697769E-4</v>
      </c>
      <c r="C12">
        <v>7.2635355554771935E-2</v>
      </c>
      <c r="D12">
        <v>0.15706495928686995</v>
      </c>
      <c r="E12">
        <v>0.26906591602343555</v>
      </c>
      <c r="F12">
        <v>0.17452288329359189</v>
      </c>
      <c r="G12">
        <v>4.3164388199052446E-2</v>
      </c>
      <c r="H12">
        <v>0.3510762920258988</v>
      </c>
      <c r="I12">
        <v>0.18310243589501052</v>
      </c>
      <c r="J12">
        <v>5.5223553509018287E-2</v>
      </c>
      <c r="K12">
        <v>-0.31963582371114557</v>
      </c>
      <c r="L12">
        <v>-4.8931001131431916E-2</v>
      </c>
      <c r="M12">
        <v>-2.4951196607477653E-2</v>
      </c>
      <c r="N12">
        <v>-0.32610688685152528</v>
      </c>
      <c r="O12">
        <v>-0.37620762211481712</v>
      </c>
      <c r="P12">
        <v>-1.7996323456252216E-3</v>
      </c>
      <c r="Q12">
        <v>-6.8378598026236082E-2</v>
      </c>
      <c r="R12">
        <v>-0.11370007584624625</v>
      </c>
      <c r="S12">
        <v>-9.1250068252648212E-2</v>
      </c>
      <c r="T12">
        <v>-1.2619256016088841E-2</v>
      </c>
      <c r="U12">
        <v>2.9688000189572877E-2</v>
      </c>
      <c r="V12">
        <v>-4.1823285236270991E-3</v>
      </c>
      <c r="W12">
        <v>1.5802785300945775E-2</v>
      </c>
      <c r="X12">
        <v>-1.1520166208221442E-2</v>
      </c>
      <c r="Y12">
        <v>-7.5114246937517696E-3</v>
      </c>
      <c r="Z12">
        <v>-2.0012642119864796E-2</v>
      </c>
      <c r="AA12">
        <v>-3.4393150437397519E-3</v>
      </c>
      <c r="AB12">
        <v>6.8141362575721079E-2</v>
      </c>
      <c r="AC12">
        <v>2.7248893800105897E-3</v>
      </c>
      <c r="AD12">
        <v>-1.274986580058635E-2</v>
      </c>
      <c r="AE12">
        <v>-2.2515955546855426E-2</v>
      </c>
      <c r="AF12">
        <v>-5.5465568767700944E-2</v>
      </c>
      <c r="AG12">
        <v>5.4246337901606989E-3</v>
      </c>
      <c r="AH12">
        <v>-1.7200272491896776E-2</v>
      </c>
      <c r="AI12">
        <v>-0.21275459821233664</v>
      </c>
      <c r="AJ12">
        <v>-0.35509171387018734</v>
      </c>
      <c r="AK12">
        <v>-0.28300405372712345</v>
      </c>
      <c r="AL12">
        <v>-0.21249049706950934</v>
      </c>
      <c r="AM12">
        <v>-0.13846239484489606</v>
      </c>
      <c r="AN12">
        <v>-1.046494358971589E-2</v>
      </c>
      <c r="AP12">
        <f t="shared" si="2"/>
        <v>1.0000000004156873</v>
      </c>
      <c r="AQ12">
        <f t="shared" si="3"/>
        <v>1.0000000002078435</v>
      </c>
      <c r="AS12">
        <f t="shared" si="4"/>
        <v>7.2024347834727972E-4</v>
      </c>
      <c r="AT12">
        <f t="shared" si="4"/>
        <v>7.263535553967515E-2</v>
      </c>
      <c r="AU12">
        <f t="shared" si="4"/>
        <v>0.15706495925422501</v>
      </c>
      <c r="AV12">
        <f t="shared" si="4"/>
        <v>0.26906591596751195</v>
      </c>
      <c r="AW12">
        <f t="shared" si="4"/>
        <v>0.17452288325731843</v>
      </c>
      <c r="AX12">
        <f t="shared" si="4"/>
        <v>4.3164388190081004E-2</v>
      </c>
      <c r="AY12">
        <f t="shared" si="4"/>
        <v>0.35107629195292989</v>
      </c>
      <c r="AZ12">
        <f t="shared" si="4"/>
        <v>0.18310243585695388</v>
      </c>
      <c r="BA12">
        <f t="shared" si="4"/>
        <v>5.5223553497540427E-2</v>
      </c>
      <c r="BB12">
        <f t="shared" si="4"/>
        <v>-0.31963582364471133</v>
      </c>
      <c r="BC12">
        <f t="shared" si="4"/>
        <v>-4.8931001121261926E-2</v>
      </c>
      <c r="BD12">
        <f t="shared" si="4"/>
        <v>-2.4951196602291708E-2</v>
      </c>
      <c r="BE12">
        <f t="shared" si="4"/>
        <v>-0.32610688678374605</v>
      </c>
      <c r="BF12">
        <f t="shared" si="4"/>
        <v>-0.37620762203662478</v>
      </c>
      <c r="BG12">
        <f t="shared" si="4"/>
        <v>-1.7996323452511797E-3</v>
      </c>
      <c r="BH12">
        <f t="shared" si="4"/>
        <v>-6.8378598012024033E-2</v>
      </c>
      <c r="BI12">
        <f t="shared" si="9"/>
        <v>-0.11370007582261443</v>
      </c>
      <c r="BJ12">
        <f t="shared" si="9"/>
        <v>-9.125006823368248E-2</v>
      </c>
      <c r="BK12">
        <f t="shared" si="9"/>
        <v>-1.261925601346601E-2</v>
      </c>
      <c r="BL12">
        <f t="shared" si="9"/>
        <v>2.9688000183402417E-2</v>
      </c>
      <c r="BM12">
        <f t="shared" si="9"/>
        <v>-4.1823285227578291E-3</v>
      </c>
      <c r="BN12">
        <f t="shared" si="9"/>
        <v>1.5802785297661267E-2</v>
      </c>
      <c r="BO12">
        <f t="shared" si="9"/>
        <v>-1.152016620582705E-2</v>
      </c>
      <c r="BP12">
        <f t="shared" si="9"/>
        <v>-7.5114246921905688E-3</v>
      </c>
      <c r="BQ12">
        <f t="shared" si="9"/>
        <v>-2.0012642115705297E-2</v>
      </c>
      <c r="BR12">
        <f t="shared" si="9"/>
        <v>-3.4393150430249127E-3</v>
      </c>
      <c r="BS12">
        <f t="shared" si="9"/>
        <v>6.8141362561558338E-2</v>
      </c>
      <c r="BT12">
        <f t="shared" si="9"/>
        <v>2.7248893794442389E-3</v>
      </c>
      <c r="BU12">
        <f t="shared" si="8"/>
        <v>-1.2749865797936372E-2</v>
      </c>
      <c r="BV12">
        <f t="shared" si="8"/>
        <v>-2.2515955542175631E-2</v>
      </c>
      <c r="BW12">
        <f t="shared" si="8"/>
        <v>-5.5465568756172784E-2</v>
      </c>
      <c r="BX12">
        <f t="shared" si="8"/>
        <v>5.4246337890332241E-3</v>
      </c>
      <c r="BY12">
        <f t="shared" si="8"/>
        <v>-1.7200272488321809E-2</v>
      </c>
      <c r="BZ12">
        <f t="shared" si="8"/>
        <v>-0.21275459816811698</v>
      </c>
      <c r="CA12">
        <f t="shared" si="8"/>
        <v>-0.35509171379638382</v>
      </c>
      <c r="CB12">
        <f t="shared" si="8"/>
        <v>-0.28300405366830289</v>
      </c>
      <c r="CC12">
        <f t="shared" si="8"/>
        <v>-0.21249049702534456</v>
      </c>
      <c r="CD12">
        <f t="shared" si="8"/>
        <v>-0.13846239481611755</v>
      </c>
      <c r="CE12">
        <f t="shared" si="8"/>
        <v>-1.0464943587540819E-2</v>
      </c>
      <c r="CG12">
        <f t="shared" si="5"/>
        <v>1.0000000000000002</v>
      </c>
      <c r="CH12">
        <f t="shared" si="6"/>
        <v>1</v>
      </c>
      <c r="CJ12">
        <f t="shared" si="7"/>
        <v>-0.21170354305557426</v>
      </c>
    </row>
    <row r="13" spans="1:88" x14ac:dyDescent="0.25">
      <c r="A13" t="s">
        <v>14</v>
      </c>
      <c r="B13">
        <v>7.2024347849697769E-4</v>
      </c>
      <c r="C13">
        <v>7.2635355554771935E-2</v>
      </c>
      <c r="D13">
        <v>0.15706495928686995</v>
      </c>
      <c r="E13">
        <v>0.26906591602343555</v>
      </c>
      <c r="F13">
        <v>0.17452288329359189</v>
      </c>
      <c r="G13">
        <v>4.3164388199052446E-2</v>
      </c>
      <c r="H13">
        <v>0.3510762920258988</v>
      </c>
      <c r="I13">
        <v>0.18310243589501052</v>
      </c>
      <c r="J13">
        <v>5.5223553509018287E-2</v>
      </c>
      <c r="K13">
        <v>-0.31963582371114557</v>
      </c>
      <c r="L13">
        <v>-4.8931001131431916E-2</v>
      </c>
      <c r="M13">
        <v>-2.4951196607477653E-2</v>
      </c>
      <c r="N13">
        <v>-0.32610688685152528</v>
      </c>
      <c r="O13">
        <v>-0.37620762211481712</v>
      </c>
      <c r="P13">
        <v>-1.7996323456252216E-3</v>
      </c>
      <c r="Q13">
        <v>-6.8378598026236082E-2</v>
      </c>
      <c r="R13">
        <v>-0.11370007584624625</v>
      </c>
      <c r="S13">
        <v>-9.1250068252648212E-2</v>
      </c>
      <c r="T13">
        <v>-1.2619256016088841E-2</v>
      </c>
      <c r="U13">
        <v>2.9688000189572877E-2</v>
      </c>
      <c r="V13">
        <v>-4.1823285236270991E-3</v>
      </c>
      <c r="W13">
        <v>1.5802785300945775E-2</v>
      </c>
      <c r="X13">
        <v>-1.1520166208221442E-2</v>
      </c>
      <c r="Y13">
        <v>-7.5114246937517696E-3</v>
      </c>
      <c r="Z13">
        <v>-2.0012642119864796E-2</v>
      </c>
      <c r="AA13">
        <v>-3.4393150437397519E-3</v>
      </c>
      <c r="AB13">
        <v>6.8141362575721079E-2</v>
      </c>
      <c r="AC13">
        <v>2.7248893800105897E-3</v>
      </c>
      <c r="AD13">
        <v>-1.274986580058635E-2</v>
      </c>
      <c r="AE13">
        <v>-2.2515955546855426E-2</v>
      </c>
      <c r="AF13">
        <v>-5.5465568767700944E-2</v>
      </c>
      <c r="AG13">
        <v>5.4246337901606989E-3</v>
      </c>
      <c r="AH13">
        <v>-1.7200272491896776E-2</v>
      </c>
      <c r="AI13">
        <v>-0.21275459821233664</v>
      </c>
      <c r="AJ13">
        <v>-0.35509171387018734</v>
      </c>
      <c r="AK13">
        <v>-0.28300405372712345</v>
      </c>
      <c r="AL13">
        <v>-0.21249049706950934</v>
      </c>
      <c r="AM13">
        <v>-0.13846239484489606</v>
      </c>
      <c r="AN13">
        <v>-1.046494358971589E-2</v>
      </c>
      <c r="AP13">
        <f t="shared" si="2"/>
        <v>1.0000000004156873</v>
      </c>
      <c r="AQ13">
        <f t="shared" si="3"/>
        <v>1.0000000002078435</v>
      </c>
      <c r="AS13">
        <f t="shared" si="4"/>
        <v>7.2024347834727972E-4</v>
      </c>
      <c r="AT13">
        <f t="shared" si="4"/>
        <v>7.263535553967515E-2</v>
      </c>
      <c r="AU13">
        <f t="shared" si="4"/>
        <v>0.15706495925422501</v>
      </c>
      <c r="AV13">
        <f t="shared" si="4"/>
        <v>0.26906591596751195</v>
      </c>
      <c r="AW13">
        <f t="shared" si="4"/>
        <v>0.17452288325731843</v>
      </c>
      <c r="AX13">
        <f t="shared" si="4"/>
        <v>4.3164388190081004E-2</v>
      </c>
      <c r="AY13">
        <f t="shared" si="4"/>
        <v>0.35107629195292989</v>
      </c>
      <c r="AZ13">
        <f t="shared" si="4"/>
        <v>0.18310243585695388</v>
      </c>
      <c r="BA13">
        <f t="shared" si="4"/>
        <v>5.5223553497540427E-2</v>
      </c>
      <c r="BB13">
        <f t="shared" si="4"/>
        <v>-0.31963582364471133</v>
      </c>
      <c r="BC13">
        <f t="shared" si="4"/>
        <v>-4.8931001121261926E-2</v>
      </c>
      <c r="BD13">
        <f t="shared" si="4"/>
        <v>-2.4951196602291708E-2</v>
      </c>
      <c r="BE13">
        <f t="shared" si="4"/>
        <v>-0.32610688678374605</v>
      </c>
      <c r="BF13">
        <f t="shared" si="4"/>
        <v>-0.37620762203662478</v>
      </c>
      <c r="BG13">
        <f t="shared" si="4"/>
        <v>-1.7996323452511797E-3</v>
      </c>
      <c r="BH13">
        <f t="shared" si="4"/>
        <v>-6.8378598012024033E-2</v>
      </c>
      <c r="BI13">
        <f t="shared" si="9"/>
        <v>-0.11370007582261443</v>
      </c>
      <c r="BJ13">
        <f t="shared" si="9"/>
        <v>-9.125006823368248E-2</v>
      </c>
      <c r="BK13">
        <f t="shared" si="9"/>
        <v>-1.261925601346601E-2</v>
      </c>
      <c r="BL13">
        <f t="shared" si="9"/>
        <v>2.9688000183402417E-2</v>
      </c>
      <c r="BM13">
        <f t="shared" si="9"/>
        <v>-4.1823285227578291E-3</v>
      </c>
      <c r="BN13">
        <f t="shared" si="9"/>
        <v>1.5802785297661267E-2</v>
      </c>
      <c r="BO13">
        <f t="shared" si="9"/>
        <v>-1.152016620582705E-2</v>
      </c>
      <c r="BP13">
        <f t="shared" si="9"/>
        <v>-7.5114246921905688E-3</v>
      </c>
      <c r="BQ13">
        <f t="shared" si="9"/>
        <v>-2.0012642115705297E-2</v>
      </c>
      <c r="BR13">
        <f t="shared" si="9"/>
        <v>-3.4393150430249127E-3</v>
      </c>
      <c r="BS13">
        <f t="shared" si="9"/>
        <v>6.8141362561558338E-2</v>
      </c>
      <c r="BT13">
        <f t="shared" si="9"/>
        <v>2.7248893794442389E-3</v>
      </c>
      <c r="BU13">
        <f t="shared" si="8"/>
        <v>-1.2749865797936372E-2</v>
      </c>
      <c r="BV13">
        <f t="shared" si="8"/>
        <v>-2.2515955542175631E-2</v>
      </c>
      <c r="BW13">
        <f t="shared" si="8"/>
        <v>-5.5465568756172784E-2</v>
      </c>
      <c r="BX13">
        <f t="shared" si="8"/>
        <v>5.4246337890332241E-3</v>
      </c>
      <c r="BY13">
        <f t="shared" si="8"/>
        <v>-1.7200272488321809E-2</v>
      </c>
      <c r="BZ13">
        <f t="shared" si="8"/>
        <v>-0.21275459816811698</v>
      </c>
      <c r="CA13">
        <f t="shared" si="8"/>
        <v>-0.35509171379638382</v>
      </c>
      <c r="CB13">
        <f t="shared" si="8"/>
        <v>-0.28300405366830289</v>
      </c>
      <c r="CC13">
        <f t="shared" si="8"/>
        <v>-0.21249049702534456</v>
      </c>
      <c r="CD13">
        <f t="shared" si="8"/>
        <v>-0.13846239481611755</v>
      </c>
      <c r="CE13">
        <f t="shared" si="8"/>
        <v>-1.0464943587540819E-2</v>
      </c>
      <c r="CG13">
        <f t="shared" si="5"/>
        <v>1.0000000000000002</v>
      </c>
      <c r="CH13">
        <f t="shared" si="6"/>
        <v>1</v>
      </c>
      <c r="CJ13">
        <f t="shared" si="7"/>
        <v>-0.21170354305557426</v>
      </c>
    </row>
    <row r="14" spans="1:88" x14ac:dyDescent="0.25">
      <c r="A14" t="s">
        <v>15</v>
      </c>
      <c r="B14">
        <v>7.2024347849697769E-4</v>
      </c>
      <c r="C14">
        <v>7.2635355554771935E-2</v>
      </c>
      <c r="D14">
        <v>0.15706495928686995</v>
      </c>
      <c r="E14">
        <v>0.26906591602343555</v>
      </c>
      <c r="F14">
        <v>0.17452288329359189</v>
      </c>
      <c r="G14">
        <v>4.3164388199052446E-2</v>
      </c>
      <c r="H14">
        <v>0.3510762920258988</v>
      </c>
      <c r="I14">
        <v>0.18310243589501052</v>
      </c>
      <c r="J14">
        <v>5.5223553509018287E-2</v>
      </c>
      <c r="K14">
        <v>-0.31963582371114557</v>
      </c>
      <c r="L14">
        <v>-4.8931001131431916E-2</v>
      </c>
      <c r="M14">
        <v>-2.4951196607477653E-2</v>
      </c>
      <c r="N14">
        <v>-0.32610688685152528</v>
      </c>
      <c r="O14">
        <v>-0.37620762211481712</v>
      </c>
      <c r="P14">
        <v>-1.7996323456252216E-3</v>
      </c>
      <c r="Q14">
        <v>-6.8378598026236082E-2</v>
      </c>
      <c r="R14">
        <v>-0.11370007584624625</v>
      </c>
      <c r="S14">
        <v>-9.1250068252648212E-2</v>
      </c>
      <c r="T14">
        <v>-1.2619256016088841E-2</v>
      </c>
      <c r="U14">
        <v>2.9688000189572877E-2</v>
      </c>
      <c r="V14">
        <v>-4.1823285236270991E-3</v>
      </c>
      <c r="W14">
        <v>1.5802785300945775E-2</v>
      </c>
      <c r="X14">
        <v>-1.1520166208221442E-2</v>
      </c>
      <c r="Y14">
        <v>-7.5114246937517696E-3</v>
      </c>
      <c r="Z14">
        <v>-2.0012642119864796E-2</v>
      </c>
      <c r="AA14">
        <v>-3.4393150437397519E-3</v>
      </c>
      <c r="AB14">
        <v>6.8141362575721079E-2</v>
      </c>
      <c r="AC14">
        <v>2.7248893800105897E-3</v>
      </c>
      <c r="AD14">
        <v>-1.274986580058635E-2</v>
      </c>
      <c r="AE14">
        <v>-2.2515955546855426E-2</v>
      </c>
      <c r="AF14">
        <v>-5.5465568767700944E-2</v>
      </c>
      <c r="AG14">
        <v>5.4246337901606989E-3</v>
      </c>
      <c r="AH14">
        <v>-1.7200272491896776E-2</v>
      </c>
      <c r="AI14">
        <v>-0.21275459821233664</v>
      </c>
      <c r="AJ14">
        <v>-0.35509171387018734</v>
      </c>
      <c r="AK14">
        <v>-0.28300405372712345</v>
      </c>
      <c r="AL14">
        <v>-0.21249049706950934</v>
      </c>
      <c r="AM14">
        <v>-0.13846239484489606</v>
      </c>
      <c r="AN14">
        <v>-1.046494358971589E-2</v>
      </c>
      <c r="AP14">
        <f t="shared" si="2"/>
        <v>1.0000000004156873</v>
      </c>
      <c r="AQ14">
        <f t="shared" si="3"/>
        <v>1.0000000002078435</v>
      </c>
      <c r="AS14">
        <f t="shared" si="4"/>
        <v>7.2024347834727972E-4</v>
      </c>
      <c r="AT14">
        <f t="shared" si="4"/>
        <v>7.263535553967515E-2</v>
      </c>
      <c r="AU14">
        <f t="shared" si="4"/>
        <v>0.15706495925422501</v>
      </c>
      <c r="AV14">
        <f t="shared" si="4"/>
        <v>0.26906591596751195</v>
      </c>
      <c r="AW14">
        <f t="shared" si="4"/>
        <v>0.17452288325731843</v>
      </c>
      <c r="AX14">
        <f t="shared" si="4"/>
        <v>4.3164388190081004E-2</v>
      </c>
      <c r="AY14">
        <f t="shared" si="4"/>
        <v>0.35107629195292989</v>
      </c>
      <c r="AZ14">
        <f t="shared" si="4"/>
        <v>0.18310243585695388</v>
      </c>
      <c r="BA14">
        <f t="shared" si="4"/>
        <v>5.5223553497540427E-2</v>
      </c>
      <c r="BB14">
        <f t="shared" si="4"/>
        <v>-0.31963582364471133</v>
      </c>
      <c r="BC14">
        <f t="shared" si="4"/>
        <v>-4.8931001121261926E-2</v>
      </c>
      <c r="BD14">
        <f t="shared" si="4"/>
        <v>-2.4951196602291708E-2</v>
      </c>
      <c r="BE14">
        <f t="shared" si="4"/>
        <v>-0.32610688678374605</v>
      </c>
      <c r="BF14">
        <f t="shared" si="4"/>
        <v>-0.37620762203662478</v>
      </c>
      <c r="BG14">
        <f t="shared" si="4"/>
        <v>-1.7996323452511797E-3</v>
      </c>
      <c r="BH14">
        <f t="shared" si="4"/>
        <v>-6.8378598012024033E-2</v>
      </c>
      <c r="BI14">
        <f t="shared" si="9"/>
        <v>-0.11370007582261443</v>
      </c>
      <c r="BJ14">
        <f t="shared" si="9"/>
        <v>-9.125006823368248E-2</v>
      </c>
      <c r="BK14">
        <f t="shared" si="9"/>
        <v>-1.261925601346601E-2</v>
      </c>
      <c r="BL14">
        <f t="shared" si="9"/>
        <v>2.9688000183402417E-2</v>
      </c>
      <c r="BM14">
        <f t="shared" si="9"/>
        <v>-4.1823285227578291E-3</v>
      </c>
      <c r="BN14">
        <f t="shared" si="9"/>
        <v>1.5802785297661267E-2</v>
      </c>
      <c r="BO14">
        <f t="shared" si="9"/>
        <v>-1.152016620582705E-2</v>
      </c>
      <c r="BP14">
        <f t="shared" si="9"/>
        <v>-7.5114246921905688E-3</v>
      </c>
      <c r="BQ14">
        <f t="shared" si="9"/>
        <v>-2.0012642115705297E-2</v>
      </c>
      <c r="BR14">
        <f t="shared" si="9"/>
        <v>-3.4393150430249127E-3</v>
      </c>
      <c r="BS14">
        <f t="shared" si="9"/>
        <v>6.8141362561558338E-2</v>
      </c>
      <c r="BT14">
        <f t="shared" si="9"/>
        <v>2.7248893794442389E-3</v>
      </c>
      <c r="BU14">
        <f t="shared" si="8"/>
        <v>-1.2749865797936372E-2</v>
      </c>
      <c r="BV14">
        <f t="shared" si="8"/>
        <v>-2.2515955542175631E-2</v>
      </c>
      <c r="BW14">
        <f t="shared" si="8"/>
        <v>-5.5465568756172784E-2</v>
      </c>
      <c r="BX14">
        <f t="shared" si="8"/>
        <v>5.4246337890332241E-3</v>
      </c>
      <c r="BY14">
        <f t="shared" si="8"/>
        <v>-1.7200272488321809E-2</v>
      </c>
      <c r="BZ14">
        <f t="shared" si="8"/>
        <v>-0.21275459816811698</v>
      </c>
      <c r="CA14">
        <f t="shared" si="8"/>
        <v>-0.35509171379638382</v>
      </c>
      <c r="CB14">
        <f t="shared" si="8"/>
        <v>-0.28300405366830289</v>
      </c>
      <c r="CC14">
        <f t="shared" si="8"/>
        <v>-0.21249049702534456</v>
      </c>
      <c r="CD14">
        <f t="shared" si="8"/>
        <v>-0.13846239481611755</v>
      </c>
      <c r="CE14">
        <f t="shared" si="8"/>
        <v>-1.0464943587540819E-2</v>
      </c>
      <c r="CG14">
        <f t="shared" si="5"/>
        <v>1.0000000000000002</v>
      </c>
      <c r="CH14">
        <f t="shared" si="6"/>
        <v>1</v>
      </c>
      <c r="CJ14">
        <f t="shared" si="7"/>
        <v>-0.21170354305557426</v>
      </c>
    </row>
    <row r="15" spans="1:88" x14ac:dyDescent="0.25">
      <c r="A15" t="s">
        <v>16</v>
      </c>
      <c r="B15">
        <v>7.2024347849697769E-4</v>
      </c>
      <c r="C15">
        <v>7.2635355554771935E-2</v>
      </c>
      <c r="D15">
        <v>0.15706495928686995</v>
      </c>
      <c r="E15">
        <v>0.26906591602343555</v>
      </c>
      <c r="F15">
        <v>0.17452288329359189</v>
      </c>
      <c r="G15">
        <v>4.3164388199052446E-2</v>
      </c>
      <c r="H15">
        <v>0.3510762920258988</v>
      </c>
      <c r="I15">
        <v>0.18310243589501052</v>
      </c>
      <c r="J15">
        <v>5.5223553509018287E-2</v>
      </c>
      <c r="K15">
        <v>-0.31963582371114557</v>
      </c>
      <c r="L15">
        <v>-4.8931001131431916E-2</v>
      </c>
      <c r="M15">
        <v>-2.4951196607477653E-2</v>
      </c>
      <c r="N15">
        <v>-0.32610688685152528</v>
      </c>
      <c r="O15">
        <v>-0.37620762211481712</v>
      </c>
      <c r="P15">
        <v>-1.7996323456252216E-3</v>
      </c>
      <c r="Q15">
        <v>-6.8378598026236082E-2</v>
      </c>
      <c r="R15">
        <v>-0.11370007584624625</v>
      </c>
      <c r="S15">
        <v>-9.1250068252648212E-2</v>
      </c>
      <c r="T15">
        <v>-1.2619256016088841E-2</v>
      </c>
      <c r="U15">
        <v>2.9688000189572877E-2</v>
      </c>
      <c r="V15">
        <v>-4.1823285236270991E-3</v>
      </c>
      <c r="W15">
        <v>1.5802785300945775E-2</v>
      </c>
      <c r="X15">
        <v>-1.1520166208221442E-2</v>
      </c>
      <c r="Y15">
        <v>-7.5114246937517696E-3</v>
      </c>
      <c r="Z15">
        <v>-2.0012642119864796E-2</v>
      </c>
      <c r="AA15">
        <v>-3.4393150437397519E-3</v>
      </c>
      <c r="AB15">
        <v>6.8141362575721079E-2</v>
      </c>
      <c r="AC15">
        <v>2.7248893800105897E-3</v>
      </c>
      <c r="AD15">
        <v>-1.274986580058635E-2</v>
      </c>
      <c r="AE15">
        <v>-2.2515955546855426E-2</v>
      </c>
      <c r="AF15">
        <v>-5.5465568767700944E-2</v>
      </c>
      <c r="AG15">
        <v>5.4246337901606989E-3</v>
      </c>
      <c r="AH15">
        <v>-1.7200272491896776E-2</v>
      </c>
      <c r="AI15">
        <v>-0.21275459821233664</v>
      </c>
      <c r="AJ15">
        <v>-0.35509171387018734</v>
      </c>
      <c r="AK15">
        <v>-0.28300405372712345</v>
      </c>
      <c r="AL15">
        <v>-0.21249049706950934</v>
      </c>
      <c r="AM15">
        <v>-0.13846239484489606</v>
      </c>
      <c r="AN15">
        <v>-1.046494358971589E-2</v>
      </c>
      <c r="AP15">
        <f t="shared" si="2"/>
        <v>1.0000000004156873</v>
      </c>
      <c r="AQ15">
        <f t="shared" si="3"/>
        <v>1.0000000002078435</v>
      </c>
      <c r="AS15">
        <f t="shared" si="4"/>
        <v>7.2024347834727972E-4</v>
      </c>
      <c r="AT15">
        <f t="shared" si="4"/>
        <v>7.263535553967515E-2</v>
      </c>
      <c r="AU15">
        <f t="shared" si="4"/>
        <v>0.15706495925422501</v>
      </c>
      <c r="AV15">
        <f t="shared" si="4"/>
        <v>0.26906591596751195</v>
      </c>
      <c r="AW15">
        <f t="shared" si="4"/>
        <v>0.17452288325731843</v>
      </c>
      <c r="AX15">
        <f t="shared" si="4"/>
        <v>4.3164388190081004E-2</v>
      </c>
      <c r="AY15">
        <f t="shared" si="4"/>
        <v>0.35107629195292989</v>
      </c>
      <c r="AZ15">
        <f t="shared" si="4"/>
        <v>0.18310243585695388</v>
      </c>
      <c r="BA15">
        <f t="shared" si="4"/>
        <v>5.5223553497540427E-2</v>
      </c>
      <c r="BB15">
        <f t="shared" si="4"/>
        <v>-0.31963582364471133</v>
      </c>
      <c r="BC15">
        <f t="shared" si="4"/>
        <v>-4.8931001121261926E-2</v>
      </c>
      <c r="BD15">
        <f t="shared" si="4"/>
        <v>-2.4951196602291708E-2</v>
      </c>
      <c r="BE15">
        <f t="shared" si="4"/>
        <v>-0.32610688678374605</v>
      </c>
      <c r="BF15">
        <f t="shared" si="4"/>
        <v>-0.37620762203662478</v>
      </c>
      <c r="BG15">
        <f t="shared" si="4"/>
        <v>-1.7996323452511797E-3</v>
      </c>
      <c r="BH15">
        <f t="shared" si="4"/>
        <v>-6.8378598012024033E-2</v>
      </c>
      <c r="BI15">
        <f t="shared" si="9"/>
        <v>-0.11370007582261443</v>
      </c>
      <c r="BJ15">
        <f t="shared" si="9"/>
        <v>-9.125006823368248E-2</v>
      </c>
      <c r="BK15">
        <f t="shared" si="9"/>
        <v>-1.261925601346601E-2</v>
      </c>
      <c r="BL15">
        <f t="shared" si="9"/>
        <v>2.9688000183402417E-2</v>
      </c>
      <c r="BM15">
        <f t="shared" si="9"/>
        <v>-4.1823285227578291E-3</v>
      </c>
      <c r="BN15">
        <f t="shared" si="9"/>
        <v>1.5802785297661267E-2</v>
      </c>
      <c r="BO15">
        <f t="shared" si="9"/>
        <v>-1.152016620582705E-2</v>
      </c>
      <c r="BP15">
        <f t="shared" si="9"/>
        <v>-7.5114246921905688E-3</v>
      </c>
      <c r="BQ15">
        <f t="shared" si="9"/>
        <v>-2.0012642115705297E-2</v>
      </c>
      <c r="BR15">
        <f t="shared" si="9"/>
        <v>-3.4393150430249127E-3</v>
      </c>
      <c r="BS15">
        <f t="shared" si="9"/>
        <v>6.8141362561558338E-2</v>
      </c>
      <c r="BT15">
        <f t="shared" si="9"/>
        <v>2.7248893794442389E-3</v>
      </c>
      <c r="BU15">
        <f t="shared" si="8"/>
        <v>-1.2749865797936372E-2</v>
      </c>
      <c r="BV15">
        <f t="shared" si="8"/>
        <v>-2.2515955542175631E-2</v>
      </c>
      <c r="BW15">
        <f t="shared" si="8"/>
        <v>-5.5465568756172784E-2</v>
      </c>
      <c r="BX15">
        <f t="shared" si="8"/>
        <v>5.4246337890332241E-3</v>
      </c>
      <c r="BY15">
        <f t="shared" si="8"/>
        <v>-1.7200272488321809E-2</v>
      </c>
      <c r="BZ15">
        <f t="shared" si="8"/>
        <v>-0.21275459816811698</v>
      </c>
      <c r="CA15">
        <f t="shared" si="8"/>
        <v>-0.35509171379638382</v>
      </c>
      <c r="CB15">
        <f t="shared" si="8"/>
        <v>-0.28300405366830289</v>
      </c>
      <c r="CC15">
        <f t="shared" si="8"/>
        <v>-0.21249049702534456</v>
      </c>
      <c r="CD15">
        <f t="shared" si="8"/>
        <v>-0.13846239481611755</v>
      </c>
      <c r="CE15">
        <f t="shared" si="8"/>
        <v>-1.0464943587540819E-2</v>
      </c>
      <c r="CG15">
        <f t="shared" si="5"/>
        <v>1.0000000000000002</v>
      </c>
      <c r="CH15">
        <f t="shared" si="6"/>
        <v>1</v>
      </c>
      <c r="CJ15">
        <f t="shared" si="7"/>
        <v>-0.21170354305557426</v>
      </c>
    </row>
    <row r="16" spans="1:88" x14ac:dyDescent="0.25">
      <c r="A16" t="s">
        <v>17</v>
      </c>
      <c r="B16">
        <v>7.2024347849697769E-4</v>
      </c>
      <c r="C16">
        <v>7.2635355554771935E-2</v>
      </c>
      <c r="D16">
        <v>0.15706495928686995</v>
      </c>
      <c r="E16">
        <v>0.26906591602343555</v>
      </c>
      <c r="F16">
        <v>0.17452288329359189</v>
      </c>
      <c r="G16">
        <v>4.3164388199052446E-2</v>
      </c>
      <c r="H16">
        <v>0.3510762920258988</v>
      </c>
      <c r="I16">
        <v>0.18310243589501052</v>
      </c>
      <c r="J16">
        <v>5.5223553509018287E-2</v>
      </c>
      <c r="K16">
        <v>-0.31963582371114557</v>
      </c>
      <c r="L16">
        <v>-4.8931001131431916E-2</v>
      </c>
      <c r="M16">
        <v>-2.4951196607477653E-2</v>
      </c>
      <c r="N16">
        <v>-0.32610688685152528</v>
      </c>
      <c r="O16">
        <v>-0.37620762211481712</v>
      </c>
      <c r="P16">
        <v>-1.7996323456252216E-3</v>
      </c>
      <c r="Q16">
        <v>-6.8378598026236082E-2</v>
      </c>
      <c r="R16">
        <v>-0.11370007584624625</v>
      </c>
      <c r="S16">
        <v>-9.1250068252648212E-2</v>
      </c>
      <c r="T16">
        <v>-1.2619256016088841E-2</v>
      </c>
      <c r="U16">
        <v>2.9688000189572877E-2</v>
      </c>
      <c r="V16">
        <v>-4.1823285236270991E-3</v>
      </c>
      <c r="W16">
        <v>1.5802785300945775E-2</v>
      </c>
      <c r="X16">
        <v>-1.1520166208221442E-2</v>
      </c>
      <c r="Y16">
        <v>-7.5114246937517696E-3</v>
      </c>
      <c r="Z16">
        <v>-2.0012642119864796E-2</v>
      </c>
      <c r="AA16">
        <v>-3.4393150437397519E-3</v>
      </c>
      <c r="AB16">
        <v>6.8141362575721079E-2</v>
      </c>
      <c r="AC16">
        <v>2.7248893800105897E-3</v>
      </c>
      <c r="AD16">
        <v>-1.274986580058635E-2</v>
      </c>
      <c r="AE16">
        <v>-2.2515955546855426E-2</v>
      </c>
      <c r="AF16">
        <v>-5.5465568767700944E-2</v>
      </c>
      <c r="AG16">
        <v>5.4246337901606989E-3</v>
      </c>
      <c r="AH16">
        <v>-1.7200272491896776E-2</v>
      </c>
      <c r="AI16">
        <v>-0.21275459821233664</v>
      </c>
      <c r="AJ16">
        <v>-0.35509171387018734</v>
      </c>
      <c r="AK16">
        <v>-0.28300405372712345</v>
      </c>
      <c r="AL16">
        <v>-0.21249049706950934</v>
      </c>
      <c r="AM16">
        <v>-0.13846239484489606</v>
      </c>
      <c r="AN16">
        <v>-1.046494358971589E-2</v>
      </c>
      <c r="AP16">
        <f t="shared" si="2"/>
        <v>1.0000000004156873</v>
      </c>
      <c r="AQ16">
        <f t="shared" si="3"/>
        <v>1.0000000002078435</v>
      </c>
      <c r="AS16">
        <f t="shared" si="4"/>
        <v>7.2024347834727972E-4</v>
      </c>
      <c r="AT16">
        <f t="shared" si="4"/>
        <v>7.263535553967515E-2</v>
      </c>
      <c r="AU16">
        <f t="shared" si="4"/>
        <v>0.15706495925422501</v>
      </c>
      <c r="AV16">
        <f t="shared" si="4"/>
        <v>0.26906591596751195</v>
      </c>
      <c r="AW16">
        <f t="shared" si="4"/>
        <v>0.17452288325731843</v>
      </c>
      <c r="AX16">
        <f t="shared" si="4"/>
        <v>4.3164388190081004E-2</v>
      </c>
      <c r="AY16">
        <f t="shared" si="4"/>
        <v>0.35107629195292989</v>
      </c>
      <c r="AZ16">
        <f t="shared" si="4"/>
        <v>0.18310243585695388</v>
      </c>
      <c r="BA16">
        <f t="shared" si="4"/>
        <v>5.5223553497540427E-2</v>
      </c>
      <c r="BB16">
        <f t="shared" si="4"/>
        <v>-0.31963582364471133</v>
      </c>
      <c r="BC16">
        <f t="shared" si="4"/>
        <v>-4.8931001121261926E-2</v>
      </c>
      <c r="BD16">
        <f t="shared" si="4"/>
        <v>-2.4951196602291708E-2</v>
      </c>
      <c r="BE16">
        <f t="shared" si="4"/>
        <v>-0.32610688678374605</v>
      </c>
      <c r="BF16">
        <f t="shared" si="4"/>
        <v>-0.37620762203662478</v>
      </c>
      <c r="BG16">
        <f t="shared" si="4"/>
        <v>-1.7996323452511797E-3</v>
      </c>
      <c r="BH16">
        <f t="shared" si="4"/>
        <v>-6.8378598012024033E-2</v>
      </c>
      <c r="BI16">
        <f t="shared" si="9"/>
        <v>-0.11370007582261443</v>
      </c>
      <c r="BJ16">
        <f t="shared" si="9"/>
        <v>-9.125006823368248E-2</v>
      </c>
      <c r="BK16">
        <f t="shared" si="9"/>
        <v>-1.261925601346601E-2</v>
      </c>
      <c r="BL16">
        <f t="shared" si="9"/>
        <v>2.9688000183402417E-2</v>
      </c>
      <c r="BM16">
        <f t="shared" si="9"/>
        <v>-4.1823285227578291E-3</v>
      </c>
      <c r="BN16">
        <f t="shared" si="9"/>
        <v>1.5802785297661267E-2</v>
      </c>
      <c r="BO16">
        <f t="shared" si="9"/>
        <v>-1.152016620582705E-2</v>
      </c>
      <c r="BP16">
        <f t="shared" si="9"/>
        <v>-7.5114246921905688E-3</v>
      </c>
      <c r="BQ16">
        <f t="shared" si="9"/>
        <v>-2.0012642115705297E-2</v>
      </c>
      <c r="BR16">
        <f t="shared" si="9"/>
        <v>-3.4393150430249127E-3</v>
      </c>
      <c r="BS16">
        <f t="shared" si="9"/>
        <v>6.8141362561558338E-2</v>
      </c>
      <c r="BT16">
        <f t="shared" si="9"/>
        <v>2.7248893794442389E-3</v>
      </c>
      <c r="BU16">
        <f t="shared" si="8"/>
        <v>-1.2749865797936372E-2</v>
      </c>
      <c r="BV16">
        <f t="shared" si="8"/>
        <v>-2.2515955542175631E-2</v>
      </c>
      <c r="BW16">
        <f t="shared" si="8"/>
        <v>-5.5465568756172784E-2</v>
      </c>
      <c r="BX16">
        <f t="shared" si="8"/>
        <v>5.4246337890332241E-3</v>
      </c>
      <c r="BY16">
        <f t="shared" si="8"/>
        <v>-1.7200272488321809E-2</v>
      </c>
      <c r="BZ16">
        <f t="shared" si="8"/>
        <v>-0.21275459816811698</v>
      </c>
      <c r="CA16">
        <f t="shared" si="8"/>
        <v>-0.35509171379638382</v>
      </c>
      <c r="CB16">
        <f t="shared" si="8"/>
        <v>-0.28300405366830289</v>
      </c>
      <c r="CC16">
        <f t="shared" si="8"/>
        <v>-0.21249049702534456</v>
      </c>
      <c r="CD16">
        <f t="shared" si="8"/>
        <v>-0.13846239481611755</v>
      </c>
      <c r="CE16">
        <f t="shared" si="8"/>
        <v>-1.0464943587540819E-2</v>
      </c>
      <c r="CG16">
        <f t="shared" si="5"/>
        <v>1.0000000000000002</v>
      </c>
      <c r="CH16">
        <f t="shared" si="6"/>
        <v>1</v>
      </c>
      <c r="CJ16">
        <f t="shared" si="7"/>
        <v>-0.21170354305557426</v>
      </c>
    </row>
    <row r="17" spans="1:88" x14ac:dyDescent="0.25">
      <c r="A17" t="s">
        <v>18</v>
      </c>
      <c r="B17">
        <v>7.2024347849697769E-4</v>
      </c>
      <c r="C17">
        <v>7.2635355554771935E-2</v>
      </c>
      <c r="D17">
        <v>0.15706495928686995</v>
      </c>
      <c r="E17">
        <v>0.26906591602343555</v>
      </c>
      <c r="F17">
        <v>0.17452288329359189</v>
      </c>
      <c r="G17">
        <v>4.3164388199052446E-2</v>
      </c>
      <c r="H17">
        <v>0.3510762920258988</v>
      </c>
      <c r="I17">
        <v>0.18310243589501052</v>
      </c>
      <c r="J17">
        <v>5.5223553509018287E-2</v>
      </c>
      <c r="K17">
        <v>-0.31963582371114557</v>
      </c>
      <c r="L17">
        <v>-4.8931001131431916E-2</v>
      </c>
      <c r="M17">
        <v>-2.4951196607477653E-2</v>
      </c>
      <c r="N17">
        <v>-0.32610688685152528</v>
      </c>
      <c r="O17">
        <v>-0.37620762211481712</v>
      </c>
      <c r="P17">
        <v>-1.7996323456252216E-3</v>
      </c>
      <c r="Q17">
        <v>-6.8378598026236082E-2</v>
      </c>
      <c r="R17">
        <v>-0.11370007584624625</v>
      </c>
      <c r="S17">
        <v>-9.1250068252648212E-2</v>
      </c>
      <c r="T17">
        <v>-1.2619256016088841E-2</v>
      </c>
      <c r="U17">
        <v>2.9688000189572877E-2</v>
      </c>
      <c r="V17">
        <v>-4.1823285236270991E-3</v>
      </c>
      <c r="W17">
        <v>1.5802785300945775E-2</v>
      </c>
      <c r="X17">
        <v>-1.1520166208221442E-2</v>
      </c>
      <c r="Y17">
        <v>-7.5114246937517696E-3</v>
      </c>
      <c r="Z17">
        <v>-2.0012642119864796E-2</v>
      </c>
      <c r="AA17">
        <v>-3.4393150437397519E-3</v>
      </c>
      <c r="AB17">
        <v>6.8141362575721079E-2</v>
      </c>
      <c r="AC17">
        <v>2.7248893800105897E-3</v>
      </c>
      <c r="AD17">
        <v>-1.274986580058635E-2</v>
      </c>
      <c r="AE17">
        <v>-2.2515955546855426E-2</v>
      </c>
      <c r="AF17">
        <v>-5.5465568767700944E-2</v>
      </c>
      <c r="AG17">
        <v>5.4246337901606989E-3</v>
      </c>
      <c r="AH17">
        <v>-1.7200272491896776E-2</v>
      </c>
      <c r="AI17">
        <v>-0.21275459821233664</v>
      </c>
      <c r="AJ17">
        <v>-0.35509171387018734</v>
      </c>
      <c r="AK17">
        <v>-0.28300405372712345</v>
      </c>
      <c r="AL17">
        <v>-0.21249049706950934</v>
      </c>
      <c r="AM17">
        <v>-0.13846239484489606</v>
      </c>
      <c r="AN17">
        <v>-1.046494358971589E-2</v>
      </c>
      <c r="AP17">
        <f t="shared" si="2"/>
        <v>1.0000000004156873</v>
      </c>
      <c r="AQ17">
        <f t="shared" si="3"/>
        <v>1.0000000002078435</v>
      </c>
      <c r="AS17">
        <f t="shared" si="4"/>
        <v>7.2024347834727972E-4</v>
      </c>
      <c r="AT17">
        <f t="shared" si="4"/>
        <v>7.263535553967515E-2</v>
      </c>
      <c r="AU17">
        <f t="shared" si="4"/>
        <v>0.15706495925422501</v>
      </c>
      <c r="AV17">
        <f t="shared" si="4"/>
        <v>0.26906591596751195</v>
      </c>
      <c r="AW17">
        <f t="shared" si="4"/>
        <v>0.17452288325731843</v>
      </c>
      <c r="AX17">
        <f t="shared" si="4"/>
        <v>4.3164388190081004E-2</v>
      </c>
      <c r="AY17">
        <f t="shared" si="4"/>
        <v>0.35107629195292989</v>
      </c>
      <c r="AZ17">
        <f t="shared" si="4"/>
        <v>0.18310243585695388</v>
      </c>
      <c r="BA17">
        <f t="shared" si="4"/>
        <v>5.5223553497540427E-2</v>
      </c>
      <c r="BB17">
        <f t="shared" si="4"/>
        <v>-0.31963582364471133</v>
      </c>
      <c r="BC17">
        <f t="shared" si="4"/>
        <v>-4.8931001121261926E-2</v>
      </c>
      <c r="BD17">
        <f t="shared" si="4"/>
        <v>-2.4951196602291708E-2</v>
      </c>
      <c r="BE17">
        <f t="shared" si="4"/>
        <v>-0.32610688678374605</v>
      </c>
      <c r="BF17">
        <f t="shared" si="4"/>
        <v>-0.37620762203662478</v>
      </c>
      <c r="BG17">
        <f t="shared" si="4"/>
        <v>-1.7996323452511797E-3</v>
      </c>
      <c r="BH17">
        <f t="shared" si="4"/>
        <v>-6.8378598012024033E-2</v>
      </c>
      <c r="BI17">
        <f t="shared" si="9"/>
        <v>-0.11370007582261443</v>
      </c>
      <c r="BJ17">
        <f t="shared" si="9"/>
        <v>-9.125006823368248E-2</v>
      </c>
      <c r="BK17">
        <f t="shared" si="9"/>
        <v>-1.261925601346601E-2</v>
      </c>
      <c r="BL17">
        <f t="shared" si="9"/>
        <v>2.9688000183402417E-2</v>
      </c>
      <c r="BM17">
        <f t="shared" si="9"/>
        <v>-4.1823285227578291E-3</v>
      </c>
      <c r="BN17">
        <f t="shared" si="9"/>
        <v>1.5802785297661267E-2</v>
      </c>
      <c r="BO17">
        <f t="shared" si="9"/>
        <v>-1.152016620582705E-2</v>
      </c>
      <c r="BP17">
        <f t="shared" si="9"/>
        <v>-7.5114246921905688E-3</v>
      </c>
      <c r="BQ17">
        <f t="shared" si="9"/>
        <v>-2.0012642115705297E-2</v>
      </c>
      <c r="BR17">
        <f t="shared" si="9"/>
        <v>-3.4393150430249127E-3</v>
      </c>
      <c r="BS17">
        <f t="shared" si="9"/>
        <v>6.8141362561558338E-2</v>
      </c>
      <c r="BT17">
        <f t="shared" si="9"/>
        <v>2.7248893794442389E-3</v>
      </c>
      <c r="BU17">
        <f t="shared" si="8"/>
        <v>-1.2749865797936372E-2</v>
      </c>
      <c r="BV17">
        <f t="shared" si="8"/>
        <v>-2.2515955542175631E-2</v>
      </c>
      <c r="BW17">
        <f t="shared" si="8"/>
        <v>-5.5465568756172784E-2</v>
      </c>
      <c r="BX17">
        <f t="shared" si="8"/>
        <v>5.4246337890332241E-3</v>
      </c>
      <c r="BY17">
        <f t="shared" si="8"/>
        <v>-1.7200272488321809E-2</v>
      </c>
      <c r="BZ17">
        <f t="shared" si="8"/>
        <v>-0.21275459816811698</v>
      </c>
      <c r="CA17">
        <f t="shared" si="8"/>
        <v>-0.35509171379638382</v>
      </c>
      <c r="CB17">
        <f t="shared" si="8"/>
        <v>-0.28300405366830289</v>
      </c>
      <c r="CC17">
        <f t="shared" si="8"/>
        <v>-0.21249049702534456</v>
      </c>
      <c r="CD17">
        <f t="shared" si="8"/>
        <v>-0.13846239481611755</v>
      </c>
      <c r="CE17">
        <f t="shared" si="8"/>
        <v>-1.0464943587540819E-2</v>
      </c>
      <c r="CG17">
        <f t="shared" si="5"/>
        <v>1.0000000000000002</v>
      </c>
      <c r="CH17">
        <f t="shared" si="6"/>
        <v>1</v>
      </c>
      <c r="CJ17">
        <f t="shared" si="7"/>
        <v>-0.21170354305557426</v>
      </c>
    </row>
    <row r="18" spans="1:88" x14ac:dyDescent="0.25">
      <c r="A18" t="s">
        <v>19</v>
      </c>
      <c r="B18">
        <v>7.2024347849697769E-4</v>
      </c>
      <c r="C18">
        <v>7.2635355554771935E-2</v>
      </c>
      <c r="D18">
        <v>0.15706495928686995</v>
      </c>
      <c r="E18">
        <v>0.26906591602343555</v>
      </c>
      <c r="F18">
        <v>0.17452288329359189</v>
      </c>
      <c r="G18">
        <v>4.3164388199052446E-2</v>
      </c>
      <c r="H18">
        <v>0.3510762920258988</v>
      </c>
      <c r="I18">
        <v>0.18310243589501052</v>
      </c>
      <c r="J18">
        <v>5.5223553509018287E-2</v>
      </c>
      <c r="K18">
        <v>-0.31963582371114557</v>
      </c>
      <c r="L18">
        <v>-4.8931001131431916E-2</v>
      </c>
      <c r="M18">
        <v>-2.4951196607477653E-2</v>
      </c>
      <c r="N18">
        <v>-0.32610688685152528</v>
      </c>
      <c r="O18">
        <v>-0.37620762211481712</v>
      </c>
      <c r="P18">
        <v>-1.7996323456252216E-3</v>
      </c>
      <c r="Q18">
        <v>-6.8378598026236082E-2</v>
      </c>
      <c r="R18">
        <v>-0.11370007584624625</v>
      </c>
      <c r="S18">
        <v>-9.1250068252648212E-2</v>
      </c>
      <c r="T18">
        <v>-1.2619256016088841E-2</v>
      </c>
      <c r="U18">
        <v>2.9688000189572877E-2</v>
      </c>
      <c r="V18">
        <v>-4.1823285236270991E-3</v>
      </c>
      <c r="W18">
        <v>1.5802785300945775E-2</v>
      </c>
      <c r="X18">
        <v>-1.1520166208221442E-2</v>
      </c>
      <c r="Y18">
        <v>-7.5114246937517696E-3</v>
      </c>
      <c r="Z18">
        <v>-2.0012642119864796E-2</v>
      </c>
      <c r="AA18">
        <v>-3.4393150437397519E-3</v>
      </c>
      <c r="AB18">
        <v>6.8141362575721079E-2</v>
      </c>
      <c r="AC18">
        <v>2.7248893800105897E-3</v>
      </c>
      <c r="AD18">
        <v>-1.274986580058635E-2</v>
      </c>
      <c r="AE18">
        <v>-2.2515955546855426E-2</v>
      </c>
      <c r="AF18">
        <v>-5.5465568767700944E-2</v>
      </c>
      <c r="AG18">
        <v>5.4246337901606989E-3</v>
      </c>
      <c r="AH18">
        <v>-1.7200272491896776E-2</v>
      </c>
      <c r="AI18">
        <v>-0.21275459821233664</v>
      </c>
      <c r="AJ18">
        <v>-0.35509171387018734</v>
      </c>
      <c r="AK18">
        <v>-0.28300405372712345</v>
      </c>
      <c r="AL18">
        <v>-0.21249049706950934</v>
      </c>
      <c r="AM18">
        <v>-0.13846239484489606</v>
      </c>
      <c r="AN18">
        <v>-1.046494358971589E-2</v>
      </c>
      <c r="AP18">
        <f t="shared" si="2"/>
        <v>1.0000000004156873</v>
      </c>
      <c r="AQ18">
        <f t="shared" si="3"/>
        <v>1.0000000002078435</v>
      </c>
      <c r="AS18">
        <f t="shared" si="4"/>
        <v>7.2024347834727972E-4</v>
      </c>
      <c r="AT18">
        <f t="shared" si="4"/>
        <v>7.263535553967515E-2</v>
      </c>
      <c r="AU18">
        <f t="shared" si="4"/>
        <v>0.15706495925422501</v>
      </c>
      <c r="AV18">
        <f t="shared" si="4"/>
        <v>0.26906591596751195</v>
      </c>
      <c r="AW18">
        <f t="shared" si="4"/>
        <v>0.17452288325731843</v>
      </c>
      <c r="AX18">
        <f t="shared" si="4"/>
        <v>4.3164388190081004E-2</v>
      </c>
      <c r="AY18">
        <f t="shared" si="4"/>
        <v>0.35107629195292989</v>
      </c>
      <c r="AZ18">
        <f t="shared" si="4"/>
        <v>0.18310243585695388</v>
      </c>
      <c r="BA18">
        <f t="shared" si="4"/>
        <v>5.5223553497540427E-2</v>
      </c>
      <c r="BB18">
        <f t="shared" si="4"/>
        <v>-0.31963582364471133</v>
      </c>
      <c r="BC18">
        <f t="shared" si="4"/>
        <v>-4.8931001121261926E-2</v>
      </c>
      <c r="BD18">
        <f t="shared" si="4"/>
        <v>-2.4951196602291708E-2</v>
      </c>
      <c r="BE18">
        <f t="shared" si="4"/>
        <v>-0.32610688678374605</v>
      </c>
      <c r="BF18">
        <f t="shared" si="4"/>
        <v>-0.37620762203662478</v>
      </c>
      <c r="BG18">
        <f t="shared" si="4"/>
        <v>-1.7996323452511797E-3</v>
      </c>
      <c r="BH18">
        <f t="shared" si="4"/>
        <v>-6.8378598012024033E-2</v>
      </c>
      <c r="BI18">
        <f t="shared" si="9"/>
        <v>-0.11370007582261443</v>
      </c>
      <c r="BJ18">
        <f t="shared" si="9"/>
        <v>-9.125006823368248E-2</v>
      </c>
      <c r="BK18">
        <f t="shared" si="9"/>
        <v>-1.261925601346601E-2</v>
      </c>
      <c r="BL18">
        <f t="shared" si="9"/>
        <v>2.9688000183402417E-2</v>
      </c>
      <c r="BM18">
        <f t="shared" si="9"/>
        <v>-4.1823285227578291E-3</v>
      </c>
      <c r="BN18">
        <f t="shared" si="9"/>
        <v>1.5802785297661267E-2</v>
      </c>
      <c r="BO18">
        <f t="shared" si="9"/>
        <v>-1.152016620582705E-2</v>
      </c>
      <c r="BP18">
        <f t="shared" si="9"/>
        <v>-7.5114246921905688E-3</v>
      </c>
      <c r="BQ18">
        <f t="shared" si="9"/>
        <v>-2.0012642115705297E-2</v>
      </c>
      <c r="BR18">
        <f t="shared" si="9"/>
        <v>-3.4393150430249127E-3</v>
      </c>
      <c r="BS18">
        <f t="shared" si="9"/>
        <v>6.8141362561558338E-2</v>
      </c>
      <c r="BT18">
        <f t="shared" si="9"/>
        <v>2.7248893794442389E-3</v>
      </c>
      <c r="BU18">
        <f t="shared" si="8"/>
        <v>-1.2749865797936372E-2</v>
      </c>
      <c r="BV18">
        <f t="shared" si="8"/>
        <v>-2.2515955542175631E-2</v>
      </c>
      <c r="BW18">
        <f t="shared" si="8"/>
        <v>-5.5465568756172784E-2</v>
      </c>
      <c r="BX18">
        <f t="shared" si="8"/>
        <v>5.4246337890332241E-3</v>
      </c>
      <c r="BY18">
        <f t="shared" si="8"/>
        <v>-1.7200272488321809E-2</v>
      </c>
      <c r="BZ18">
        <f t="shared" si="8"/>
        <v>-0.21275459816811698</v>
      </c>
      <c r="CA18">
        <f t="shared" si="8"/>
        <v>-0.35509171379638382</v>
      </c>
      <c r="CB18">
        <f t="shared" si="8"/>
        <v>-0.28300405366830289</v>
      </c>
      <c r="CC18">
        <f t="shared" si="8"/>
        <v>-0.21249049702534456</v>
      </c>
      <c r="CD18">
        <f t="shared" si="8"/>
        <v>-0.13846239481611755</v>
      </c>
      <c r="CE18">
        <f t="shared" si="8"/>
        <v>-1.0464943587540819E-2</v>
      </c>
      <c r="CG18">
        <f t="shared" si="5"/>
        <v>1.0000000000000002</v>
      </c>
      <c r="CH18">
        <f t="shared" si="6"/>
        <v>1</v>
      </c>
      <c r="CJ18">
        <f t="shared" si="7"/>
        <v>-0.21170354305557426</v>
      </c>
    </row>
    <row r="19" spans="1:88" x14ac:dyDescent="0.25">
      <c r="A19" t="s">
        <v>20</v>
      </c>
      <c r="B19">
        <v>7.2024347849697769E-4</v>
      </c>
      <c r="C19">
        <v>7.2635355554771935E-2</v>
      </c>
      <c r="D19">
        <v>0.15706495928686995</v>
      </c>
      <c r="E19">
        <v>0.26906591602343555</v>
      </c>
      <c r="F19">
        <v>0.17452288329359189</v>
      </c>
      <c r="G19">
        <v>4.3164388199052446E-2</v>
      </c>
      <c r="H19">
        <v>0.3510762920258988</v>
      </c>
      <c r="I19">
        <v>0.18310243589501052</v>
      </c>
      <c r="J19">
        <v>5.5223553509018287E-2</v>
      </c>
      <c r="K19">
        <v>-0.31963582371114557</v>
      </c>
      <c r="L19">
        <v>-4.8931001131431916E-2</v>
      </c>
      <c r="M19">
        <v>-2.4951196607477653E-2</v>
      </c>
      <c r="N19">
        <v>-0.32610688685152528</v>
      </c>
      <c r="O19">
        <v>-0.37620762211481712</v>
      </c>
      <c r="P19">
        <v>-1.7996323456252216E-3</v>
      </c>
      <c r="Q19">
        <v>-6.8378598026236082E-2</v>
      </c>
      <c r="R19">
        <v>-0.11370007584624625</v>
      </c>
      <c r="S19">
        <v>-9.1250068252648212E-2</v>
      </c>
      <c r="T19">
        <v>-1.2619256016088841E-2</v>
      </c>
      <c r="U19">
        <v>2.9688000189572877E-2</v>
      </c>
      <c r="V19">
        <v>-4.1823285236270991E-3</v>
      </c>
      <c r="W19">
        <v>1.5802785300945775E-2</v>
      </c>
      <c r="X19">
        <v>-1.1520166208221442E-2</v>
      </c>
      <c r="Y19">
        <v>-7.5114246937517696E-3</v>
      </c>
      <c r="Z19">
        <v>-2.0012642119864796E-2</v>
      </c>
      <c r="AA19">
        <v>-3.4393150437397519E-3</v>
      </c>
      <c r="AB19">
        <v>6.8141362575721079E-2</v>
      </c>
      <c r="AC19">
        <v>2.7248893800105897E-3</v>
      </c>
      <c r="AD19">
        <v>-1.274986580058635E-2</v>
      </c>
      <c r="AE19">
        <v>-2.2515955546855426E-2</v>
      </c>
      <c r="AF19">
        <v>-5.5465568767700944E-2</v>
      </c>
      <c r="AG19">
        <v>5.4246337901606989E-3</v>
      </c>
      <c r="AH19">
        <v>-1.7200272491896776E-2</v>
      </c>
      <c r="AI19">
        <v>-0.21275459821233664</v>
      </c>
      <c r="AJ19">
        <v>-0.35509171387018734</v>
      </c>
      <c r="AK19">
        <v>-0.28300405372712345</v>
      </c>
      <c r="AL19">
        <v>-0.21249049706950934</v>
      </c>
      <c r="AM19">
        <v>-0.13846239484489606</v>
      </c>
      <c r="AN19">
        <v>-1.046494358971589E-2</v>
      </c>
      <c r="AP19">
        <f t="shared" si="2"/>
        <v>1.0000000004156873</v>
      </c>
      <c r="AQ19">
        <f t="shared" si="3"/>
        <v>1.0000000002078435</v>
      </c>
      <c r="AS19">
        <f t="shared" si="4"/>
        <v>7.2024347834727972E-4</v>
      </c>
      <c r="AT19">
        <f t="shared" si="4"/>
        <v>7.263535553967515E-2</v>
      </c>
      <c r="AU19">
        <f t="shared" si="4"/>
        <v>0.15706495925422501</v>
      </c>
      <c r="AV19">
        <f t="shared" si="4"/>
        <v>0.26906591596751195</v>
      </c>
      <c r="AW19">
        <f t="shared" si="4"/>
        <v>0.17452288325731843</v>
      </c>
      <c r="AX19">
        <f t="shared" si="4"/>
        <v>4.3164388190081004E-2</v>
      </c>
      <c r="AY19">
        <f t="shared" si="4"/>
        <v>0.35107629195292989</v>
      </c>
      <c r="AZ19">
        <f t="shared" si="4"/>
        <v>0.18310243585695388</v>
      </c>
      <c r="BA19">
        <f t="shared" si="4"/>
        <v>5.5223553497540427E-2</v>
      </c>
      <c r="BB19">
        <f t="shared" si="4"/>
        <v>-0.31963582364471133</v>
      </c>
      <c r="BC19">
        <f t="shared" si="4"/>
        <v>-4.8931001121261926E-2</v>
      </c>
      <c r="BD19">
        <f t="shared" si="4"/>
        <v>-2.4951196602291708E-2</v>
      </c>
      <c r="BE19">
        <f t="shared" si="4"/>
        <v>-0.32610688678374605</v>
      </c>
      <c r="BF19">
        <f t="shared" si="4"/>
        <v>-0.37620762203662478</v>
      </c>
      <c r="BG19">
        <f t="shared" si="4"/>
        <v>-1.7996323452511797E-3</v>
      </c>
      <c r="BH19">
        <f t="shared" si="4"/>
        <v>-6.8378598012024033E-2</v>
      </c>
      <c r="BI19">
        <f t="shared" si="9"/>
        <v>-0.11370007582261443</v>
      </c>
      <c r="BJ19">
        <f t="shared" si="9"/>
        <v>-9.125006823368248E-2</v>
      </c>
      <c r="BK19">
        <f t="shared" si="9"/>
        <v>-1.261925601346601E-2</v>
      </c>
      <c r="BL19">
        <f t="shared" si="9"/>
        <v>2.9688000183402417E-2</v>
      </c>
      <c r="BM19">
        <f t="shared" si="9"/>
        <v>-4.1823285227578291E-3</v>
      </c>
      <c r="BN19">
        <f t="shared" si="9"/>
        <v>1.5802785297661267E-2</v>
      </c>
      <c r="BO19">
        <f t="shared" si="9"/>
        <v>-1.152016620582705E-2</v>
      </c>
      <c r="BP19">
        <f t="shared" si="9"/>
        <v>-7.5114246921905688E-3</v>
      </c>
      <c r="BQ19">
        <f t="shared" si="9"/>
        <v>-2.0012642115705297E-2</v>
      </c>
      <c r="BR19">
        <f t="shared" si="9"/>
        <v>-3.4393150430249127E-3</v>
      </c>
      <c r="BS19">
        <f t="shared" si="9"/>
        <v>6.8141362561558338E-2</v>
      </c>
      <c r="BT19">
        <f t="shared" si="9"/>
        <v>2.7248893794442389E-3</v>
      </c>
      <c r="BU19">
        <f t="shared" si="8"/>
        <v>-1.2749865797936372E-2</v>
      </c>
      <c r="BV19">
        <f t="shared" si="8"/>
        <v>-2.2515955542175631E-2</v>
      </c>
      <c r="BW19">
        <f t="shared" si="8"/>
        <v>-5.5465568756172784E-2</v>
      </c>
      <c r="BX19">
        <f t="shared" si="8"/>
        <v>5.4246337890332241E-3</v>
      </c>
      <c r="BY19">
        <f t="shared" si="8"/>
        <v>-1.7200272488321809E-2</v>
      </c>
      <c r="BZ19">
        <f t="shared" si="8"/>
        <v>-0.21275459816811698</v>
      </c>
      <c r="CA19">
        <f t="shared" si="8"/>
        <v>-0.35509171379638382</v>
      </c>
      <c r="CB19">
        <f t="shared" si="8"/>
        <v>-0.28300405366830289</v>
      </c>
      <c r="CC19">
        <f t="shared" si="8"/>
        <v>-0.21249049702534456</v>
      </c>
      <c r="CD19">
        <f t="shared" si="8"/>
        <v>-0.13846239481611755</v>
      </c>
      <c r="CE19">
        <f t="shared" si="8"/>
        <v>-1.0464943587540819E-2</v>
      </c>
      <c r="CG19">
        <f t="shared" si="5"/>
        <v>1.0000000000000002</v>
      </c>
      <c r="CH19">
        <f t="shared" si="6"/>
        <v>1</v>
      </c>
      <c r="CJ19">
        <f t="shared" si="7"/>
        <v>-0.21170354305557426</v>
      </c>
    </row>
    <row r="20" spans="1:88" x14ac:dyDescent="0.25">
      <c r="A20" t="s">
        <v>21</v>
      </c>
      <c r="B20">
        <v>7.2024347849697769E-4</v>
      </c>
      <c r="C20">
        <v>7.2635355554771935E-2</v>
      </c>
      <c r="D20">
        <v>0.15706495928686995</v>
      </c>
      <c r="E20">
        <v>0.26906591602343555</v>
      </c>
      <c r="F20">
        <v>0.17452288329359189</v>
      </c>
      <c r="G20">
        <v>4.3164388199052446E-2</v>
      </c>
      <c r="H20">
        <v>0.3510762920258988</v>
      </c>
      <c r="I20">
        <v>0.18310243589501052</v>
      </c>
      <c r="J20">
        <v>5.5223553509018287E-2</v>
      </c>
      <c r="K20">
        <v>-0.31963582371114557</v>
      </c>
      <c r="L20">
        <v>-4.8931001131431916E-2</v>
      </c>
      <c r="M20">
        <v>-2.4951196607477653E-2</v>
      </c>
      <c r="N20">
        <v>-0.32610688685152528</v>
      </c>
      <c r="O20">
        <v>-0.37620762211481712</v>
      </c>
      <c r="P20">
        <v>-1.7996323456252216E-3</v>
      </c>
      <c r="Q20">
        <v>-6.8378598026236082E-2</v>
      </c>
      <c r="R20">
        <v>-0.11370007584624625</v>
      </c>
      <c r="S20">
        <v>-9.1250068252648212E-2</v>
      </c>
      <c r="T20">
        <v>-1.2619256016088841E-2</v>
      </c>
      <c r="U20">
        <v>2.9688000189572877E-2</v>
      </c>
      <c r="V20">
        <v>-4.1823285236270991E-3</v>
      </c>
      <c r="W20">
        <v>1.5802785300945775E-2</v>
      </c>
      <c r="X20">
        <v>-1.1520166208221442E-2</v>
      </c>
      <c r="Y20">
        <v>-7.5114246937517696E-3</v>
      </c>
      <c r="Z20">
        <v>-2.0012642119864796E-2</v>
      </c>
      <c r="AA20">
        <v>-3.4393150437397519E-3</v>
      </c>
      <c r="AB20">
        <v>6.8141362575721079E-2</v>
      </c>
      <c r="AC20">
        <v>2.7248893800105897E-3</v>
      </c>
      <c r="AD20">
        <v>-1.274986580058635E-2</v>
      </c>
      <c r="AE20">
        <v>-2.2515955546855426E-2</v>
      </c>
      <c r="AF20">
        <v>-5.5465568767700944E-2</v>
      </c>
      <c r="AG20">
        <v>5.4246337901606989E-3</v>
      </c>
      <c r="AH20">
        <v>-1.7200272491896776E-2</v>
      </c>
      <c r="AI20">
        <v>-0.21275459821233664</v>
      </c>
      <c r="AJ20">
        <v>-0.35509171387018734</v>
      </c>
      <c r="AK20">
        <v>-0.28300405372712345</v>
      </c>
      <c r="AL20">
        <v>-0.21249049706950934</v>
      </c>
      <c r="AM20">
        <v>-0.13846239484489606</v>
      </c>
      <c r="AN20">
        <v>-1.046494358971589E-2</v>
      </c>
      <c r="AP20">
        <f t="shared" si="2"/>
        <v>1.0000000004156873</v>
      </c>
      <c r="AQ20">
        <f t="shared" si="3"/>
        <v>1.0000000002078435</v>
      </c>
      <c r="AS20">
        <f t="shared" si="4"/>
        <v>7.2024347834727972E-4</v>
      </c>
      <c r="AT20">
        <f t="shared" si="4"/>
        <v>7.263535553967515E-2</v>
      </c>
      <c r="AU20">
        <f t="shared" si="4"/>
        <v>0.15706495925422501</v>
      </c>
      <c r="AV20">
        <f t="shared" si="4"/>
        <v>0.26906591596751195</v>
      </c>
      <c r="AW20">
        <f t="shared" si="4"/>
        <v>0.17452288325731843</v>
      </c>
      <c r="AX20">
        <f t="shared" si="4"/>
        <v>4.3164388190081004E-2</v>
      </c>
      <c r="AY20">
        <f t="shared" si="4"/>
        <v>0.35107629195292989</v>
      </c>
      <c r="AZ20">
        <f t="shared" si="4"/>
        <v>0.18310243585695388</v>
      </c>
      <c r="BA20">
        <f t="shared" si="4"/>
        <v>5.5223553497540427E-2</v>
      </c>
      <c r="BB20">
        <f t="shared" si="4"/>
        <v>-0.31963582364471133</v>
      </c>
      <c r="BC20">
        <f t="shared" si="4"/>
        <v>-4.8931001121261926E-2</v>
      </c>
      <c r="BD20">
        <f t="shared" si="4"/>
        <v>-2.4951196602291708E-2</v>
      </c>
      <c r="BE20">
        <f t="shared" si="4"/>
        <v>-0.32610688678374605</v>
      </c>
      <c r="BF20">
        <f t="shared" si="4"/>
        <v>-0.37620762203662478</v>
      </c>
      <c r="BG20">
        <f t="shared" si="4"/>
        <v>-1.7996323452511797E-3</v>
      </c>
      <c r="BH20">
        <f t="shared" si="4"/>
        <v>-6.8378598012024033E-2</v>
      </c>
      <c r="BI20">
        <f t="shared" si="9"/>
        <v>-0.11370007582261443</v>
      </c>
      <c r="BJ20">
        <f t="shared" si="9"/>
        <v>-9.125006823368248E-2</v>
      </c>
      <c r="BK20">
        <f t="shared" si="9"/>
        <v>-1.261925601346601E-2</v>
      </c>
      <c r="BL20">
        <f t="shared" si="9"/>
        <v>2.9688000183402417E-2</v>
      </c>
      <c r="BM20">
        <f t="shared" si="9"/>
        <v>-4.1823285227578291E-3</v>
      </c>
      <c r="BN20">
        <f t="shared" si="9"/>
        <v>1.5802785297661267E-2</v>
      </c>
      <c r="BO20">
        <f t="shared" si="9"/>
        <v>-1.152016620582705E-2</v>
      </c>
      <c r="BP20">
        <f t="shared" si="9"/>
        <v>-7.5114246921905688E-3</v>
      </c>
      <c r="BQ20">
        <f t="shared" si="9"/>
        <v>-2.0012642115705297E-2</v>
      </c>
      <c r="BR20">
        <f t="shared" si="9"/>
        <v>-3.4393150430249127E-3</v>
      </c>
      <c r="BS20">
        <f t="shared" si="9"/>
        <v>6.8141362561558338E-2</v>
      </c>
      <c r="BT20">
        <f t="shared" si="9"/>
        <v>2.7248893794442389E-3</v>
      </c>
      <c r="BU20">
        <f t="shared" si="8"/>
        <v>-1.2749865797936372E-2</v>
      </c>
      <c r="BV20">
        <f t="shared" si="8"/>
        <v>-2.2515955542175631E-2</v>
      </c>
      <c r="BW20">
        <f t="shared" si="8"/>
        <v>-5.5465568756172784E-2</v>
      </c>
      <c r="BX20">
        <f t="shared" si="8"/>
        <v>5.4246337890332241E-3</v>
      </c>
      <c r="BY20">
        <f t="shared" si="8"/>
        <v>-1.7200272488321809E-2</v>
      </c>
      <c r="BZ20">
        <f t="shared" si="8"/>
        <v>-0.21275459816811698</v>
      </c>
      <c r="CA20">
        <f t="shared" si="8"/>
        <v>-0.35509171379638382</v>
      </c>
      <c r="CB20">
        <f t="shared" si="8"/>
        <v>-0.28300405366830289</v>
      </c>
      <c r="CC20">
        <f t="shared" si="8"/>
        <v>-0.21249049702534456</v>
      </c>
      <c r="CD20">
        <f t="shared" si="8"/>
        <v>-0.13846239481611755</v>
      </c>
      <c r="CE20">
        <f t="shared" si="8"/>
        <v>-1.0464943587540819E-2</v>
      </c>
      <c r="CG20">
        <f t="shared" si="5"/>
        <v>1.0000000000000002</v>
      </c>
      <c r="CH20">
        <f t="shared" si="6"/>
        <v>1</v>
      </c>
      <c r="CJ20">
        <f t="shared" si="7"/>
        <v>-0.21170354305557426</v>
      </c>
    </row>
    <row r="21" spans="1:88" x14ac:dyDescent="0.25">
      <c r="A21" t="s">
        <v>22</v>
      </c>
      <c r="B21">
        <v>7.2024347849697769E-4</v>
      </c>
      <c r="C21">
        <v>7.2635355554771935E-2</v>
      </c>
      <c r="D21">
        <v>0.15706495928686995</v>
      </c>
      <c r="E21">
        <v>0.26906591602343555</v>
      </c>
      <c r="F21">
        <v>0.17452288329359189</v>
      </c>
      <c r="G21">
        <v>4.3164388199052446E-2</v>
      </c>
      <c r="H21">
        <v>0.3510762920258988</v>
      </c>
      <c r="I21">
        <v>0.18310243589501052</v>
      </c>
      <c r="J21">
        <v>5.5223553509018287E-2</v>
      </c>
      <c r="K21">
        <v>-0.31963582371114557</v>
      </c>
      <c r="L21">
        <v>-4.8931001131431916E-2</v>
      </c>
      <c r="M21">
        <v>-2.4951196607477653E-2</v>
      </c>
      <c r="N21">
        <v>-0.32610688685152528</v>
      </c>
      <c r="O21">
        <v>-0.37620762211481712</v>
      </c>
      <c r="P21">
        <v>-1.7996323456252216E-3</v>
      </c>
      <c r="Q21">
        <v>-6.8378598026236082E-2</v>
      </c>
      <c r="R21">
        <v>-0.11370007584624625</v>
      </c>
      <c r="S21">
        <v>-9.1250068252648212E-2</v>
      </c>
      <c r="T21">
        <v>-1.2619256016088841E-2</v>
      </c>
      <c r="U21">
        <v>2.9688000189572877E-2</v>
      </c>
      <c r="V21">
        <v>-4.1823285236270991E-3</v>
      </c>
      <c r="W21">
        <v>1.5802785300945775E-2</v>
      </c>
      <c r="X21">
        <v>-1.1520166208221442E-2</v>
      </c>
      <c r="Y21">
        <v>-7.5114246937517696E-3</v>
      </c>
      <c r="Z21">
        <v>-2.0012642119864796E-2</v>
      </c>
      <c r="AA21">
        <v>-3.4393150437397519E-3</v>
      </c>
      <c r="AB21">
        <v>6.8141362575721079E-2</v>
      </c>
      <c r="AC21">
        <v>2.7248893800105897E-3</v>
      </c>
      <c r="AD21">
        <v>-1.274986580058635E-2</v>
      </c>
      <c r="AE21">
        <v>-2.2515955546855426E-2</v>
      </c>
      <c r="AF21">
        <v>-5.5465568767700944E-2</v>
      </c>
      <c r="AG21">
        <v>5.4246337901606989E-3</v>
      </c>
      <c r="AH21">
        <v>-1.7200272491896776E-2</v>
      </c>
      <c r="AI21">
        <v>-0.21275459821233664</v>
      </c>
      <c r="AJ21">
        <v>-0.35509171387018734</v>
      </c>
      <c r="AK21">
        <v>-0.28300405372712345</v>
      </c>
      <c r="AL21">
        <v>-0.21249049706950934</v>
      </c>
      <c r="AM21">
        <v>-0.13846239484489606</v>
      </c>
      <c r="AN21">
        <v>-1.046494358971589E-2</v>
      </c>
      <c r="AP21">
        <f t="shared" si="2"/>
        <v>1.0000000004156873</v>
      </c>
      <c r="AQ21">
        <f t="shared" si="3"/>
        <v>1.0000000002078435</v>
      </c>
      <c r="AS21">
        <f t="shared" si="4"/>
        <v>7.2024347834727972E-4</v>
      </c>
      <c r="AT21">
        <f t="shared" si="4"/>
        <v>7.263535553967515E-2</v>
      </c>
      <c r="AU21">
        <f t="shared" si="4"/>
        <v>0.15706495925422501</v>
      </c>
      <c r="AV21">
        <f t="shared" si="4"/>
        <v>0.26906591596751195</v>
      </c>
      <c r="AW21">
        <f t="shared" si="4"/>
        <v>0.17452288325731843</v>
      </c>
      <c r="AX21">
        <f t="shared" si="4"/>
        <v>4.3164388190081004E-2</v>
      </c>
      <c r="AY21">
        <f t="shared" si="4"/>
        <v>0.35107629195292989</v>
      </c>
      <c r="AZ21">
        <f t="shared" si="4"/>
        <v>0.18310243585695388</v>
      </c>
      <c r="BA21">
        <f t="shared" si="4"/>
        <v>5.5223553497540427E-2</v>
      </c>
      <c r="BB21">
        <f t="shared" si="4"/>
        <v>-0.31963582364471133</v>
      </c>
      <c r="BC21">
        <f t="shared" si="4"/>
        <v>-4.8931001121261926E-2</v>
      </c>
      <c r="BD21">
        <f t="shared" si="4"/>
        <v>-2.4951196602291708E-2</v>
      </c>
      <c r="BE21">
        <f t="shared" si="4"/>
        <v>-0.32610688678374605</v>
      </c>
      <c r="BF21">
        <f t="shared" si="4"/>
        <v>-0.37620762203662478</v>
      </c>
      <c r="BG21">
        <f t="shared" si="4"/>
        <v>-1.7996323452511797E-3</v>
      </c>
      <c r="BH21">
        <f t="shared" si="4"/>
        <v>-6.8378598012024033E-2</v>
      </c>
      <c r="BI21">
        <f t="shared" si="9"/>
        <v>-0.11370007582261443</v>
      </c>
      <c r="BJ21">
        <f t="shared" si="9"/>
        <v>-9.125006823368248E-2</v>
      </c>
      <c r="BK21">
        <f t="shared" si="9"/>
        <v>-1.261925601346601E-2</v>
      </c>
      <c r="BL21">
        <f t="shared" si="9"/>
        <v>2.9688000183402417E-2</v>
      </c>
      <c r="BM21">
        <f t="shared" si="9"/>
        <v>-4.1823285227578291E-3</v>
      </c>
      <c r="BN21">
        <f t="shared" si="9"/>
        <v>1.5802785297661267E-2</v>
      </c>
      <c r="BO21">
        <f t="shared" si="9"/>
        <v>-1.152016620582705E-2</v>
      </c>
      <c r="BP21">
        <f t="shared" si="9"/>
        <v>-7.5114246921905688E-3</v>
      </c>
      <c r="BQ21">
        <f t="shared" si="9"/>
        <v>-2.0012642115705297E-2</v>
      </c>
      <c r="BR21">
        <f t="shared" si="9"/>
        <v>-3.4393150430249127E-3</v>
      </c>
      <c r="BS21">
        <f t="shared" si="9"/>
        <v>6.8141362561558338E-2</v>
      </c>
      <c r="BT21">
        <f t="shared" si="9"/>
        <v>2.7248893794442389E-3</v>
      </c>
      <c r="BU21">
        <f t="shared" si="8"/>
        <v>-1.2749865797936372E-2</v>
      </c>
      <c r="BV21">
        <f t="shared" si="8"/>
        <v>-2.2515955542175631E-2</v>
      </c>
      <c r="BW21">
        <f t="shared" si="8"/>
        <v>-5.5465568756172784E-2</v>
      </c>
      <c r="BX21">
        <f t="shared" si="8"/>
        <v>5.4246337890332241E-3</v>
      </c>
      <c r="BY21">
        <f t="shared" si="8"/>
        <v>-1.7200272488321809E-2</v>
      </c>
      <c r="BZ21">
        <f t="shared" si="8"/>
        <v>-0.21275459816811698</v>
      </c>
      <c r="CA21">
        <f t="shared" si="8"/>
        <v>-0.35509171379638382</v>
      </c>
      <c r="CB21">
        <f t="shared" si="8"/>
        <v>-0.28300405366830289</v>
      </c>
      <c r="CC21">
        <f t="shared" si="8"/>
        <v>-0.21249049702534456</v>
      </c>
      <c r="CD21">
        <f t="shared" si="8"/>
        <v>-0.13846239481611755</v>
      </c>
      <c r="CE21">
        <f t="shared" si="8"/>
        <v>-1.0464943587540819E-2</v>
      </c>
      <c r="CG21">
        <f t="shared" si="5"/>
        <v>1.0000000000000002</v>
      </c>
      <c r="CH21">
        <f t="shared" si="6"/>
        <v>1</v>
      </c>
      <c r="CJ21">
        <f t="shared" si="7"/>
        <v>-0.21170354305557426</v>
      </c>
    </row>
    <row r="22" spans="1:88" x14ac:dyDescent="0.25">
      <c r="A22" t="s">
        <v>23</v>
      </c>
      <c r="B22">
        <v>7.2024347849697769E-4</v>
      </c>
      <c r="C22">
        <v>7.2635355554771935E-2</v>
      </c>
      <c r="D22">
        <v>0.15706495928686995</v>
      </c>
      <c r="E22">
        <v>0.26906591602343555</v>
      </c>
      <c r="F22">
        <v>0.17452288329359189</v>
      </c>
      <c r="G22">
        <v>4.3164388199052446E-2</v>
      </c>
      <c r="H22">
        <v>0.3510762920258988</v>
      </c>
      <c r="I22">
        <v>0.18310243589501052</v>
      </c>
      <c r="J22">
        <v>5.5223553509018287E-2</v>
      </c>
      <c r="K22">
        <v>-0.31963582371114557</v>
      </c>
      <c r="L22">
        <v>-4.8931001131431916E-2</v>
      </c>
      <c r="M22">
        <v>-2.4951196607477653E-2</v>
      </c>
      <c r="N22">
        <v>-0.32610688685152528</v>
      </c>
      <c r="O22">
        <v>-0.37620762211481712</v>
      </c>
      <c r="P22">
        <v>-1.7996323456252216E-3</v>
      </c>
      <c r="Q22">
        <v>-6.8378598026236082E-2</v>
      </c>
      <c r="R22">
        <v>-0.11370007584624625</v>
      </c>
      <c r="S22">
        <v>-9.1250068252648212E-2</v>
      </c>
      <c r="T22">
        <v>-1.2619256016088841E-2</v>
      </c>
      <c r="U22">
        <v>2.9688000189572877E-2</v>
      </c>
      <c r="V22">
        <v>-4.1823285236270991E-3</v>
      </c>
      <c r="W22">
        <v>1.5802785300945775E-2</v>
      </c>
      <c r="X22">
        <v>-1.1520166208221442E-2</v>
      </c>
      <c r="Y22">
        <v>-7.5114246937517696E-3</v>
      </c>
      <c r="Z22">
        <v>-2.0012642119864796E-2</v>
      </c>
      <c r="AA22">
        <v>-3.4393150437397519E-3</v>
      </c>
      <c r="AB22">
        <v>6.8141362575721079E-2</v>
      </c>
      <c r="AC22">
        <v>2.7248893800105897E-3</v>
      </c>
      <c r="AD22">
        <v>-1.274986580058635E-2</v>
      </c>
      <c r="AE22">
        <v>-2.2515955546855426E-2</v>
      </c>
      <c r="AF22">
        <v>-5.5465568767700944E-2</v>
      </c>
      <c r="AG22">
        <v>5.4246337901606989E-3</v>
      </c>
      <c r="AH22">
        <v>-1.7200272491896776E-2</v>
      </c>
      <c r="AI22">
        <v>-0.21275459821233664</v>
      </c>
      <c r="AJ22">
        <v>-0.35509171387018734</v>
      </c>
      <c r="AK22">
        <v>-0.28300405372712345</v>
      </c>
      <c r="AL22">
        <v>-0.21249049706950934</v>
      </c>
      <c r="AM22">
        <v>-0.13846239484489606</v>
      </c>
      <c r="AN22">
        <v>-1.046494358971589E-2</v>
      </c>
      <c r="AP22">
        <f t="shared" si="2"/>
        <v>1.0000000004156873</v>
      </c>
      <c r="AQ22">
        <f t="shared" si="3"/>
        <v>1.0000000002078435</v>
      </c>
      <c r="AS22">
        <f t="shared" si="4"/>
        <v>7.2024347834727972E-4</v>
      </c>
      <c r="AT22">
        <f t="shared" si="4"/>
        <v>7.263535553967515E-2</v>
      </c>
      <c r="AU22">
        <f t="shared" si="4"/>
        <v>0.15706495925422501</v>
      </c>
      <c r="AV22">
        <f t="shared" si="4"/>
        <v>0.26906591596751195</v>
      </c>
      <c r="AW22">
        <f t="shared" si="4"/>
        <v>0.17452288325731843</v>
      </c>
      <c r="AX22">
        <f t="shared" si="4"/>
        <v>4.3164388190081004E-2</v>
      </c>
      <c r="AY22">
        <f t="shared" si="4"/>
        <v>0.35107629195292989</v>
      </c>
      <c r="AZ22">
        <f t="shared" si="4"/>
        <v>0.18310243585695388</v>
      </c>
      <c r="BA22">
        <f t="shared" si="4"/>
        <v>5.5223553497540427E-2</v>
      </c>
      <c r="BB22">
        <f t="shared" si="4"/>
        <v>-0.31963582364471133</v>
      </c>
      <c r="BC22">
        <f t="shared" si="4"/>
        <v>-4.8931001121261926E-2</v>
      </c>
      <c r="BD22">
        <f t="shared" si="4"/>
        <v>-2.4951196602291708E-2</v>
      </c>
      <c r="BE22">
        <f t="shared" si="4"/>
        <v>-0.32610688678374605</v>
      </c>
      <c r="BF22">
        <f t="shared" si="4"/>
        <v>-0.37620762203662478</v>
      </c>
      <c r="BG22">
        <f t="shared" si="4"/>
        <v>-1.7996323452511797E-3</v>
      </c>
      <c r="BH22">
        <f t="shared" si="4"/>
        <v>-6.8378598012024033E-2</v>
      </c>
      <c r="BI22">
        <f t="shared" si="9"/>
        <v>-0.11370007582261443</v>
      </c>
      <c r="BJ22">
        <f t="shared" si="9"/>
        <v>-9.125006823368248E-2</v>
      </c>
      <c r="BK22">
        <f t="shared" si="9"/>
        <v>-1.261925601346601E-2</v>
      </c>
      <c r="BL22">
        <f t="shared" si="9"/>
        <v>2.9688000183402417E-2</v>
      </c>
      <c r="BM22">
        <f t="shared" si="9"/>
        <v>-4.1823285227578291E-3</v>
      </c>
      <c r="BN22">
        <f t="shared" si="9"/>
        <v>1.5802785297661267E-2</v>
      </c>
      <c r="BO22">
        <f t="shared" si="9"/>
        <v>-1.152016620582705E-2</v>
      </c>
      <c r="BP22">
        <f t="shared" si="9"/>
        <v>-7.5114246921905688E-3</v>
      </c>
      <c r="BQ22">
        <f t="shared" si="9"/>
        <v>-2.0012642115705297E-2</v>
      </c>
      <c r="BR22">
        <f t="shared" si="9"/>
        <v>-3.4393150430249127E-3</v>
      </c>
      <c r="BS22">
        <f t="shared" si="9"/>
        <v>6.8141362561558338E-2</v>
      </c>
      <c r="BT22">
        <f t="shared" si="9"/>
        <v>2.7248893794442389E-3</v>
      </c>
      <c r="BU22">
        <f t="shared" si="8"/>
        <v>-1.2749865797936372E-2</v>
      </c>
      <c r="BV22">
        <f t="shared" si="8"/>
        <v>-2.2515955542175631E-2</v>
      </c>
      <c r="BW22">
        <f t="shared" si="8"/>
        <v>-5.5465568756172784E-2</v>
      </c>
      <c r="BX22">
        <f t="shared" si="8"/>
        <v>5.4246337890332241E-3</v>
      </c>
      <c r="BY22">
        <f t="shared" si="8"/>
        <v>-1.7200272488321809E-2</v>
      </c>
      <c r="BZ22">
        <f t="shared" si="8"/>
        <v>-0.21275459816811698</v>
      </c>
      <c r="CA22">
        <f t="shared" si="8"/>
        <v>-0.35509171379638382</v>
      </c>
      <c r="CB22">
        <f t="shared" si="8"/>
        <v>-0.28300405366830289</v>
      </c>
      <c r="CC22">
        <f t="shared" si="8"/>
        <v>-0.21249049702534456</v>
      </c>
      <c r="CD22">
        <f t="shared" si="8"/>
        <v>-0.13846239481611755</v>
      </c>
      <c r="CE22">
        <f t="shared" si="8"/>
        <v>-1.0464943587540819E-2</v>
      </c>
      <c r="CG22">
        <f t="shared" si="5"/>
        <v>1.0000000000000002</v>
      </c>
      <c r="CH22">
        <f t="shared" si="6"/>
        <v>1</v>
      </c>
      <c r="CJ22">
        <f t="shared" si="7"/>
        <v>-0.21170354305557426</v>
      </c>
    </row>
    <row r="23" spans="1:88" x14ac:dyDescent="0.25">
      <c r="A23" t="s">
        <v>24</v>
      </c>
      <c r="B23">
        <v>7.2024347849697769E-4</v>
      </c>
      <c r="C23">
        <v>7.2635355554771935E-2</v>
      </c>
      <c r="D23">
        <v>0.15706495928686995</v>
      </c>
      <c r="E23">
        <v>0.26906591602343555</v>
      </c>
      <c r="F23">
        <v>0.17452288329359189</v>
      </c>
      <c r="G23">
        <v>4.3164388199052446E-2</v>
      </c>
      <c r="H23">
        <v>0.3510762920258988</v>
      </c>
      <c r="I23">
        <v>0.18310243589501052</v>
      </c>
      <c r="J23">
        <v>5.5223553509018287E-2</v>
      </c>
      <c r="K23">
        <v>-0.31963582371114557</v>
      </c>
      <c r="L23">
        <v>-4.8931001131431916E-2</v>
      </c>
      <c r="M23">
        <v>-2.4951196607477653E-2</v>
      </c>
      <c r="N23">
        <v>-0.32610688685152528</v>
      </c>
      <c r="O23">
        <v>-0.37620762211481712</v>
      </c>
      <c r="P23">
        <v>-1.7996323456252216E-3</v>
      </c>
      <c r="Q23">
        <v>-6.8378598026236082E-2</v>
      </c>
      <c r="R23">
        <v>-0.11370007584624625</v>
      </c>
      <c r="S23">
        <v>-9.1250068252648212E-2</v>
      </c>
      <c r="T23">
        <v>-1.2619256016088841E-2</v>
      </c>
      <c r="U23">
        <v>2.9688000189572877E-2</v>
      </c>
      <c r="V23">
        <v>-4.1823285236270991E-3</v>
      </c>
      <c r="W23">
        <v>1.5802785300945775E-2</v>
      </c>
      <c r="X23">
        <v>-1.1520166208221442E-2</v>
      </c>
      <c r="Y23">
        <v>-7.5114246937517696E-3</v>
      </c>
      <c r="Z23">
        <v>-2.0012642119864796E-2</v>
      </c>
      <c r="AA23">
        <v>-3.4393150437397519E-3</v>
      </c>
      <c r="AB23">
        <v>6.8141362575721079E-2</v>
      </c>
      <c r="AC23">
        <v>2.7248893800105897E-3</v>
      </c>
      <c r="AD23">
        <v>-1.274986580058635E-2</v>
      </c>
      <c r="AE23">
        <v>-2.2515955546855426E-2</v>
      </c>
      <c r="AF23">
        <v>-5.5465568767700944E-2</v>
      </c>
      <c r="AG23">
        <v>5.4246337901606989E-3</v>
      </c>
      <c r="AH23">
        <v>-1.7200272491896776E-2</v>
      </c>
      <c r="AI23">
        <v>-0.21275459821233664</v>
      </c>
      <c r="AJ23">
        <v>-0.35509171387018734</v>
      </c>
      <c r="AK23">
        <v>-0.28300405372712345</v>
      </c>
      <c r="AL23">
        <v>-0.21249049706950934</v>
      </c>
      <c r="AM23">
        <v>-0.13846239484489606</v>
      </c>
      <c r="AN23">
        <v>-1.046494358971589E-2</v>
      </c>
      <c r="AP23">
        <f t="shared" si="2"/>
        <v>1.0000000004156873</v>
      </c>
      <c r="AQ23">
        <f t="shared" si="3"/>
        <v>1.0000000002078435</v>
      </c>
      <c r="AS23">
        <f t="shared" si="4"/>
        <v>7.2024347834727972E-4</v>
      </c>
      <c r="AT23">
        <f t="shared" si="4"/>
        <v>7.263535553967515E-2</v>
      </c>
      <c r="AU23">
        <f t="shared" si="4"/>
        <v>0.15706495925422501</v>
      </c>
      <c r="AV23">
        <f t="shared" si="4"/>
        <v>0.26906591596751195</v>
      </c>
      <c r="AW23">
        <f t="shared" si="4"/>
        <v>0.17452288325731843</v>
      </c>
      <c r="AX23">
        <f t="shared" si="4"/>
        <v>4.3164388190081004E-2</v>
      </c>
      <c r="AY23">
        <f t="shared" si="4"/>
        <v>0.35107629195292989</v>
      </c>
      <c r="AZ23">
        <f t="shared" si="4"/>
        <v>0.18310243585695388</v>
      </c>
      <c r="BA23">
        <f t="shared" si="4"/>
        <v>5.5223553497540427E-2</v>
      </c>
      <c r="BB23">
        <f t="shared" si="4"/>
        <v>-0.31963582364471133</v>
      </c>
      <c r="BC23">
        <f t="shared" si="4"/>
        <v>-4.8931001121261926E-2</v>
      </c>
      <c r="BD23">
        <f t="shared" si="4"/>
        <v>-2.4951196602291708E-2</v>
      </c>
      <c r="BE23">
        <f t="shared" si="4"/>
        <v>-0.32610688678374605</v>
      </c>
      <c r="BF23">
        <f t="shared" si="4"/>
        <v>-0.37620762203662478</v>
      </c>
      <c r="BG23">
        <f t="shared" si="4"/>
        <v>-1.7996323452511797E-3</v>
      </c>
      <c r="BH23">
        <f t="shared" si="4"/>
        <v>-6.8378598012024033E-2</v>
      </c>
      <c r="BI23">
        <f t="shared" si="9"/>
        <v>-0.11370007582261443</v>
      </c>
      <c r="BJ23">
        <f t="shared" si="9"/>
        <v>-9.125006823368248E-2</v>
      </c>
      <c r="BK23">
        <f t="shared" si="9"/>
        <v>-1.261925601346601E-2</v>
      </c>
      <c r="BL23">
        <f t="shared" si="9"/>
        <v>2.9688000183402417E-2</v>
      </c>
      <c r="BM23">
        <f t="shared" si="9"/>
        <v>-4.1823285227578291E-3</v>
      </c>
      <c r="BN23">
        <f t="shared" si="9"/>
        <v>1.5802785297661267E-2</v>
      </c>
      <c r="BO23">
        <f t="shared" si="9"/>
        <v>-1.152016620582705E-2</v>
      </c>
      <c r="BP23">
        <f t="shared" si="9"/>
        <v>-7.5114246921905688E-3</v>
      </c>
      <c r="BQ23">
        <f t="shared" si="9"/>
        <v>-2.0012642115705297E-2</v>
      </c>
      <c r="BR23">
        <f t="shared" si="9"/>
        <v>-3.4393150430249127E-3</v>
      </c>
      <c r="BS23">
        <f t="shared" si="9"/>
        <v>6.8141362561558338E-2</v>
      </c>
      <c r="BT23">
        <f t="shared" si="9"/>
        <v>2.7248893794442389E-3</v>
      </c>
      <c r="BU23">
        <f t="shared" si="8"/>
        <v>-1.2749865797936372E-2</v>
      </c>
      <c r="BV23">
        <f t="shared" si="8"/>
        <v>-2.2515955542175631E-2</v>
      </c>
      <c r="BW23">
        <f t="shared" si="8"/>
        <v>-5.5465568756172784E-2</v>
      </c>
      <c r="BX23">
        <f t="shared" si="8"/>
        <v>5.4246337890332241E-3</v>
      </c>
      <c r="BY23">
        <f t="shared" si="8"/>
        <v>-1.7200272488321809E-2</v>
      </c>
      <c r="BZ23">
        <f t="shared" si="8"/>
        <v>-0.21275459816811698</v>
      </c>
      <c r="CA23">
        <f t="shared" si="8"/>
        <v>-0.35509171379638382</v>
      </c>
      <c r="CB23">
        <f t="shared" si="8"/>
        <v>-0.28300405366830289</v>
      </c>
      <c r="CC23">
        <f t="shared" si="8"/>
        <v>-0.21249049702534456</v>
      </c>
      <c r="CD23">
        <f t="shared" si="8"/>
        <v>-0.13846239481611755</v>
      </c>
      <c r="CE23">
        <f t="shared" si="8"/>
        <v>-1.0464943587540819E-2</v>
      </c>
      <c r="CG23">
        <f t="shared" si="5"/>
        <v>1.0000000000000002</v>
      </c>
      <c r="CH23">
        <f t="shared" si="6"/>
        <v>1</v>
      </c>
      <c r="CJ23">
        <f t="shared" si="7"/>
        <v>-0.21170354305557426</v>
      </c>
    </row>
    <row r="24" spans="1:88" x14ac:dyDescent="0.25">
      <c r="A24" t="s">
        <v>25</v>
      </c>
      <c r="B24">
        <v>7.2024347849697769E-4</v>
      </c>
      <c r="C24">
        <v>7.2635355554771935E-2</v>
      </c>
      <c r="D24">
        <v>0.15706495928686995</v>
      </c>
      <c r="E24">
        <v>0.26906591602343555</v>
      </c>
      <c r="F24">
        <v>0.17452288329359189</v>
      </c>
      <c r="G24">
        <v>4.3164388199052446E-2</v>
      </c>
      <c r="H24">
        <v>0.3510762920258988</v>
      </c>
      <c r="I24">
        <v>0.18310243589501052</v>
      </c>
      <c r="J24">
        <v>5.5223553509018287E-2</v>
      </c>
      <c r="K24">
        <v>-0.31963582371114557</v>
      </c>
      <c r="L24">
        <v>-4.8931001131431916E-2</v>
      </c>
      <c r="M24">
        <v>-2.4951196607477653E-2</v>
      </c>
      <c r="N24">
        <v>-0.32610688685152528</v>
      </c>
      <c r="O24">
        <v>-0.37620762211481712</v>
      </c>
      <c r="P24">
        <v>-1.7996323456252216E-3</v>
      </c>
      <c r="Q24">
        <v>-6.8378598026236082E-2</v>
      </c>
      <c r="R24">
        <v>-0.11370007584624625</v>
      </c>
      <c r="S24">
        <v>-9.1250068252648212E-2</v>
      </c>
      <c r="T24">
        <v>-1.2619256016088841E-2</v>
      </c>
      <c r="U24">
        <v>2.9688000189572877E-2</v>
      </c>
      <c r="V24">
        <v>-4.1823285236270991E-3</v>
      </c>
      <c r="W24">
        <v>1.5802785300945775E-2</v>
      </c>
      <c r="X24">
        <v>-1.1520166208221442E-2</v>
      </c>
      <c r="Y24">
        <v>-7.5114246937517696E-3</v>
      </c>
      <c r="Z24">
        <v>-2.0012642119864796E-2</v>
      </c>
      <c r="AA24">
        <v>-3.4393150437397519E-3</v>
      </c>
      <c r="AB24">
        <v>6.8141362575721079E-2</v>
      </c>
      <c r="AC24">
        <v>2.7248893800105897E-3</v>
      </c>
      <c r="AD24">
        <v>-1.274986580058635E-2</v>
      </c>
      <c r="AE24">
        <v>-2.2515955546855426E-2</v>
      </c>
      <c r="AF24">
        <v>-5.5465568767700944E-2</v>
      </c>
      <c r="AG24">
        <v>5.4246337901606989E-3</v>
      </c>
      <c r="AH24">
        <v>-1.7200272491896776E-2</v>
      </c>
      <c r="AI24">
        <v>-0.21275459821233664</v>
      </c>
      <c r="AJ24">
        <v>-0.35509171387018734</v>
      </c>
      <c r="AK24">
        <v>-0.28300405372712345</v>
      </c>
      <c r="AL24">
        <v>-0.21249049706950934</v>
      </c>
      <c r="AM24">
        <v>-0.13846239484489606</v>
      </c>
      <c r="AN24">
        <v>-1.046494358971589E-2</v>
      </c>
      <c r="AP24">
        <f t="shared" si="2"/>
        <v>1.0000000004156873</v>
      </c>
      <c r="AQ24">
        <f t="shared" si="3"/>
        <v>1.0000000002078435</v>
      </c>
      <c r="AS24">
        <f t="shared" si="4"/>
        <v>7.2024347834727972E-4</v>
      </c>
      <c r="AT24">
        <f t="shared" si="4"/>
        <v>7.263535553967515E-2</v>
      </c>
      <c r="AU24">
        <f t="shared" si="4"/>
        <v>0.15706495925422501</v>
      </c>
      <c r="AV24">
        <f t="shared" si="4"/>
        <v>0.26906591596751195</v>
      </c>
      <c r="AW24">
        <f t="shared" si="4"/>
        <v>0.17452288325731843</v>
      </c>
      <c r="AX24">
        <f t="shared" si="4"/>
        <v>4.3164388190081004E-2</v>
      </c>
      <c r="AY24">
        <f t="shared" si="4"/>
        <v>0.35107629195292989</v>
      </c>
      <c r="AZ24">
        <f t="shared" si="4"/>
        <v>0.18310243585695388</v>
      </c>
      <c r="BA24">
        <f t="shared" si="4"/>
        <v>5.5223553497540427E-2</v>
      </c>
      <c r="BB24">
        <f t="shared" ref="BB24:BK51" si="10">K24/$AQ24</f>
        <v>-0.31963582364471133</v>
      </c>
      <c r="BC24">
        <f t="shared" si="10"/>
        <v>-4.8931001121261926E-2</v>
      </c>
      <c r="BD24">
        <f t="shared" si="10"/>
        <v>-2.4951196602291708E-2</v>
      </c>
      <c r="BE24">
        <f t="shared" si="10"/>
        <v>-0.32610688678374605</v>
      </c>
      <c r="BF24">
        <f t="shared" si="10"/>
        <v>-0.37620762203662478</v>
      </c>
      <c r="BG24">
        <f t="shared" si="10"/>
        <v>-1.7996323452511797E-3</v>
      </c>
      <c r="BH24">
        <f t="shared" si="10"/>
        <v>-6.8378598012024033E-2</v>
      </c>
      <c r="BI24">
        <f t="shared" si="9"/>
        <v>-0.11370007582261443</v>
      </c>
      <c r="BJ24">
        <f t="shared" si="9"/>
        <v>-9.125006823368248E-2</v>
      </c>
      <c r="BK24">
        <f t="shared" si="9"/>
        <v>-1.261925601346601E-2</v>
      </c>
      <c r="BL24">
        <f t="shared" si="9"/>
        <v>2.9688000183402417E-2</v>
      </c>
      <c r="BM24">
        <f t="shared" si="9"/>
        <v>-4.1823285227578291E-3</v>
      </c>
      <c r="BN24">
        <f t="shared" si="9"/>
        <v>1.5802785297661267E-2</v>
      </c>
      <c r="BO24">
        <f t="shared" si="9"/>
        <v>-1.152016620582705E-2</v>
      </c>
      <c r="BP24">
        <f t="shared" si="9"/>
        <v>-7.5114246921905688E-3</v>
      </c>
      <c r="BQ24">
        <f t="shared" si="9"/>
        <v>-2.0012642115705297E-2</v>
      </c>
      <c r="BR24">
        <f t="shared" si="9"/>
        <v>-3.4393150430249127E-3</v>
      </c>
      <c r="BS24">
        <f t="shared" si="9"/>
        <v>6.8141362561558338E-2</v>
      </c>
      <c r="BT24">
        <f t="shared" si="9"/>
        <v>2.7248893794442389E-3</v>
      </c>
      <c r="BU24">
        <f t="shared" si="8"/>
        <v>-1.2749865797936372E-2</v>
      </c>
      <c r="BV24">
        <f t="shared" si="8"/>
        <v>-2.2515955542175631E-2</v>
      </c>
      <c r="BW24">
        <f t="shared" si="8"/>
        <v>-5.5465568756172784E-2</v>
      </c>
      <c r="BX24">
        <f t="shared" si="8"/>
        <v>5.4246337890332241E-3</v>
      </c>
      <c r="BY24">
        <f t="shared" si="8"/>
        <v>-1.7200272488321809E-2</v>
      </c>
      <c r="BZ24">
        <f t="shared" si="8"/>
        <v>-0.21275459816811698</v>
      </c>
      <c r="CA24">
        <f t="shared" si="8"/>
        <v>-0.35509171379638382</v>
      </c>
      <c r="CB24">
        <f t="shared" si="8"/>
        <v>-0.28300405366830289</v>
      </c>
      <c r="CC24">
        <f t="shared" si="8"/>
        <v>-0.21249049702534456</v>
      </c>
      <c r="CD24">
        <f t="shared" si="8"/>
        <v>-0.13846239481611755</v>
      </c>
      <c r="CE24">
        <f t="shared" si="8"/>
        <v>-1.0464943587540819E-2</v>
      </c>
      <c r="CG24">
        <f t="shared" si="5"/>
        <v>1.0000000000000002</v>
      </c>
      <c r="CH24">
        <f t="shared" si="6"/>
        <v>1</v>
      </c>
      <c r="CJ24">
        <f t="shared" si="7"/>
        <v>-0.21170354305557426</v>
      </c>
    </row>
    <row r="25" spans="1:88" x14ac:dyDescent="0.25">
      <c r="A25" t="s">
        <v>26</v>
      </c>
      <c r="B25">
        <v>7.2024347849697769E-4</v>
      </c>
      <c r="C25">
        <v>7.2635355554771935E-2</v>
      </c>
      <c r="D25">
        <v>0.15706495928686995</v>
      </c>
      <c r="E25">
        <v>0.26906591602343555</v>
      </c>
      <c r="F25">
        <v>0.17452288329359189</v>
      </c>
      <c r="G25">
        <v>4.3164388199052446E-2</v>
      </c>
      <c r="H25">
        <v>0.3510762920258988</v>
      </c>
      <c r="I25">
        <v>0.18310243589501052</v>
      </c>
      <c r="J25">
        <v>5.5223553509018287E-2</v>
      </c>
      <c r="K25">
        <v>-0.31963582371114557</v>
      </c>
      <c r="L25">
        <v>-4.8931001131431916E-2</v>
      </c>
      <c r="M25">
        <v>-2.4951196607477653E-2</v>
      </c>
      <c r="N25">
        <v>-0.32610688685152528</v>
      </c>
      <c r="O25">
        <v>-0.37620762211481712</v>
      </c>
      <c r="P25">
        <v>-1.7996323456252216E-3</v>
      </c>
      <c r="Q25">
        <v>-6.8378598026236082E-2</v>
      </c>
      <c r="R25">
        <v>-0.11370007584624625</v>
      </c>
      <c r="S25">
        <v>-9.1250068252648212E-2</v>
      </c>
      <c r="T25">
        <v>-1.2619256016088841E-2</v>
      </c>
      <c r="U25">
        <v>2.9688000189572877E-2</v>
      </c>
      <c r="V25">
        <v>-4.1823285236270991E-3</v>
      </c>
      <c r="W25">
        <v>1.5802785300945775E-2</v>
      </c>
      <c r="X25">
        <v>-1.1520166208221442E-2</v>
      </c>
      <c r="Y25">
        <v>-7.5114246937517696E-3</v>
      </c>
      <c r="Z25">
        <v>-2.0012642119864796E-2</v>
      </c>
      <c r="AA25">
        <v>-3.4393150437397519E-3</v>
      </c>
      <c r="AB25">
        <v>6.8141362575721079E-2</v>
      </c>
      <c r="AC25">
        <v>2.7248893800105897E-3</v>
      </c>
      <c r="AD25">
        <v>-1.274986580058635E-2</v>
      </c>
      <c r="AE25">
        <v>-2.2515955546855426E-2</v>
      </c>
      <c r="AF25">
        <v>-5.5465568767700944E-2</v>
      </c>
      <c r="AG25">
        <v>5.4246337901606989E-3</v>
      </c>
      <c r="AH25">
        <v>-1.7200272491896776E-2</v>
      </c>
      <c r="AI25">
        <v>-0.21275459821233664</v>
      </c>
      <c r="AJ25">
        <v>-0.35509171387018734</v>
      </c>
      <c r="AK25">
        <v>-0.28300405372712345</v>
      </c>
      <c r="AL25">
        <v>-0.21249049706950934</v>
      </c>
      <c r="AM25">
        <v>-0.13846239484489606</v>
      </c>
      <c r="AN25">
        <v>-1.046494358971589E-2</v>
      </c>
      <c r="AP25">
        <f t="shared" si="2"/>
        <v>1.0000000004156873</v>
      </c>
      <c r="AQ25">
        <f t="shared" si="3"/>
        <v>1.0000000002078435</v>
      </c>
      <c r="AS25">
        <f t="shared" ref="AS25:BD52" si="11">B25/$AQ25</f>
        <v>7.2024347834727972E-4</v>
      </c>
      <c r="AT25">
        <f t="shared" si="11"/>
        <v>7.263535553967515E-2</v>
      </c>
      <c r="AU25">
        <f t="shared" si="11"/>
        <v>0.15706495925422501</v>
      </c>
      <c r="AV25">
        <f t="shared" si="11"/>
        <v>0.26906591596751195</v>
      </c>
      <c r="AW25">
        <f t="shared" si="11"/>
        <v>0.17452288325731843</v>
      </c>
      <c r="AX25">
        <f t="shared" si="11"/>
        <v>4.3164388190081004E-2</v>
      </c>
      <c r="AY25">
        <f t="shared" si="11"/>
        <v>0.35107629195292989</v>
      </c>
      <c r="AZ25">
        <f t="shared" si="11"/>
        <v>0.18310243585695388</v>
      </c>
      <c r="BA25">
        <f t="shared" si="11"/>
        <v>5.5223553497540427E-2</v>
      </c>
      <c r="BB25">
        <f t="shared" si="10"/>
        <v>-0.31963582364471133</v>
      </c>
      <c r="BC25">
        <f t="shared" si="10"/>
        <v>-4.8931001121261926E-2</v>
      </c>
      <c r="BD25">
        <f t="shared" si="10"/>
        <v>-2.4951196602291708E-2</v>
      </c>
      <c r="BE25">
        <f t="shared" si="10"/>
        <v>-0.32610688678374605</v>
      </c>
      <c r="BF25">
        <f t="shared" si="10"/>
        <v>-0.37620762203662478</v>
      </c>
      <c r="BG25">
        <f t="shared" si="10"/>
        <v>-1.7996323452511797E-3</v>
      </c>
      <c r="BH25">
        <f t="shared" si="10"/>
        <v>-6.8378598012024033E-2</v>
      </c>
      <c r="BI25">
        <f t="shared" si="9"/>
        <v>-0.11370007582261443</v>
      </c>
      <c r="BJ25">
        <f t="shared" si="9"/>
        <v>-9.125006823368248E-2</v>
      </c>
      <c r="BK25">
        <f t="shared" si="9"/>
        <v>-1.261925601346601E-2</v>
      </c>
      <c r="BL25">
        <f t="shared" si="9"/>
        <v>2.9688000183402417E-2</v>
      </c>
      <c r="BM25">
        <f t="shared" si="9"/>
        <v>-4.1823285227578291E-3</v>
      </c>
      <c r="BN25">
        <f t="shared" si="9"/>
        <v>1.5802785297661267E-2</v>
      </c>
      <c r="BO25">
        <f t="shared" si="9"/>
        <v>-1.152016620582705E-2</v>
      </c>
      <c r="BP25">
        <f t="shared" si="9"/>
        <v>-7.5114246921905688E-3</v>
      </c>
      <c r="BQ25">
        <f t="shared" si="9"/>
        <v>-2.0012642115705297E-2</v>
      </c>
      <c r="BR25">
        <f t="shared" si="9"/>
        <v>-3.4393150430249127E-3</v>
      </c>
      <c r="BS25">
        <f t="shared" si="9"/>
        <v>6.8141362561558338E-2</v>
      </c>
      <c r="BT25">
        <f t="shared" si="9"/>
        <v>2.7248893794442389E-3</v>
      </c>
      <c r="BU25">
        <f t="shared" si="8"/>
        <v>-1.2749865797936372E-2</v>
      </c>
      <c r="BV25">
        <f t="shared" si="8"/>
        <v>-2.2515955542175631E-2</v>
      </c>
      <c r="BW25">
        <f t="shared" si="8"/>
        <v>-5.5465568756172784E-2</v>
      </c>
      <c r="BX25">
        <f t="shared" si="8"/>
        <v>5.4246337890332241E-3</v>
      </c>
      <c r="BY25">
        <f t="shared" si="8"/>
        <v>-1.7200272488321809E-2</v>
      </c>
      <c r="BZ25">
        <f t="shared" si="8"/>
        <v>-0.21275459816811698</v>
      </c>
      <c r="CA25">
        <f t="shared" si="8"/>
        <v>-0.35509171379638382</v>
      </c>
      <c r="CB25">
        <f t="shared" si="8"/>
        <v>-0.28300405366830289</v>
      </c>
      <c r="CC25">
        <f t="shared" si="8"/>
        <v>-0.21249049702534456</v>
      </c>
      <c r="CD25">
        <f t="shared" si="8"/>
        <v>-0.13846239481611755</v>
      </c>
      <c r="CE25">
        <f t="shared" si="8"/>
        <v>-1.0464943587540819E-2</v>
      </c>
      <c r="CG25">
        <f t="shared" si="5"/>
        <v>1.0000000000000002</v>
      </c>
      <c r="CH25">
        <f t="shared" si="6"/>
        <v>1</v>
      </c>
      <c r="CJ25">
        <f t="shared" si="7"/>
        <v>-0.21170354305557426</v>
      </c>
    </row>
    <row r="26" spans="1:88" x14ac:dyDescent="0.25">
      <c r="A26" t="s">
        <v>27</v>
      </c>
      <c r="B26">
        <v>7.2024347849697769E-4</v>
      </c>
      <c r="C26">
        <v>7.2635355554771935E-2</v>
      </c>
      <c r="D26">
        <v>0.15706495928686995</v>
      </c>
      <c r="E26">
        <v>0.26906591602343555</v>
      </c>
      <c r="F26">
        <v>0.17452288329359189</v>
      </c>
      <c r="G26">
        <v>4.3164388199052446E-2</v>
      </c>
      <c r="H26">
        <v>0.3510762920258988</v>
      </c>
      <c r="I26">
        <v>0.18310243589501052</v>
      </c>
      <c r="J26">
        <v>5.5223553509018287E-2</v>
      </c>
      <c r="K26">
        <v>-0.31963582371114557</v>
      </c>
      <c r="L26">
        <v>-4.8931001131431916E-2</v>
      </c>
      <c r="M26">
        <v>-2.4951196607477653E-2</v>
      </c>
      <c r="N26">
        <v>-0.32610688685152528</v>
      </c>
      <c r="O26">
        <v>-0.37620762211481712</v>
      </c>
      <c r="P26">
        <v>-1.7996323456252216E-3</v>
      </c>
      <c r="Q26">
        <v>-6.8378598026236082E-2</v>
      </c>
      <c r="R26">
        <v>-0.11370007584624625</v>
      </c>
      <c r="S26">
        <v>-9.1250068252648212E-2</v>
      </c>
      <c r="T26">
        <v>-1.2619256016088841E-2</v>
      </c>
      <c r="U26">
        <v>2.9688000189572877E-2</v>
      </c>
      <c r="V26">
        <v>-4.1823285236270991E-3</v>
      </c>
      <c r="W26">
        <v>1.5802785300945775E-2</v>
      </c>
      <c r="X26">
        <v>-1.1520166208221442E-2</v>
      </c>
      <c r="Y26">
        <v>-7.5114246937517696E-3</v>
      </c>
      <c r="Z26">
        <v>-2.0012642119864796E-2</v>
      </c>
      <c r="AA26">
        <v>-3.4393150437397519E-3</v>
      </c>
      <c r="AB26">
        <v>6.8141362575721079E-2</v>
      </c>
      <c r="AC26">
        <v>2.7248893800105897E-3</v>
      </c>
      <c r="AD26">
        <v>-1.274986580058635E-2</v>
      </c>
      <c r="AE26">
        <v>-2.2515955546855426E-2</v>
      </c>
      <c r="AF26">
        <v>-5.5465568767700944E-2</v>
      </c>
      <c r="AG26">
        <v>5.4246337901606989E-3</v>
      </c>
      <c r="AH26">
        <v>-1.7200272491896776E-2</v>
      </c>
      <c r="AI26">
        <v>-0.21275459821233664</v>
      </c>
      <c r="AJ26">
        <v>-0.35509171387018734</v>
      </c>
      <c r="AK26">
        <v>-0.28300405372712345</v>
      </c>
      <c r="AL26">
        <v>-0.21249049706950934</v>
      </c>
      <c r="AM26">
        <v>-0.13846239484489606</v>
      </c>
      <c r="AN26">
        <v>-1.046494358971589E-2</v>
      </c>
      <c r="AP26">
        <f t="shared" si="2"/>
        <v>1.0000000004156873</v>
      </c>
      <c r="AQ26">
        <f t="shared" si="3"/>
        <v>1.0000000002078435</v>
      </c>
      <c r="AS26">
        <f t="shared" si="11"/>
        <v>7.2024347834727972E-4</v>
      </c>
      <c r="AT26">
        <f t="shared" si="11"/>
        <v>7.263535553967515E-2</v>
      </c>
      <c r="AU26">
        <f t="shared" si="11"/>
        <v>0.15706495925422501</v>
      </c>
      <c r="AV26">
        <f t="shared" si="11"/>
        <v>0.26906591596751195</v>
      </c>
      <c r="AW26">
        <f t="shared" si="11"/>
        <v>0.17452288325731843</v>
      </c>
      <c r="AX26">
        <f t="shared" si="11"/>
        <v>4.3164388190081004E-2</v>
      </c>
      <c r="AY26">
        <f t="shared" si="11"/>
        <v>0.35107629195292989</v>
      </c>
      <c r="AZ26">
        <f t="shared" si="11"/>
        <v>0.18310243585695388</v>
      </c>
      <c r="BA26">
        <f t="shared" si="11"/>
        <v>5.5223553497540427E-2</v>
      </c>
      <c r="BB26">
        <f t="shared" si="10"/>
        <v>-0.31963582364471133</v>
      </c>
      <c r="BC26">
        <f t="shared" si="10"/>
        <v>-4.8931001121261926E-2</v>
      </c>
      <c r="BD26">
        <f t="shared" si="10"/>
        <v>-2.4951196602291708E-2</v>
      </c>
      <c r="BE26">
        <f t="shared" si="10"/>
        <v>-0.32610688678374605</v>
      </c>
      <c r="BF26">
        <f t="shared" si="10"/>
        <v>-0.37620762203662478</v>
      </c>
      <c r="BG26">
        <f t="shared" si="10"/>
        <v>-1.7996323452511797E-3</v>
      </c>
      <c r="BH26">
        <f t="shared" si="10"/>
        <v>-6.8378598012024033E-2</v>
      </c>
      <c r="BI26">
        <f t="shared" si="9"/>
        <v>-0.11370007582261443</v>
      </c>
      <c r="BJ26">
        <f t="shared" si="9"/>
        <v>-9.125006823368248E-2</v>
      </c>
      <c r="BK26">
        <f t="shared" si="9"/>
        <v>-1.261925601346601E-2</v>
      </c>
      <c r="BL26">
        <f t="shared" si="9"/>
        <v>2.9688000183402417E-2</v>
      </c>
      <c r="BM26">
        <f t="shared" si="9"/>
        <v>-4.1823285227578291E-3</v>
      </c>
      <c r="BN26">
        <f t="shared" si="9"/>
        <v>1.5802785297661267E-2</v>
      </c>
      <c r="BO26">
        <f t="shared" si="9"/>
        <v>-1.152016620582705E-2</v>
      </c>
      <c r="BP26">
        <f t="shared" si="9"/>
        <v>-7.5114246921905688E-3</v>
      </c>
      <c r="BQ26">
        <f t="shared" si="9"/>
        <v>-2.0012642115705297E-2</v>
      </c>
      <c r="BR26">
        <f t="shared" si="9"/>
        <v>-3.4393150430249127E-3</v>
      </c>
      <c r="BS26">
        <f t="shared" si="9"/>
        <v>6.8141362561558338E-2</v>
      </c>
      <c r="BT26">
        <f t="shared" si="9"/>
        <v>2.7248893794442389E-3</v>
      </c>
      <c r="BU26">
        <f t="shared" si="8"/>
        <v>-1.2749865797936372E-2</v>
      </c>
      <c r="BV26">
        <f t="shared" si="8"/>
        <v>-2.2515955542175631E-2</v>
      </c>
      <c r="BW26">
        <f t="shared" si="8"/>
        <v>-5.5465568756172784E-2</v>
      </c>
      <c r="BX26">
        <f t="shared" si="8"/>
        <v>5.4246337890332241E-3</v>
      </c>
      <c r="BY26">
        <f t="shared" si="8"/>
        <v>-1.7200272488321809E-2</v>
      </c>
      <c r="BZ26">
        <f t="shared" si="8"/>
        <v>-0.21275459816811698</v>
      </c>
      <c r="CA26">
        <f t="shared" si="8"/>
        <v>-0.35509171379638382</v>
      </c>
      <c r="CB26">
        <f t="shared" si="8"/>
        <v>-0.28300405366830289</v>
      </c>
      <c r="CC26">
        <f t="shared" si="8"/>
        <v>-0.21249049702534456</v>
      </c>
      <c r="CD26">
        <f t="shared" si="8"/>
        <v>-0.13846239481611755</v>
      </c>
      <c r="CE26">
        <f t="shared" si="8"/>
        <v>-1.0464943587540819E-2</v>
      </c>
      <c r="CG26">
        <f t="shared" si="5"/>
        <v>1.0000000000000002</v>
      </c>
      <c r="CH26">
        <f t="shared" si="6"/>
        <v>1</v>
      </c>
      <c r="CJ26">
        <f t="shared" si="7"/>
        <v>-0.21170354305557426</v>
      </c>
    </row>
    <row r="27" spans="1:88" x14ac:dyDescent="0.25">
      <c r="A27" t="s">
        <v>28</v>
      </c>
      <c r="B27">
        <v>7.2024347849697769E-4</v>
      </c>
      <c r="C27">
        <v>7.2635355554771935E-2</v>
      </c>
      <c r="D27">
        <v>0.15706495928686995</v>
      </c>
      <c r="E27">
        <v>0.26906591602343555</v>
      </c>
      <c r="F27">
        <v>0.17452288329359189</v>
      </c>
      <c r="G27">
        <v>4.3164388199052446E-2</v>
      </c>
      <c r="H27">
        <v>0.3510762920258988</v>
      </c>
      <c r="I27">
        <v>0.18310243589501052</v>
      </c>
      <c r="J27">
        <v>5.5223553509018287E-2</v>
      </c>
      <c r="K27">
        <v>-0.31963582371114557</v>
      </c>
      <c r="L27">
        <v>-4.8931001131431916E-2</v>
      </c>
      <c r="M27">
        <v>-2.4951196607477653E-2</v>
      </c>
      <c r="N27">
        <v>-0.32610688685152528</v>
      </c>
      <c r="O27">
        <v>-0.37620762211481712</v>
      </c>
      <c r="P27">
        <v>-1.7996323456252216E-3</v>
      </c>
      <c r="Q27">
        <v>-6.8378598026236082E-2</v>
      </c>
      <c r="R27">
        <v>-0.11370007584624625</v>
      </c>
      <c r="S27">
        <v>-9.1250068252648212E-2</v>
      </c>
      <c r="T27">
        <v>-1.2619256016088841E-2</v>
      </c>
      <c r="U27">
        <v>2.9688000189572877E-2</v>
      </c>
      <c r="V27">
        <v>-4.1823285236270991E-3</v>
      </c>
      <c r="W27">
        <v>1.5802785300945775E-2</v>
      </c>
      <c r="X27">
        <v>-1.1520166208221442E-2</v>
      </c>
      <c r="Y27">
        <v>-7.5114246937517696E-3</v>
      </c>
      <c r="Z27">
        <v>-2.0012642119864796E-2</v>
      </c>
      <c r="AA27">
        <v>-3.4393150437397519E-3</v>
      </c>
      <c r="AB27">
        <v>6.8141362575721079E-2</v>
      </c>
      <c r="AC27">
        <v>2.7248893800105897E-3</v>
      </c>
      <c r="AD27">
        <v>-1.274986580058635E-2</v>
      </c>
      <c r="AE27">
        <v>-2.2515955546855426E-2</v>
      </c>
      <c r="AF27">
        <v>-5.5465568767700944E-2</v>
      </c>
      <c r="AG27">
        <v>5.4246337901606989E-3</v>
      </c>
      <c r="AH27">
        <v>-1.7200272491896776E-2</v>
      </c>
      <c r="AI27">
        <v>-0.21275459821233664</v>
      </c>
      <c r="AJ27">
        <v>-0.35509171387018734</v>
      </c>
      <c r="AK27">
        <v>-0.28300405372712345</v>
      </c>
      <c r="AL27">
        <v>-0.21249049706950934</v>
      </c>
      <c r="AM27">
        <v>-0.13846239484489606</v>
      </c>
      <c r="AN27">
        <v>-1.046494358971589E-2</v>
      </c>
      <c r="AP27">
        <f t="shared" si="2"/>
        <v>1.0000000004156873</v>
      </c>
      <c r="AQ27">
        <f t="shared" si="3"/>
        <v>1.0000000002078435</v>
      </c>
      <c r="AS27">
        <f t="shared" si="11"/>
        <v>7.2024347834727972E-4</v>
      </c>
      <c r="AT27">
        <f t="shared" si="11"/>
        <v>7.263535553967515E-2</v>
      </c>
      <c r="AU27">
        <f t="shared" si="11"/>
        <v>0.15706495925422501</v>
      </c>
      <c r="AV27">
        <f t="shared" si="11"/>
        <v>0.26906591596751195</v>
      </c>
      <c r="AW27">
        <f t="shared" si="11"/>
        <v>0.17452288325731843</v>
      </c>
      <c r="AX27">
        <f t="shared" si="11"/>
        <v>4.3164388190081004E-2</v>
      </c>
      <c r="AY27">
        <f t="shared" si="11"/>
        <v>0.35107629195292989</v>
      </c>
      <c r="AZ27">
        <f t="shared" si="11"/>
        <v>0.18310243585695388</v>
      </c>
      <c r="BA27">
        <f t="shared" si="11"/>
        <v>5.5223553497540427E-2</v>
      </c>
      <c r="BB27">
        <f t="shared" si="10"/>
        <v>-0.31963582364471133</v>
      </c>
      <c r="BC27">
        <f t="shared" si="10"/>
        <v>-4.8931001121261926E-2</v>
      </c>
      <c r="BD27">
        <f t="shared" si="10"/>
        <v>-2.4951196602291708E-2</v>
      </c>
      <c r="BE27">
        <f t="shared" si="10"/>
        <v>-0.32610688678374605</v>
      </c>
      <c r="BF27">
        <f t="shared" si="10"/>
        <v>-0.37620762203662478</v>
      </c>
      <c r="BG27">
        <f t="shared" si="10"/>
        <v>-1.7996323452511797E-3</v>
      </c>
      <c r="BH27">
        <f t="shared" si="10"/>
        <v>-6.8378598012024033E-2</v>
      </c>
      <c r="BI27">
        <f t="shared" si="9"/>
        <v>-0.11370007582261443</v>
      </c>
      <c r="BJ27">
        <f t="shared" si="9"/>
        <v>-9.125006823368248E-2</v>
      </c>
      <c r="BK27">
        <f t="shared" si="9"/>
        <v>-1.261925601346601E-2</v>
      </c>
      <c r="BL27">
        <f t="shared" si="9"/>
        <v>2.9688000183402417E-2</v>
      </c>
      <c r="BM27">
        <f t="shared" si="9"/>
        <v>-4.1823285227578291E-3</v>
      </c>
      <c r="BN27">
        <f t="shared" si="9"/>
        <v>1.5802785297661267E-2</v>
      </c>
      <c r="BO27">
        <f t="shared" si="9"/>
        <v>-1.152016620582705E-2</v>
      </c>
      <c r="BP27">
        <f t="shared" si="9"/>
        <v>-7.5114246921905688E-3</v>
      </c>
      <c r="BQ27">
        <f t="shared" si="9"/>
        <v>-2.0012642115705297E-2</v>
      </c>
      <c r="BR27">
        <f t="shared" si="9"/>
        <v>-3.4393150430249127E-3</v>
      </c>
      <c r="BS27">
        <f t="shared" si="9"/>
        <v>6.8141362561558338E-2</v>
      </c>
      <c r="BT27">
        <f t="shared" si="9"/>
        <v>2.7248893794442389E-3</v>
      </c>
      <c r="BU27">
        <f t="shared" si="8"/>
        <v>-1.2749865797936372E-2</v>
      </c>
      <c r="BV27">
        <f t="shared" si="8"/>
        <v>-2.2515955542175631E-2</v>
      </c>
      <c r="BW27">
        <f t="shared" si="8"/>
        <v>-5.5465568756172784E-2</v>
      </c>
      <c r="BX27">
        <f t="shared" si="8"/>
        <v>5.4246337890332241E-3</v>
      </c>
      <c r="BY27">
        <f t="shared" si="8"/>
        <v>-1.7200272488321809E-2</v>
      </c>
      <c r="BZ27">
        <f t="shared" si="8"/>
        <v>-0.21275459816811698</v>
      </c>
      <c r="CA27">
        <f t="shared" si="8"/>
        <v>-0.35509171379638382</v>
      </c>
      <c r="CB27">
        <f t="shared" si="8"/>
        <v>-0.28300405366830289</v>
      </c>
      <c r="CC27">
        <f t="shared" si="8"/>
        <v>-0.21249049702534456</v>
      </c>
      <c r="CD27">
        <f t="shared" si="8"/>
        <v>-0.13846239481611755</v>
      </c>
      <c r="CE27">
        <f t="shared" si="8"/>
        <v>-1.0464943587540819E-2</v>
      </c>
      <c r="CG27">
        <f t="shared" si="5"/>
        <v>1.0000000000000002</v>
      </c>
      <c r="CH27">
        <f t="shared" si="6"/>
        <v>1</v>
      </c>
      <c r="CJ27">
        <f t="shared" si="7"/>
        <v>-0.21170354305557426</v>
      </c>
    </row>
    <row r="28" spans="1:88" x14ac:dyDescent="0.25">
      <c r="A28" t="s">
        <v>29</v>
      </c>
      <c r="B28">
        <v>7.2024347849697769E-4</v>
      </c>
      <c r="C28">
        <v>7.2635355554771935E-2</v>
      </c>
      <c r="D28">
        <v>0.15706495928686995</v>
      </c>
      <c r="E28">
        <v>0.26906591602343555</v>
      </c>
      <c r="F28">
        <v>0.17452288329359189</v>
      </c>
      <c r="G28">
        <v>4.3164388199052446E-2</v>
      </c>
      <c r="H28">
        <v>0.3510762920258988</v>
      </c>
      <c r="I28">
        <v>0.18310243589501052</v>
      </c>
      <c r="J28">
        <v>5.5223553509018287E-2</v>
      </c>
      <c r="K28">
        <v>-0.31963582371114557</v>
      </c>
      <c r="L28">
        <v>-4.8931001131431916E-2</v>
      </c>
      <c r="M28">
        <v>-2.4951196607477653E-2</v>
      </c>
      <c r="N28">
        <v>-0.32610688685152528</v>
      </c>
      <c r="O28">
        <v>-0.37620762211481712</v>
      </c>
      <c r="P28">
        <v>-1.7996323456252216E-3</v>
      </c>
      <c r="Q28">
        <v>-6.8378598026236082E-2</v>
      </c>
      <c r="R28">
        <v>-0.11370007584624625</v>
      </c>
      <c r="S28">
        <v>-9.1250068252648212E-2</v>
      </c>
      <c r="T28">
        <v>-1.2619256016088841E-2</v>
      </c>
      <c r="U28">
        <v>2.9688000189572877E-2</v>
      </c>
      <c r="V28">
        <v>-4.1823285236270991E-3</v>
      </c>
      <c r="W28">
        <v>1.5802785300945775E-2</v>
      </c>
      <c r="X28">
        <v>-1.1520166208221442E-2</v>
      </c>
      <c r="Y28">
        <v>-7.5114246937517696E-3</v>
      </c>
      <c r="Z28">
        <v>-2.0012642119864796E-2</v>
      </c>
      <c r="AA28">
        <v>-3.4393150437397519E-3</v>
      </c>
      <c r="AB28">
        <v>6.8141362575721079E-2</v>
      </c>
      <c r="AC28">
        <v>2.7248893800105897E-3</v>
      </c>
      <c r="AD28">
        <v>-1.274986580058635E-2</v>
      </c>
      <c r="AE28">
        <v>-2.2515955546855426E-2</v>
      </c>
      <c r="AF28">
        <v>-5.5465568767700944E-2</v>
      </c>
      <c r="AG28">
        <v>5.4246337901606989E-3</v>
      </c>
      <c r="AH28">
        <v>-1.7200272491896776E-2</v>
      </c>
      <c r="AI28">
        <v>-0.21275459821233664</v>
      </c>
      <c r="AJ28">
        <v>-0.35509171387018734</v>
      </c>
      <c r="AK28">
        <v>-0.28300405372712345</v>
      </c>
      <c r="AL28">
        <v>-0.21249049706950934</v>
      </c>
      <c r="AM28">
        <v>-0.13846239484489606</v>
      </c>
      <c r="AN28">
        <v>-1.046494358971589E-2</v>
      </c>
      <c r="AP28">
        <f t="shared" si="2"/>
        <v>1.0000000004156873</v>
      </c>
      <c r="AQ28">
        <f t="shared" si="3"/>
        <v>1.0000000002078435</v>
      </c>
      <c r="AS28">
        <f t="shared" si="11"/>
        <v>7.2024347834727972E-4</v>
      </c>
      <c r="AT28">
        <f t="shared" si="11"/>
        <v>7.263535553967515E-2</v>
      </c>
      <c r="AU28">
        <f t="shared" si="11"/>
        <v>0.15706495925422501</v>
      </c>
      <c r="AV28">
        <f t="shared" si="11"/>
        <v>0.26906591596751195</v>
      </c>
      <c r="AW28">
        <f t="shared" si="11"/>
        <v>0.17452288325731843</v>
      </c>
      <c r="AX28">
        <f t="shared" si="11"/>
        <v>4.3164388190081004E-2</v>
      </c>
      <c r="AY28">
        <f t="shared" si="11"/>
        <v>0.35107629195292989</v>
      </c>
      <c r="AZ28">
        <f t="shared" si="11"/>
        <v>0.18310243585695388</v>
      </c>
      <c r="BA28">
        <f t="shared" si="11"/>
        <v>5.5223553497540427E-2</v>
      </c>
      <c r="BB28">
        <f t="shared" si="10"/>
        <v>-0.31963582364471133</v>
      </c>
      <c r="BC28">
        <f t="shared" si="10"/>
        <v>-4.8931001121261926E-2</v>
      </c>
      <c r="BD28">
        <f t="shared" si="10"/>
        <v>-2.4951196602291708E-2</v>
      </c>
      <c r="BE28">
        <f t="shared" si="10"/>
        <v>-0.32610688678374605</v>
      </c>
      <c r="BF28">
        <f t="shared" si="10"/>
        <v>-0.37620762203662478</v>
      </c>
      <c r="BG28">
        <f t="shared" si="10"/>
        <v>-1.7996323452511797E-3</v>
      </c>
      <c r="BH28">
        <f t="shared" si="10"/>
        <v>-6.8378598012024033E-2</v>
      </c>
      <c r="BI28">
        <f t="shared" si="9"/>
        <v>-0.11370007582261443</v>
      </c>
      <c r="BJ28">
        <f t="shared" si="9"/>
        <v>-9.125006823368248E-2</v>
      </c>
      <c r="BK28">
        <f t="shared" si="9"/>
        <v>-1.261925601346601E-2</v>
      </c>
      <c r="BL28">
        <f t="shared" si="9"/>
        <v>2.9688000183402417E-2</v>
      </c>
      <c r="BM28">
        <f t="shared" si="9"/>
        <v>-4.1823285227578291E-3</v>
      </c>
      <c r="BN28">
        <f t="shared" si="9"/>
        <v>1.5802785297661267E-2</v>
      </c>
      <c r="BO28">
        <f t="shared" si="9"/>
        <v>-1.152016620582705E-2</v>
      </c>
      <c r="BP28">
        <f t="shared" si="9"/>
        <v>-7.5114246921905688E-3</v>
      </c>
      <c r="BQ28">
        <f t="shared" si="9"/>
        <v>-2.0012642115705297E-2</v>
      </c>
      <c r="BR28">
        <f t="shared" si="9"/>
        <v>-3.4393150430249127E-3</v>
      </c>
      <c r="BS28">
        <f t="shared" si="9"/>
        <v>6.8141362561558338E-2</v>
      </c>
      <c r="BT28">
        <f t="shared" si="9"/>
        <v>2.7248893794442389E-3</v>
      </c>
      <c r="BU28">
        <f t="shared" si="8"/>
        <v>-1.2749865797936372E-2</v>
      </c>
      <c r="BV28">
        <f t="shared" si="8"/>
        <v>-2.2515955542175631E-2</v>
      </c>
      <c r="BW28">
        <f t="shared" si="8"/>
        <v>-5.5465568756172784E-2</v>
      </c>
      <c r="BX28">
        <f t="shared" si="8"/>
        <v>5.4246337890332241E-3</v>
      </c>
      <c r="BY28">
        <f t="shared" si="8"/>
        <v>-1.7200272488321809E-2</v>
      </c>
      <c r="BZ28">
        <f t="shared" si="8"/>
        <v>-0.21275459816811698</v>
      </c>
      <c r="CA28">
        <f t="shared" si="8"/>
        <v>-0.35509171379638382</v>
      </c>
      <c r="CB28">
        <f t="shared" si="8"/>
        <v>-0.28300405366830289</v>
      </c>
      <c r="CC28">
        <f t="shared" si="8"/>
        <v>-0.21249049702534456</v>
      </c>
      <c r="CD28">
        <f t="shared" si="8"/>
        <v>-0.13846239481611755</v>
      </c>
      <c r="CE28">
        <f t="shared" si="8"/>
        <v>-1.0464943587540819E-2</v>
      </c>
      <c r="CG28">
        <f t="shared" si="5"/>
        <v>1.0000000000000002</v>
      </c>
      <c r="CH28">
        <f t="shared" si="6"/>
        <v>1</v>
      </c>
      <c r="CJ28">
        <f t="shared" si="7"/>
        <v>-0.21170354305557426</v>
      </c>
    </row>
    <row r="29" spans="1:88" x14ac:dyDescent="0.25">
      <c r="A29" t="s">
        <v>30</v>
      </c>
      <c r="B29">
        <v>7.2024347849697769E-4</v>
      </c>
      <c r="C29">
        <v>7.2635355554771935E-2</v>
      </c>
      <c r="D29">
        <v>0.15706495928686995</v>
      </c>
      <c r="E29">
        <v>0.26906591602343555</v>
      </c>
      <c r="F29">
        <v>0.17452288329359189</v>
      </c>
      <c r="G29">
        <v>4.3164388199052446E-2</v>
      </c>
      <c r="H29">
        <v>0.3510762920258988</v>
      </c>
      <c r="I29">
        <v>0.18310243589501052</v>
      </c>
      <c r="J29">
        <v>5.5223553509018287E-2</v>
      </c>
      <c r="K29">
        <v>-0.31963582371114557</v>
      </c>
      <c r="L29">
        <v>-4.8931001131431916E-2</v>
      </c>
      <c r="M29">
        <v>-2.4951196607477653E-2</v>
      </c>
      <c r="N29">
        <v>-0.32610688685152528</v>
      </c>
      <c r="O29">
        <v>-0.37620762211481712</v>
      </c>
      <c r="P29">
        <v>-1.7996323456252216E-3</v>
      </c>
      <c r="Q29">
        <v>-6.8378598026236082E-2</v>
      </c>
      <c r="R29">
        <v>-0.11370007584624625</v>
      </c>
      <c r="S29">
        <v>-9.1250068252648212E-2</v>
      </c>
      <c r="T29">
        <v>-1.2619256016088841E-2</v>
      </c>
      <c r="U29">
        <v>2.9688000189572877E-2</v>
      </c>
      <c r="V29">
        <v>-4.1823285236270991E-3</v>
      </c>
      <c r="W29">
        <v>1.5802785300945775E-2</v>
      </c>
      <c r="X29">
        <v>-1.1520166208221442E-2</v>
      </c>
      <c r="Y29">
        <v>-7.5114246937517696E-3</v>
      </c>
      <c r="Z29">
        <v>-2.0012642119864796E-2</v>
      </c>
      <c r="AA29">
        <v>-3.4393150437397519E-3</v>
      </c>
      <c r="AB29">
        <v>6.8141362575721079E-2</v>
      </c>
      <c r="AC29">
        <v>2.7248893800105897E-3</v>
      </c>
      <c r="AD29">
        <v>-1.274986580058635E-2</v>
      </c>
      <c r="AE29">
        <v>-2.2515955546855426E-2</v>
      </c>
      <c r="AF29">
        <v>-5.5465568767700944E-2</v>
      </c>
      <c r="AG29">
        <v>5.4246337901606989E-3</v>
      </c>
      <c r="AH29">
        <v>-1.7200272491896776E-2</v>
      </c>
      <c r="AI29">
        <v>-0.21275459821233664</v>
      </c>
      <c r="AJ29">
        <v>-0.35509171387018734</v>
      </c>
      <c r="AK29">
        <v>-0.28300405372712345</v>
      </c>
      <c r="AL29">
        <v>-0.21249049706950934</v>
      </c>
      <c r="AM29">
        <v>-0.13846239484489606</v>
      </c>
      <c r="AN29">
        <v>-1.046494358971589E-2</v>
      </c>
      <c r="AP29">
        <f t="shared" si="2"/>
        <v>1.0000000004156873</v>
      </c>
      <c r="AQ29">
        <f t="shared" si="3"/>
        <v>1.0000000002078435</v>
      </c>
      <c r="AS29">
        <f t="shared" si="11"/>
        <v>7.2024347834727972E-4</v>
      </c>
      <c r="AT29">
        <f t="shared" si="11"/>
        <v>7.263535553967515E-2</v>
      </c>
      <c r="AU29">
        <f t="shared" si="11"/>
        <v>0.15706495925422501</v>
      </c>
      <c r="AV29">
        <f t="shared" si="11"/>
        <v>0.26906591596751195</v>
      </c>
      <c r="AW29">
        <f t="shared" si="11"/>
        <v>0.17452288325731843</v>
      </c>
      <c r="AX29">
        <f t="shared" si="11"/>
        <v>4.3164388190081004E-2</v>
      </c>
      <c r="AY29">
        <f t="shared" si="11"/>
        <v>0.35107629195292989</v>
      </c>
      <c r="AZ29">
        <f t="shared" si="11"/>
        <v>0.18310243585695388</v>
      </c>
      <c r="BA29">
        <f t="shared" si="11"/>
        <v>5.5223553497540427E-2</v>
      </c>
      <c r="BB29">
        <f t="shared" si="10"/>
        <v>-0.31963582364471133</v>
      </c>
      <c r="BC29">
        <f t="shared" si="10"/>
        <v>-4.8931001121261926E-2</v>
      </c>
      <c r="BD29">
        <f t="shared" si="10"/>
        <v>-2.4951196602291708E-2</v>
      </c>
      <c r="BE29">
        <f t="shared" si="10"/>
        <v>-0.32610688678374605</v>
      </c>
      <c r="BF29">
        <f t="shared" si="10"/>
        <v>-0.37620762203662478</v>
      </c>
      <c r="BG29">
        <f t="shared" si="10"/>
        <v>-1.7996323452511797E-3</v>
      </c>
      <c r="BH29">
        <f t="shared" si="10"/>
        <v>-6.8378598012024033E-2</v>
      </c>
      <c r="BI29">
        <f t="shared" si="9"/>
        <v>-0.11370007582261443</v>
      </c>
      <c r="BJ29">
        <f t="shared" si="9"/>
        <v>-9.125006823368248E-2</v>
      </c>
      <c r="BK29">
        <f t="shared" si="9"/>
        <v>-1.261925601346601E-2</v>
      </c>
      <c r="BL29">
        <f t="shared" si="9"/>
        <v>2.9688000183402417E-2</v>
      </c>
      <c r="BM29">
        <f t="shared" si="9"/>
        <v>-4.1823285227578291E-3</v>
      </c>
      <c r="BN29">
        <f t="shared" si="9"/>
        <v>1.5802785297661267E-2</v>
      </c>
      <c r="BO29">
        <f t="shared" si="9"/>
        <v>-1.152016620582705E-2</v>
      </c>
      <c r="BP29">
        <f t="shared" si="9"/>
        <v>-7.5114246921905688E-3</v>
      </c>
      <c r="BQ29">
        <f t="shared" si="9"/>
        <v>-2.0012642115705297E-2</v>
      </c>
      <c r="BR29">
        <f t="shared" si="9"/>
        <v>-3.4393150430249127E-3</v>
      </c>
      <c r="BS29">
        <f t="shared" si="9"/>
        <v>6.8141362561558338E-2</v>
      </c>
      <c r="BT29">
        <f t="shared" si="9"/>
        <v>2.7248893794442389E-3</v>
      </c>
      <c r="BU29">
        <f t="shared" si="8"/>
        <v>-1.2749865797936372E-2</v>
      </c>
      <c r="BV29">
        <f t="shared" si="8"/>
        <v>-2.2515955542175631E-2</v>
      </c>
      <c r="BW29">
        <f t="shared" si="8"/>
        <v>-5.5465568756172784E-2</v>
      </c>
      <c r="BX29">
        <f t="shared" si="8"/>
        <v>5.4246337890332241E-3</v>
      </c>
      <c r="BY29">
        <f t="shared" si="8"/>
        <v>-1.7200272488321809E-2</v>
      </c>
      <c r="BZ29">
        <f t="shared" si="8"/>
        <v>-0.21275459816811698</v>
      </c>
      <c r="CA29">
        <f t="shared" si="8"/>
        <v>-0.35509171379638382</v>
      </c>
      <c r="CB29">
        <f t="shared" si="8"/>
        <v>-0.28300405366830289</v>
      </c>
      <c r="CC29">
        <f t="shared" si="8"/>
        <v>-0.21249049702534456</v>
      </c>
      <c r="CD29">
        <f t="shared" si="8"/>
        <v>-0.13846239481611755</v>
      </c>
      <c r="CE29">
        <f t="shared" si="8"/>
        <v>-1.0464943587540819E-2</v>
      </c>
      <c r="CG29">
        <f t="shared" si="5"/>
        <v>1.0000000000000002</v>
      </c>
      <c r="CH29">
        <f t="shared" si="6"/>
        <v>1</v>
      </c>
      <c r="CJ29">
        <f t="shared" si="7"/>
        <v>-0.21170354305557426</v>
      </c>
    </row>
    <row r="30" spans="1:88" x14ac:dyDescent="0.25">
      <c r="A30" t="s">
        <v>31</v>
      </c>
      <c r="B30">
        <v>7.2024347849697769E-4</v>
      </c>
      <c r="C30">
        <v>7.2635355554771935E-2</v>
      </c>
      <c r="D30">
        <v>0.15706495928686995</v>
      </c>
      <c r="E30">
        <v>0.26906591602343555</v>
      </c>
      <c r="F30">
        <v>0.17452288329359189</v>
      </c>
      <c r="G30">
        <v>4.3164388199052446E-2</v>
      </c>
      <c r="H30">
        <v>0.3510762920258988</v>
      </c>
      <c r="I30">
        <v>0.18310243589501052</v>
      </c>
      <c r="J30">
        <v>5.5223553509018287E-2</v>
      </c>
      <c r="K30">
        <v>-0.31963582371114557</v>
      </c>
      <c r="L30">
        <v>-4.8931001131431916E-2</v>
      </c>
      <c r="M30">
        <v>-2.4951196607477653E-2</v>
      </c>
      <c r="N30">
        <v>-0.32610688685152528</v>
      </c>
      <c r="O30">
        <v>-0.37620762211481712</v>
      </c>
      <c r="P30">
        <v>-1.7996323456252216E-3</v>
      </c>
      <c r="Q30">
        <v>-6.8378598026236082E-2</v>
      </c>
      <c r="R30">
        <v>-0.11370007584624625</v>
      </c>
      <c r="S30">
        <v>-9.1250068252648212E-2</v>
      </c>
      <c r="T30">
        <v>-1.2619256016088841E-2</v>
      </c>
      <c r="U30">
        <v>2.9688000189572877E-2</v>
      </c>
      <c r="V30">
        <v>-4.1823285236270991E-3</v>
      </c>
      <c r="W30">
        <v>1.5802785300945775E-2</v>
      </c>
      <c r="X30">
        <v>-1.1520166208221442E-2</v>
      </c>
      <c r="Y30">
        <v>-7.5114246937517696E-3</v>
      </c>
      <c r="Z30">
        <v>-2.0012642119864796E-2</v>
      </c>
      <c r="AA30">
        <v>-3.4393150437397519E-3</v>
      </c>
      <c r="AB30">
        <v>6.8141362575721079E-2</v>
      </c>
      <c r="AC30">
        <v>2.7248893800105897E-3</v>
      </c>
      <c r="AD30">
        <v>-1.274986580058635E-2</v>
      </c>
      <c r="AE30">
        <v>-2.2515955546855426E-2</v>
      </c>
      <c r="AF30">
        <v>-5.5465568767700944E-2</v>
      </c>
      <c r="AG30">
        <v>5.4246337901606989E-3</v>
      </c>
      <c r="AH30">
        <v>-1.7200272491896776E-2</v>
      </c>
      <c r="AI30">
        <v>-0.21275459821233664</v>
      </c>
      <c r="AJ30">
        <v>-0.35509171387018734</v>
      </c>
      <c r="AK30">
        <v>-0.28300405372712345</v>
      </c>
      <c r="AL30">
        <v>-0.21249049706950934</v>
      </c>
      <c r="AM30">
        <v>-0.13846239484489606</v>
      </c>
      <c r="AN30">
        <v>-1.046494358971589E-2</v>
      </c>
      <c r="AP30">
        <f t="shared" si="2"/>
        <v>1.0000000004156873</v>
      </c>
      <c r="AQ30">
        <f t="shared" si="3"/>
        <v>1.0000000002078435</v>
      </c>
      <c r="AS30">
        <f t="shared" si="11"/>
        <v>7.2024347834727972E-4</v>
      </c>
      <c r="AT30">
        <f t="shared" si="11"/>
        <v>7.263535553967515E-2</v>
      </c>
      <c r="AU30">
        <f t="shared" si="11"/>
        <v>0.15706495925422501</v>
      </c>
      <c r="AV30">
        <f t="shared" si="11"/>
        <v>0.26906591596751195</v>
      </c>
      <c r="AW30">
        <f t="shared" si="11"/>
        <v>0.17452288325731843</v>
      </c>
      <c r="AX30">
        <f t="shared" si="11"/>
        <v>4.3164388190081004E-2</v>
      </c>
      <c r="AY30">
        <f t="shared" si="11"/>
        <v>0.35107629195292989</v>
      </c>
      <c r="AZ30">
        <f t="shared" si="11"/>
        <v>0.18310243585695388</v>
      </c>
      <c r="BA30">
        <f t="shared" si="11"/>
        <v>5.5223553497540427E-2</v>
      </c>
      <c r="BB30">
        <f t="shared" si="10"/>
        <v>-0.31963582364471133</v>
      </c>
      <c r="BC30">
        <f t="shared" si="10"/>
        <v>-4.8931001121261926E-2</v>
      </c>
      <c r="BD30">
        <f t="shared" si="10"/>
        <v>-2.4951196602291708E-2</v>
      </c>
      <c r="BE30">
        <f t="shared" si="10"/>
        <v>-0.32610688678374605</v>
      </c>
      <c r="BF30">
        <f t="shared" si="10"/>
        <v>-0.37620762203662478</v>
      </c>
      <c r="BG30">
        <f t="shared" si="10"/>
        <v>-1.7996323452511797E-3</v>
      </c>
      <c r="BH30">
        <f t="shared" si="10"/>
        <v>-6.8378598012024033E-2</v>
      </c>
      <c r="BI30">
        <f t="shared" si="9"/>
        <v>-0.11370007582261443</v>
      </c>
      <c r="BJ30">
        <f t="shared" si="9"/>
        <v>-9.125006823368248E-2</v>
      </c>
      <c r="BK30">
        <f t="shared" si="9"/>
        <v>-1.261925601346601E-2</v>
      </c>
      <c r="BL30">
        <f t="shared" ref="BL30:BV53" si="12">U30/$AQ30</f>
        <v>2.9688000183402417E-2</v>
      </c>
      <c r="BM30">
        <f t="shared" si="12"/>
        <v>-4.1823285227578291E-3</v>
      </c>
      <c r="BN30">
        <f t="shared" si="12"/>
        <v>1.5802785297661267E-2</v>
      </c>
      <c r="BO30">
        <f t="shared" si="12"/>
        <v>-1.152016620582705E-2</v>
      </c>
      <c r="BP30">
        <f t="shared" si="12"/>
        <v>-7.5114246921905688E-3</v>
      </c>
      <c r="BQ30">
        <f t="shared" si="12"/>
        <v>-2.0012642115705297E-2</v>
      </c>
      <c r="BR30">
        <f t="shared" si="12"/>
        <v>-3.4393150430249127E-3</v>
      </c>
      <c r="BS30">
        <f t="shared" si="12"/>
        <v>6.8141362561558338E-2</v>
      </c>
      <c r="BT30">
        <f t="shared" si="12"/>
        <v>2.7248893794442389E-3</v>
      </c>
      <c r="BU30">
        <f t="shared" si="8"/>
        <v>-1.2749865797936372E-2</v>
      </c>
      <c r="BV30">
        <f t="shared" si="8"/>
        <v>-2.2515955542175631E-2</v>
      </c>
      <c r="BW30">
        <f t="shared" si="8"/>
        <v>-5.5465568756172784E-2</v>
      </c>
      <c r="BX30">
        <f t="shared" si="8"/>
        <v>5.4246337890332241E-3</v>
      </c>
      <c r="BY30">
        <f t="shared" si="8"/>
        <v>-1.7200272488321809E-2</v>
      </c>
      <c r="BZ30">
        <f t="shared" si="8"/>
        <v>-0.21275459816811698</v>
      </c>
      <c r="CA30">
        <f t="shared" si="8"/>
        <v>-0.35509171379638382</v>
      </c>
      <c r="CB30">
        <f t="shared" si="8"/>
        <v>-0.28300405366830289</v>
      </c>
      <c r="CC30">
        <f t="shared" si="8"/>
        <v>-0.21249049702534456</v>
      </c>
      <c r="CD30">
        <f t="shared" si="8"/>
        <v>-0.13846239481611755</v>
      </c>
      <c r="CE30">
        <f t="shared" si="8"/>
        <v>-1.0464943587540819E-2</v>
      </c>
      <c r="CG30">
        <f t="shared" si="5"/>
        <v>1.0000000000000002</v>
      </c>
      <c r="CH30">
        <f t="shared" si="6"/>
        <v>1</v>
      </c>
      <c r="CJ30">
        <f t="shared" si="7"/>
        <v>-0.21170354305557426</v>
      </c>
    </row>
    <row r="31" spans="1:88" x14ac:dyDescent="0.25">
      <c r="A31" t="s">
        <v>32</v>
      </c>
      <c r="B31">
        <v>7.2024347849697769E-4</v>
      </c>
      <c r="C31">
        <v>7.2635355554771935E-2</v>
      </c>
      <c r="D31">
        <v>0.15706495928686995</v>
      </c>
      <c r="E31">
        <v>0.26906591602343555</v>
      </c>
      <c r="F31">
        <v>0.17452288329359189</v>
      </c>
      <c r="G31">
        <v>4.3164388199052446E-2</v>
      </c>
      <c r="H31">
        <v>0.3510762920258988</v>
      </c>
      <c r="I31">
        <v>0.18310243589501052</v>
      </c>
      <c r="J31">
        <v>5.5223553509018287E-2</v>
      </c>
      <c r="K31">
        <v>-0.31963582371114557</v>
      </c>
      <c r="L31">
        <v>-4.8931001131431916E-2</v>
      </c>
      <c r="M31">
        <v>-2.4951196607477653E-2</v>
      </c>
      <c r="N31">
        <v>-0.32610688685152528</v>
      </c>
      <c r="O31">
        <v>-0.37620762211481712</v>
      </c>
      <c r="P31">
        <v>-1.7996323456252216E-3</v>
      </c>
      <c r="Q31">
        <v>-6.8378598026236082E-2</v>
      </c>
      <c r="R31">
        <v>-0.11370007584624625</v>
      </c>
      <c r="S31">
        <v>-9.1250068252648212E-2</v>
      </c>
      <c r="T31">
        <v>-1.2619256016088841E-2</v>
      </c>
      <c r="U31">
        <v>2.9688000189572877E-2</v>
      </c>
      <c r="V31">
        <v>-4.1823285236270991E-3</v>
      </c>
      <c r="W31">
        <v>1.5802785300945775E-2</v>
      </c>
      <c r="X31">
        <v>-1.1520166208221442E-2</v>
      </c>
      <c r="Y31">
        <v>-7.5114246937517696E-3</v>
      </c>
      <c r="Z31">
        <v>-2.0012642119864796E-2</v>
      </c>
      <c r="AA31">
        <v>-3.4393150437397519E-3</v>
      </c>
      <c r="AB31">
        <v>6.8141362575721079E-2</v>
      </c>
      <c r="AC31">
        <v>2.7248893800105897E-3</v>
      </c>
      <c r="AD31">
        <v>-1.274986580058635E-2</v>
      </c>
      <c r="AE31">
        <v>-2.2515955546855426E-2</v>
      </c>
      <c r="AF31">
        <v>-5.5465568767700944E-2</v>
      </c>
      <c r="AG31">
        <v>5.4246337901606989E-3</v>
      </c>
      <c r="AH31">
        <v>-1.7200272491896776E-2</v>
      </c>
      <c r="AI31">
        <v>-0.21275459821233664</v>
      </c>
      <c r="AJ31">
        <v>-0.35509171387018734</v>
      </c>
      <c r="AK31">
        <v>-0.28300405372712345</v>
      </c>
      <c r="AL31">
        <v>-0.21249049706950934</v>
      </c>
      <c r="AM31">
        <v>-0.13846239484489606</v>
      </c>
      <c r="AN31">
        <v>-1.046494358971589E-2</v>
      </c>
      <c r="AP31">
        <f t="shared" si="2"/>
        <v>1.0000000004156873</v>
      </c>
      <c r="AQ31">
        <f t="shared" si="3"/>
        <v>1.0000000002078435</v>
      </c>
      <c r="AS31">
        <f t="shared" si="11"/>
        <v>7.2024347834727972E-4</v>
      </c>
      <c r="AT31">
        <f t="shared" si="11"/>
        <v>7.263535553967515E-2</v>
      </c>
      <c r="AU31">
        <f t="shared" si="11"/>
        <v>0.15706495925422501</v>
      </c>
      <c r="AV31">
        <f t="shared" si="11"/>
        <v>0.26906591596751195</v>
      </c>
      <c r="AW31">
        <f t="shared" si="11"/>
        <v>0.17452288325731843</v>
      </c>
      <c r="AX31">
        <f t="shared" si="11"/>
        <v>4.3164388190081004E-2</v>
      </c>
      <c r="AY31">
        <f t="shared" si="11"/>
        <v>0.35107629195292989</v>
      </c>
      <c r="AZ31">
        <f t="shared" si="11"/>
        <v>0.18310243585695388</v>
      </c>
      <c r="BA31">
        <f t="shared" si="11"/>
        <v>5.5223553497540427E-2</v>
      </c>
      <c r="BB31">
        <f t="shared" si="10"/>
        <v>-0.31963582364471133</v>
      </c>
      <c r="BC31">
        <f t="shared" si="10"/>
        <v>-4.8931001121261926E-2</v>
      </c>
      <c r="BD31">
        <f t="shared" si="10"/>
        <v>-2.4951196602291708E-2</v>
      </c>
      <c r="BE31">
        <f t="shared" si="10"/>
        <v>-0.32610688678374605</v>
      </c>
      <c r="BF31">
        <f t="shared" si="10"/>
        <v>-0.37620762203662478</v>
      </c>
      <c r="BG31">
        <f t="shared" si="10"/>
        <v>-1.7996323452511797E-3</v>
      </c>
      <c r="BH31">
        <f t="shared" si="10"/>
        <v>-6.8378598012024033E-2</v>
      </c>
      <c r="BI31">
        <f t="shared" si="10"/>
        <v>-0.11370007582261443</v>
      </c>
      <c r="BJ31">
        <f t="shared" si="10"/>
        <v>-9.125006823368248E-2</v>
      </c>
      <c r="BK31">
        <f t="shared" si="10"/>
        <v>-1.261925601346601E-2</v>
      </c>
      <c r="BL31">
        <f t="shared" si="12"/>
        <v>2.9688000183402417E-2</v>
      </c>
      <c r="BM31">
        <f t="shared" si="12"/>
        <v>-4.1823285227578291E-3</v>
      </c>
      <c r="BN31">
        <f t="shared" si="12"/>
        <v>1.5802785297661267E-2</v>
      </c>
      <c r="BO31">
        <f t="shared" si="12"/>
        <v>-1.152016620582705E-2</v>
      </c>
      <c r="BP31">
        <f t="shared" si="12"/>
        <v>-7.5114246921905688E-3</v>
      </c>
      <c r="BQ31">
        <f t="shared" si="12"/>
        <v>-2.0012642115705297E-2</v>
      </c>
      <c r="BR31">
        <f t="shared" si="12"/>
        <v>-3.4393150430249127E-3</v>
      </c>
      <c r="BS31">
        <f t="shared" si="12"/>
        <v>6.8141362561558338E-2</v>
      </c>
      <c r="BT31">
        <f t="shared" si="12"/>
        <v>2.7248893794442389E-3</v>
      </c>
      <c r="BU31">
        <f t="shared" si="8"/>
        <v>-1.2749865797936372E-2</v>
      </c>
      <c r="BV31">
        <f t="shared" si="8"/>
        <v>-2.2515955542175631E-2</v>
      </c>
      <c r="BW31">
        <f t="shared" ref="BW31:CE59" si="13">AF31/$AQ31</f>
        <v>-5.5465568756172784E-2</v>
      </c>
      <c r="BX31">
        <f t="shared" si="13"/>
        <v>5.4246337890332241E-3</v>
      </c>
      <c r="BY31">
        <f t="shared" si="13"/>
        <v>-1.7200272488321809E-2</v>
      </c>
      <c r="BZ31">
        <f t="shared" si="13"/>
        <v>-0.21275459816811698</v>
      </c>
      <c r="CA31">
        <f t="shared" si="13"/>
        <v>-0.35509171379638382</v>
      </c>
      <c r="CB31">
        <f t="shared" si="13"/>
        <v>-0.28300405366830289</v>
      </c>
      <c r="CC31">
        <f t="shared" si="13"/>
        <v>-0.21249049702534456</v>
      </c>
      <c r="CD31">
        <f t="shared" si="13"/>
        <v>-0.13846239481611755</v>
      </c>
      <c r="CE31">
        <f t="shared" si="13"/>
        <v>-1.0464943587540819E-2</v>
      </c>
      <c r="CG31">
        <f t="shared" si="5"/>
        <v>1.0000000000000002</v>
      </c>
      <c r="CH31">
        <f t="shared" si="6"/>
        <v>1</v>
      </c>
      <c r="CJ31">
        <f t="shared" si="7"/>
        <v>-0.21170354305557426</v>
      </c>
    </row>
    <row r="32" spans="1:88" x14ac:dyDescent="0.25">
      <c r="A32" t="s">
        <v>33</v>
      </c>
      <c r="B32">
        <v>7.2024347849697769E-4</v>
      </c>
      <c r="C32">
        <v>7.2635355554771935E-2</v>
      </c>
      <c r="D32">
        <v>0.15706495928686995</v>
      </c>
      <c r="E32">
        <v>0.26906591602343555</v>
      </c>
      <c r="F32">
        <v>0.17452288329359189</v>
      </c>
      <c r="G32">
        <v>4.3164388199052446E-2</v>
      </c>
      <c r="H32">
        <v>0.3510762920258988</v>
      </c>
      <c r="I32">
        <v>0.18310243589501052</v>
      </c>
      <c r="J32">
        <v>5.5223553509018287E-2</v>
      </c>
      <c r="K32">
        <v>-0.31963582371114557</v>
      </c>
      <c r="L32">
        <v>-4.8931001131431916E-2</v>
      </c>
      <c r="M32">
        <v>-2.4951196607477653E-2</v>
      </c>
      <c r="N32">
        <v>-0.32610688685152528</v>
      </c>
      <c r="O32">
        <v>-0.37620762211481712</v>
      </c>
      <c r="P32">
        <v>-1.7996323456252216E-3</v>
      </c>
      <c r="Q32">
        <v>-6.8378598026236082E-2</v>
      </c>
      <c r="R32">
        <v>-0.11370007584624625</v>
      </c>
      <c r="S32">
        <v>-9.1250068252648212E-2</v>
      </c>
      <c r="T32">
        <v>-1.2619256016088841E-2</v>
      </c>
      <c r="U32">
        <v>2.9688000189572877E-2</v>
      </c>
      <c r="V32">
        <v>-4.1823285236270991E-3</v>
      </c>
      <c r="W32">
        <v>1.5802785300945775E-2</v>
      </c>
      <c r="X32">
        <v>-1.1520166208221442E-2</v>
      </c>
      <c r="Y32">
        <v>-7.5114246937517696E-3</v>
      </c>
      <c r="Z32">
        <v>-2.0012642119864796E-2</v>
      </c>
      <c r="AA32">
        <v>-3.4393150437397519E-3</v>
      </c>
      <c r="AB32">
        <v>6.8141362575721079E-2</v>
      </c>
      <c r="AC32">
        <v>2.7248893800105897E-3</v>
      </c>
      <c r="AD32">
        <v>-1.274986580058635E-2</v>
      </c>
      <c r="AE32">
        <v>-2.2515955546855426E-2</v>
      </c>
      <c r="AF32">
        <v>-5.5465568767700944E-2</v>
      </c>
      <c r="AG32">
        <v>5.4246337901606989E-3</v>
      </c>
      <c r="AH32">
        <v>-1.7200272491896776E-2</v>
      </c>
      <c r="AI32">
        <v>-0.21275459821233664</v>
      </c>
      <c r="AJ32">
        <v>-0.35509171387018734</v>
      </c>
      <c r="AK32">
        <v>-0.28300405372712345</v>
      </c>
      <c r="AL32">
        <v>-0.21249049706950934</v>
      </c>
      <c r="AM32">
        <v>-0.13846239484489606</v>
      </c>
      <c r="AN32">
        <v>-1.046494358971589E-2</v>
      </c>
      <c r="AP32">
        <f t="shared" si="2"/>
        <v>1.0000000004156873</v>
      </c>
      <c r="AQ32">
        <f t="shared" si="3"/>
        <v>1.0000000002078435</v>
      </c>
      <c r="AS32">
        <f t="shared" si="11"/>
        <v>7.2024347834727972E-4</v>
      </c>
      <c r="AT32">
        <f t="shared" si="11"/>
        <v>7.263535553967515E-2</v>
      </c>
      <c r="AU32">
        <f t="shared" si="11"/>
        <v>0.15706495925422501</v>
      </c>
      <c r="AV32">
        <f t="shared" si="11"/>
        <v>0.26906591596751195</v>
      </c>
      <c r="AW32">
        <f t="shared" si="11"/>
        <v>0.17452288325731843</v>
      </c>
      <c r="AX32">
        <f t="shared" si="11"/>
        <v>4.3164388190081004E-2</v>
      </c>
      <c r="AY32">
        <f t="shared" si="11"/>
        <v>0.35107629195292989</v>
      </c>
      <c r="AZ32">
        <f t="shared" si="11"/>
        <v>0.18310243585695388</v>
      </c>
      <c r="BA32">
        <f t="shared" si="11"/>
        <v>5.5223553497540427E-2</v>
      </c>
      <c r="BB32">
        <f t="shared" si="10"/>
        <v>-0.31963582364471133</v>
      </c>
      <c r="BC32">
        <f t="shared" si="10"/>
        <v>-4.8931001121261926E-2</v>
      </c>
      <c r="BD32">
        <f t="shared" si="10"/>
        <v>-2.4951196602291708E-2</v>
      </c>
      <c r="BE32">
        <f t="shared" si="10"/>
        <v>-0.32610688678374605</v>
      </c>
      <c r="BF32">
        <f t="shared" si="10"/>
        <v>-0.37620762203662478</v>
      </c>
      <c r="BG32">
        <f t="shared" si="10"/>
        <v>-1.7996323452511797E-3</v>
      </c>
      <c r="BH32">
        <f t="shared" si="10"/>
        <v>-6.8378598012024033E-2</v>
      </c>
      <c r="BI32">
        <f t="shared" si="10"/>
        <v>-0.11370007582261443</v>
      </c>
      <c r="BJ32">
        <f t="shared" si="10"/>
        <v>-9.125006823368248E-2</v>
      </c>
      <c r="BK32">
        <f t="shared" si="10"/>
        <v>-1.261925601346601E-2</v>
      </c>
      <c r="BL32">
        <f t="shared" si="12"/>
        <v>2.9688000183402417E-2</v>
      </c>
      <c r="BM32">
        <f t="shared" si="12"/>
        <v>-4.1823285227578291E-3</v>
      </c>
      <c r="BN32">
        <f t="shared" si="12"/>
        <v>1.5802785297661267E-2</v>
      </c>
      <c r="BO32">
        <f t="shared" si="12"/>
        <v>-1.152016620582705E-2</v>
      </c>
      <c r="BP32">
        <f t="shared" si="12"/>
        <v>-7.5114246921905688E-3</v>
      </c>
      <c r="BQ32">
        <f t="shared" si="12"/>
        <v>-2.0012642115705297E-2</v>
      </c>
      <c r="BR32">
        <f t="shared" si="12"/>
        <v>-3.4393150430249127E-3</v>
      </c>
      <c r="BS32">
        <f t="shared" si="12"/>
        <v>6.8141362561558338E-2</v>
      </c>
      <c r="BT32">
        <f t="shared" si="12"/>
        <v>2.7248893794442389E-3</v>
      </c>
      <c r="BU32">
        <f t="shared" si="12"/>
        <v>-1.2749865797936372E-2</v>
      </c>
      <c r="BV32">
        <f t="shared" si="12"/>
        <v>-2.2515955542175631E-2</v>
      </c>
      <c r="BW32">
        <f t="shared" si="13"/>
        <v>-5.5465568756172784E-2</v>
      </c>
      <c r="BX32">
        <f t="shared" si="13"/>
        <v>5.4246337890332241E-3</v>
      </c>
      <c r="BY32">
        <f t="shared" si="13"/>
        <v>-1.7200272488321809E-2</v>
      </c>
      <c r="BZ32">
        <f t="shared" si="13"/>
        <v>-0.21275459816811698</v>
      </c>
      <c r="CA32">
        <f t="shared" si="13"/>
        <v>-0.35509171379638382</v>
      </c>
      <c r="CB32">
        <f t="shared" si="13"/>
        <v>-0.28300405366830289</v>
      </c>
      <c r="CC32">
        <f t="shared" si="13"/>
        <v>-0.21249049702534456</v>
      </c>
      <c r="CD32">
        <f t="shared" si="13"/>
        <v>-0.13846239481611755</v>
      </c>
      <c r="CE32">
        <f t="shared" si="13"/>
        <v>-1.0464943587540819E-2</v>
      </c>
      <c r="CG32">
        <f t="shared" si="5"/>
        <v>1.0000000000000002</v>
      </c>
      <c r="CH32">
        <f t="shared" si="6"/>
        <v>1</v>
      </c>
      <c r="CJ32">
        <f t="shared" si="7"/>
        <v>-0.21170354305557426</v>
      </c>
    </row>
    <row r="33" spans="1:88" x14ac:dyDescent="0.25">
      <c r="A33" t="s">
        <v>34</v>
      </c>
      <c r="B33">
        <v>7.2024347849697769E-4</v>
      </c>
      <c r="C33">
        <v>7.2635355554771935E-2</v>
      </c>
      <c r="D33">
        <v>0.15706495928686995</v>
      </c>
      <c r="E33">
        <v>0.26906591602343555</v>
      </c>
      <c r="F33">
        <v>0.17452288329359189</v>
      </c>
      <c r="G33">
        <v>4.3164388199052446E-2</v>
      </c>
      <c r="H33">
        <v>0.3510762920258988</v>
      </c>
      <c r="I33">
        <v>0.18310243589501052</v>
      </c>
      <c r="J33">
        <v>5.5223553509018287E-2</v>
      </c>
      <c r="K33">
        <v>-0.31963582371114557</v>
      </c>
      <c r="L33">
        <v>-4.8931001131431916E-2</v>
      </c>
      <c r="M33">
        <v>-2.4951196607477653E-2</v>
      </c>
      <c r="N33">
        <v>-0.32610688685152528</v>
      </c>
      <c r="O33">
        <v>-0.37620762211481712</v>
      </c>
      <c r="P33">
        <v>-1.7996323456252216E-3</v>
      </c>
      <c r="Q33">
        <v>-6.8378598026236082E-2</v>
      </c>
      <c r="R33">
        <v>-0.11370007584624625</v>
      </c>
      <c r="S33">
        <v>-9.1250068252648212E-2</v>
      </c>
      <c r="T33">
        <v>-1.2619256016088841E-2</v>
      </c>
      <c r="U33">
        <v>2.9688000189572877E-2</v>
      </c>
      <c r="V33">
        <v>-4.1823285236270991E-3</v>
      </c>
      <c r="W33">
        <v>1.5802785300945775E-2</v>
      </c>
      <c r="X33">
        <v>-1.1520166208221442E-2</v>
      </c>
      <c r="Y33">
        <v>-7.5114246937517696E-3</v>
      </c>
      <c r="Z33">
        <v>-2.0012642119864796E-2</v>
      </c>
      <c r="AA33">
        <v>-3.4393150437397519E-3</v>
      </c>
      <c r="AB33">
        <v>6.8141362575721079E-2</v>
      </c>
      <c r="AC33">
        <v>2.7248893800105897E-3</v>
      </c>
      <c r="AD33">
        <v>-1.274986580058635E-2</v>
      </c>
      <c r="AE33">
        <v>-2.2515955546855426E-2</v>
      </c>
      <c r="AF33">
        <v>-5.5465568767700944E-2</v>
      </c>
      <c r="AG33">
        <v>5.4246337901606989E-3</v>
      </c>
      <c r="AH33">
        <v>-1.7200272491896776E-2</v>
      </c>
      <c r="AI33">
        <v>-0.21275459821233664</v>
      </c>
      <c r="AJ33">
        <v>-0.35509171387018734</v>
      </c>
      <c r="AK33">
        <v>-0.28300405372712345</v>
      </c>
      <c r="AL33">
        <v>-0.21249049706950934</v>
      </c>
      <c r="AM33">
        <v>-0.13846239484489606</v>
      </c>
      <c r="AN33">
        <v>-1.046494358971589E-2</v>
      </c>
      <c r="AP33">
        <f t="shared" si="2"/>
        <v>1.0000000004156873</v>
      </c>
      <c r="AQ33">
        <f t="shared" si="3"/>
        <v>1.0000000002078435</v>
      </c>
      <c r="AS33">
        <f t="shared" si="11"/>
        <v>7.2024347834727972E-4</v>
      </c>
      <c r="AT33">
        <f t="shared" si="11"/>
        <v>7.263535553967515E-2</v>
      </c>
      <c r="AU33">
        <f t="shared" si="11"/>
        <v>0.15706495925422501</v>
      </c>
      <c r="AV33">
        <f t="shared" si="11"/>
        <v>0.26906591596751195</v>
      </c>
      <c r="AW33">
        <f t="shared" si="11"/>
        <v>0.17452288325731843</v>
      </c>
      <c r="AX33">
        <f t="shared" si="11"/>
        <v>4.3164388190081004E-2</v>
      </c>
      <c r="AY33">
        <f t="shared" si="11"/>
        <v>0.35107629195292989</v>
      </c>
      <c r="AZ33">
        <f t="shared" si="11"/>
        <v>0.18310243585695388</v>
      </c>
      <c r="BA33">
        <f t="shared" si="11"/>
        <v>5.5223553497540427E-2</v>
      </c>
      <c r="BB33">
        <f t="shared" si="10"/>
        <v>-0.31963582364471133</v>
      </c>
      <c r="BC33">
        <f t="shared" si="10"/>
        <v>-4.8931001121261926E-2</v>
      </c>
      <c r="BD33">
        <f t="shared" si="10"/>
        <v>-2.4951196602291708E-2</v>
      </c>
      <c r="BE33">
        <f t="shared" si="10"/>
        <v>-0.32610688678374605</v>
      </c>
      <c r="BF33">
        <f t="shared" si="10"/>
        <v>-0.37620762203662478</v>
      </c>
      <c r="BG33">
        <f t="shared" si="10"/>
        <v>-1.7996323452511797E-3</v>
      </c>
      <c r="BH33">
        <f t="shared" si="10"/>
        <v>-6.8378598012024033E-2</v>
      </c>
      <c r="BI33">
        <f t="shared" si="10"/>
        <v>-0.11370007582261443</v>
      </c>
      <c r="BJ33">
        <f t="shared" si="10"/>
        <v>-9.125006823368248E-2</v>
      </c>
      <c r="BK33">
        <f t="shared" si="10"/>
        <v>-1.261925601346601E-2</v>
      </c>
      <c r="BL33">
        <f t="shared" si="12"/>
        <v>2.9688000183402417E-2</v>
      </c>
      <c r="BM33">
        <f t="shared" si="12"/>
        <v>-4.1823285227578291E-3</v>
      </c>
      <c r="BN33">
        <f t="shared" si="12"/>
        <v>1.5802785297661267E-2</v>
      </c>
      <c r="BO33">
        <f t="shared" si="12"/>
        <v>-1.152016620582705E-2</v>
      </c>
      <c r="BP33">
        <f t="shared" si="12"/>
        <v>-7.5114246921905688E-3</v>
      </c>
      <c r="BQ33">
        <f t="shared" si="12"/>
        <v>-2.0012642115705297E-2</v>
      </c>
      <c r="BR33">
        <f t="shared" si="12"/>
        <v>-3.4393150430249127E-3</v>
      </c>
      <c r="BS33">
        <f t="shared" si="12"/>
        <v>6.8141362561558338E-2</v>
      </c>
      <c r="BT33">
        <f t="shared" si="12"/>
        <v>2.7248893794442389E-3</v>
      </c>
      <c r="BU33">
        <f t="shared" si="12"/>
        <v>-1.2749865797936372E-2</v>
      </c>
      <c r="BV33">
        <f t="shared" si="12"/>
        <v>-2.2515955542175631E-2</v>
      </c>
      <c r="BW33">
        <f t="shared" si="13"/>
        <v>-5.5465568756172784E-2</v>
      </c>
      <c r="BX33">
        <f t="shared" si="13"/>
        <v>5.4246337890332241E-3</v>
      </c>
      <c r="BY33">
        <f t="shared" si="13"/>
        <v>-1.7200272488321809E-2</v>
      </c>
      <c r="BZ33">
        <f t="shared" si="13"/>
        <v>-0.21275459816811698</v>
      </c>
      <c r="CA33">
        <f t="shared" si="13"/>
        <v>-0.35509171379638382</v>
      </c>
      <c r="CB33">
        <f t="shared" si="13"/>
        <v>-0.28300405366830289</v>
      </c>
      <c r="CC33">
        <f t="shared" si="13"/>
        <v>-0.21249049702534456</v>
      </c>
      <c r="CD33">
        <f t="shared" si="13"/>
        <v>-0.13846239481611755</v>
      </c>
      <c r="CE33">
        <f t="shared" si="13"/>
        <v>-1.0464943587540819E-2</v>
      </c>
      <c r="CG33">
        <f t="shared" si="5"/>
        <v>1.0000000000000002</v>
      </c>
      <c r="CH33">
        <f t="shared" si="6"/>
        <v>1</v>
      </c>
      <c r="CJ33">
        <f t="shared" si="7"/>
        <v>-0.21170354305557426</v>
      </c>
    </row>
    <row r="34" spans="1:88" x14ac:dyDescent="0.25">
      <c r="A34" t="s">
        <v>35</v>
      </c>
      <c r="B34">
        <v>7.2024347849697769E-4</v>
      </c>
      <c r="C34">
        <v>7.2635355554771935E-2</v>
      </c>
      <c r="D34">
        <v>0.15706495928686995</v>
      </c>
      <c r="E34">
        <v>0.26906591602343555</v>
      </c>
      <c r="F34">
        <v>0.17452288329359189</v>
      </c>
      <c r="G34">
        <v>4.3164388199052446E-2</v>
      </c>
      <c r="H34">
        <v>0.3510762920258988</v>
      </c>
      <c r="I34">
        <v>0.18310243589501052</v>
      </c>
      <c r="J34">
        <v>5.5223553509018287E-2</v>
      </c>
      <c r="K34">
        <v>-0.31963582371114557</v>
      </c>
      <c r="L34">
        <v>-4.8931001131431916E-2</v>
      </c>
      <c r="M34">
        <v>-2.4951196607477653E-2</v>
      </c>
      <c r="N34">
        <v>-0.32610688685152528</v>
      </c>
      <c r="O34">
        <v>-0.37620762211481712</v>
      </c>
      <c r="P34">
        <v>-1.7996323456252216E-3</v>
      </c>
      <c r="Q34">
        <v>-6.8378598026236082E-2</v>
      </c>
      <c r="R34">
        <v>-0.11370007584624625</v>
      </c>
      <c r="S34">
        <v>-9.1250068252648212E-2</v>
      </c>
      <c r="T34">
        <v>-1.2619256016088841E-2</v>
      </c>
      <c r="U34">
        <v>2.9688000189572877E-2</v>
      </c>
      <c r="V34">
        <v>-4.1823285236270991E-3</v>
      </c>
      <c r="W34">
        <v>1.5802785300945775E-2</v>
      </c>
      <c r="X34">
        <v>-1.1520166208221442E-2</v>
      </c>
      <c r="Y34">
        <v>-7.5114246937517696E-3</v>
      </c>
      <c r="Z34">
        <v>-2.0012642119864796E-2</v>
      </c>
      <c r="AA34">
        <v>-3.4393150437397519E-3</v>
      </c>
      <c r="AB34">
        <v>6.8141362575721079E-2</v>
      </c>
      <c r="AC34">
        <v>2.7248893800105897E-3</v>
      </c>
      <c r="AD34">
        <v>-1.274986580058635E-2</v>
      </c>
      <c r="AE34">
        <v>-2.2515955546855426E-2</v>
      </c>
      <c r="AF34">
        <v>-5.5465568767700944E-2</v>
      </c>
      <c r="AG34">
        <v>5.4246337901606989E-3</v>
      </c>
      <c r="AH34">
        <v>-1.7200272491896776E-2</v>
      </c>
      <c r="AI34">
        <v>-0.21275459821233664</v>
      </c>
      <c r="AJ34">
        <v>-0.35509171387018734</v>
      </c>
      <c r="AK34">
        <v>-0.28300405372712345</v>
      </c>
      <c r="AL34">
        <v>-0.21249049706950934</v>
      </c>
      <c r="AM34">
        <v>-0.13846239484489606</v>
      </c>
      <c r="AN34">
        <v>-1.046494358971589E-2</v>
      </c>
      <c r="AP34">
        <f t="shared" si="2"/>
        <v>1.0000000004156873</v>
      </c>
      <c r="AQ34">
        <f t="shared" si="3"/>
        <v>1.0000000002078435</v>
      </c>
      <c r="AS34">
        <f t="shared" si="11"/>
        <v>7.2024347834727972E-4</v>
      </c>
      <c r="AT34">
        <f t="shared" si="11"/>
        <v>7.263535553967515E-2</v>
      </c>
      <c r="AU34">
        <f t="shared" si="11"/>
        <v>0.15706495925422501</v>
      </c>
      <c r="AV34">
        <f t="shared" si="11"/>
        <v>0.26906591596751195</v>
      </c>
      <c r="AW34">
        <f t="shared" si="11"/>
        <v>0.17452288325731843</v>
      </c>
      <c r="AX34">
        <f t="shared" si="11"/>
        <v>4.3164388190081004E-2</v>
      </c>
      <c r="AY34">
        <f t="shared" si="11"/>
        <v>0.35107629195292989</v>
      </c>
      <c r="AZ34">
        <f t="shared" si="11"/>
        <v>0.18310243585695388</v>
      </c>
      <c r="BA34">
        <f t="shared" si="11"/>
        <v>5.5223553497540427E-2</v>
      </c>
      <c r="BB34">
        <f t="shared" si="10"/>
        <v>-0.31963582364471133</v>
      </c>
      <c r="BC34">
        <f t="shared" si="10"/>
        <v>-4.8931001121261926E-2</v>
      </c>
      <c r="BD34">
        <f t="shared" si="10"/>
        <v>-2.4951196602291708E-2</v>
      </c>
      <c r="BE34">
        <f t="shared" si="10"/>
        <v>-0.32610688678374605</v>
      </c>
      <c r="BF34">
        <f t="shared" si="10"/>
        <v>-0.37620762203662478</v>
      </c>
      <c r="BG34">
        <f t="shared" si="10"/>
        <v>-1.7996323452511797E-3</v>
      </c>
      <c r="BH34">
        <f t="shared" si="10"/>
        <v>-6.8378598012024033E-2</v>
      </c>
      <c r="BI34">
        <f t="shared" si="10"/>
        <v>-0.11370007582261443</v>
      </c>
      <c r="BJ34">
        <f t="shared" si="10"/>
        <v>-9.125006823368248E-2</v>
      </c>
      <c r="BK34">
        <f t="shared" si="10"/>
        <v>-1.261925601346601E-2</v>
      </c>
      <c r="BL34">
        <f t="shared" si="12"/>
        <v>2.9688000183402417E-2</v>
      </c>
      <c r="BM34">
        <f t="shared" si="12"/>
        <v>-4.1823285227578291E-3</v>
      </c>
      <c r="BN34">
        <f t="shared" si="12"/>
        <v>1.5802785297661267E-2</v>
      </c>
      <c r="BO34">
        <f t="shared" si="12"/>
        <v>-1.152016620582705E-2</v>
      </c>
      <c r="BP34">
        <f t="shared" si="12"/>
        <v>-7.5114246921905688E-3</v>
      </c>
      <c r="BQ34">
        <f t="shared" si="12"/>
        <v>-2.0012642115705297E-2</v>
      </c>
      <c r="BR34">
        <f t="shared" si="12"/>
        <v>-3.4393150430249127E-3</v>
      </c>
      <c r="BS34">
        <f t="shared" si="12"/>
        <v>6.8141362561558338E-2</v>
      </c>
      <c r="BT34">
        <f t="shared" si="12"/>
        <v>2.7248893794442389E-3</v>
      </c>
      <c r="BU34">
        <f t="shared" si="12"/>
        <v>-1.2749865797936372E-2</v>
      </c>
      <c r="BV34">
        <f t="shared" si="12"/>
        <v>-2.2515955542175631E-2</v>
      </c>
      <c r="BW34">
        <f t="shared" si="13"/>
        <v>-5.5465568756172784E-2</v>
      </c>
      <c r="BX34">
        <f t="shared" si="13"/>
        <v>5.4246337890332241E-3</v>
      </c>
      <c r="BY34">
        <f t="shared" si="13"/>
        <v>-1.7200272488321809E-2</v>
      </c>
      <c r="BZ34">
        <f t="shared" si="13"/>
        <v>-0.21275459816811698</v>
      </c>
      <c r="CA34">
        <f t="shared" si="13"/>
        <v>-0.35509171379638382</v>
      </c>
      <c r="CB34">
        <f t="shared" si="13"/>
        <v>-0.28300405366830289</v>
      </c>
      <c r="CC34">
        <f t="shared" si="13"/>
        <v>-0.21249049702534456</v>
      </c>
      <c r="CD34">
        <f t="shared" si="13"/>
        <v>-0.13846239481611755</v>
      </c>
      <c r="CE34">
        <f t="shared" si="13"/>
        <v>-1.0464943587540819E-2</v>
      </c>
      <c r="CG34">
        <f t="shared" si="5"/>
        <v>1.0000000000000002</v>
      </c>
      <c r="CH34">
        <f t="shared" si="6"/>
        <v>1</v>
      </c>
      <c r="CJ34">
        <f t="shared" si="7"/>
        <v>-0.21170354305557426</v>
      </c>
    </row>
    <row r="35" spans="1:88" x14ac:dyDescent="0.25">
      <c r="A35" t="s">
        <v>36</v>
      </c>
      <c r="B35">
        <v>7.2024347849697769E-4</v>
      </c>
      <c r="C35">
        <v>7.2635355554771935E-2</v>
      </c>
      <c r="D35">
        <v>0.15706495928686995</v>
      </c>
      <c r="E35">
        <v>0.26906591602343555</v>
      </c>
      <c r="F35">
        <v>0.17452288329359189</v>
      </c>
      <c r="G35">
        <v>4.3164388199052446E-2</v>
      </c>
      <c r="H35">
        <v>0.3510762920258988</v>
      </c>
      <c r="I35">
        <v>0.18310243589501052</v>
      </c>
      <c r="J35">
        <v>5.5223553509018287E-2</v>
      </c>
      <c r="K35">
        <v>-0.31963582371114557</v>
      </c>
      <c r="L35">
        <v>-4.8931001131431916E-2</v>
      </c>
      <c r="M35">
        <v>-2.4951196607477653E-2</v>
      </c>
      <c r="N35">
        <v>-0.32610688685152528</v>
      </c>
      <c r="O35">
        <v>-0.37620762211481712</v>
      </c>
      <c r="P35">
        <v>-1.7996323456252216E-3</v>
      </c>
      <c r="Q35">
        <v>-6.8378598026236082E-2</v>
      </c>
      <c r="R35">
        <v>-0.11370007584624625</v>
      </c>
      <c r="S35">
        <v>-9.1250068252648212E-2</v>
      </c>
      <c r="T35">
        <v>-1.2619256016088841E-2</v>
      </c>
      <c r="U35">
        <v>2.9688000189572877E-2</v>
      </c>
      <c r="V35">
        <v>-4.1823285236270991E-3</v>
      </c>
      <c r="W35">
        <v>1.5802785300945775E-2</v>
      </c>
      <c r="X35">
        <v>-1.1520166208221442E-2</v>
      </c>
      <c r="Y35">
        <v>-7.5114246937517696E-3</v>
      </c>
      <c r="Z35">
        <v>-2.0012642119864796E-2</v>
      </c>
      <c r="AA35">
        <v>-3.4393150437397519E-3</v>
      </c>
      <c r="AB35">
        <v>6.8141362575721079E-2</v>
      </c>
      <c r="AC35">
        <v>2.7248893800105897E-3</v>
      </c>
      <c r="AD35">
        <v>-1.274986580058635E-2</v>
      </c>
      <c r="AE35">
        <v>-2.2515955546855426E-2</v>
      </c>
      <c r="AF35">
        <v>-5.5465568767700944E-2</v>
      </c>
      <c r="AG35">
        <v>5.4246337901606989E-3</v>
      </c>
      <c r="AH35">
        <v>-1.7200272491896776E-2</v>
      </c>
      <c r="AI35">
        <v>-0.21275459821233664</v>
      </c>
      <c r="AJ35">
        <v>-0.35509171387018734</v>
      </c>
      <c r="AK35">
        <v>-0.28300405372712345</v>
      </c>
      <c r="AL35">
        <v>-0.21249049706950934</v>
      </c>
      <c r="AM35">
        <v>-0.13846239484489606</v>
      </c>
      <c r="AN35">
        <v>-1.046494358971589E-2</v>
      </c>
      <c r="AP35">
        <f t="shared" si="2"/>
        <v>1.0000000004156873</v>
      </c>
      <c r="AQ35">
        <f t="shared" si="3"/>
        <v>1.0000000002078435</v>
      </c>
      <c r="AS35">
        <f t="shared" si="11"/>
        <v>7.2024347834727972E-4</v>
      </c>
      <c r="AT35">
        <f t="shared" si="11"/>
        <v>7.263535553967515E-2</v>
      </c>
      <c r="AU35">
        <f t="shared" si="11"/>
        <v>0.15706495925422501</v>
      </c>
      <c r="AV35">
        <f t="shared" si="11"/>
        <v>0.26906591596751195</v>
      </c>
      <c r="AW35">
        <f t="shared" si="11"/>
        <v>0.17452288325731843</v>
      </c>
      <c r="AX35">
        <f t="shared" si="11"/>
        <v>4.3164388190081004E-2</v>
      </c>
      <c r="AY35">
        <f t="shared" si="11"/>
        <v>0.35107629195292989</v>
      </c>
      <c r="AZ35">
        <f t="shared" si="11"/>
        <v>0.18310243585695388</v>
      </c>
      <c r="BA35">
        <f t="shared" si="11"/>
        <v>5.5223553497540427E-2</v>
      </c>
      <c r="BB35">
        <f t="shared" si="10"/>
        <v>-0.31963582364471133</v>
      </c>
      <c r="BC35">
        <f t="shared" si="10"/>
        <v>-4.8931001121261926E-2</v>
      </c>
      <c r="BD35">
        <f t="shared" si="10"/>
        <v>-2.4951196602291708E-2</v>
      </c>
      <c r="BE35">
        <f t="shared" si="10"/>
        <v>-0.32610688678374605</v>
      </c>
      <c r="BF35">
        <f t="shared" si="10"/>
        <v>-0.37620762203662478</v>
      </c>
      <c r="BG35">
        <f t="shared" si="10"/>
        <v>-1.7996323452511797E-3</v>
      </c>
      <c r="BH35">
        <f t="shared" si="10"/>
        <v>-6.8378598012024033E-2</v>
      </c>
      <c r="BI35">
        <f t="shared" si="10"/>
        <v>-0.11370007582261443</v>
      </c>
      <c r="BJ35">
        <f t="shared" si="10"/>
        <v>-9.125006823368248E-2</v>
      </c>
      <c r="BK35">
        <f t="shared" si="10"/>
        <v>-1.261925601346601E-2</v>
      </c>
      <c r="BL35">
        <f t="shared" si="12"/>
        <v>2.9688000183402417E-2</v>
      </c>
      <c r="BM35">
        <f t="shared" si="12"/>
        <v>-4.1823285227578291E-3</v>
      </c>
      <c r="BN35">
        <f t="shared" si="12"/>
        <v>1.5802785297661267E-2</v>
      </c>
      <c r="BO35">
        <f t="shared" si="12"/>
        <v>-1.152016620582705E-2</v>
      </c>
      <c r="BP35">
        <f t="shared" si="12"/>
        <v>-7.5114246921905688E-3</v>
      </c>
      <c r="BQ35">
        <f t="shared" si="12"/>
        <v>-2.0012642115705297E-2</v>
      </c>
      <c r="BR35">
        <f t="shared" si="12"/>
        <v>-3.4393150430249127E-3</v>
      </c>
      <c r="BS35">
        <f t="shared" si="12"/>
        <v>6.8141362561558338E-2</v>
      </c>
      <c r="BT35">
        <f t="shared" si="12"/>
        <v>2.7248893794442389E-3</v>
      </c>
      <c r="BU35">
        <f t="shared" si="12"/>
        <v>-1.2749865797936372E-2</v>
      </c>
      <c r="BV35">
        <f t="shared" si="12"/>
        <v>-2.2515955542175631E-2</v>
      </c>
      <c r="BW35">
        <f t="shared" si="13"/>
        <v>-5.5465568756172784E-2</v>
      </c>
      <c r="BX35">
        <f t="shared" si="13"/>
        <v>5.4246337890332241E-3</v>
      </c>
      <c r="BY35">
        <f t="shared" si="13"/>
        <v>-1.7200272488321809E-2</v>
      </c>
      <c r="BZ35">
        <f t="shared" si="13"/>
        <v>-0.21275459816811698</v>
      </c>
      <c r="CA35">
        <f t="shared" si="13"/>
        <v>-0.35509171379638382</v>
      </c>
      <c r="CB35">
        <f t="shared" si="13"/>
        <v>-0.28300405366830289</v>
      </c>
      <c r="CC35">
        <f t="shared" si="13"/>
        <v>-0.21249049702534456</v>
      </c>
      <c r="CD35">
        <f t="shared" si="13"/>
        <v>-0.13846239481611755</v>
      </c>
      <c r="CE35">
        <f t="shared" si="13"/>
        <v>-1.0464943587540819E-2</v>
      </c>
      <c r="CG35">
        <f t="shared" si="5"/>
        <v>1.0000000000000002</v>
      </c>
      <c r="CH35">
        <f t="shared" si="6"/>
        <v>1</v>
      </c>
      <c r="CJ35">
        <f t="shared" si="7"/>
        <v>-0.21170354305557426</v>
      </c>
    </row>
    <row r="36" spans="1:88" x14ac:dyDescent="0.25">
      <c r="A36" t="s">
        <v>37</v>
      </c>
      <c r="B36">
        <v>7.2024347849697769E-4</v>
      </c>
      <c r="C36">
        <v>7.2635355554771935E-2</v>
      </c>
      <c r="D36">
        <v>0.15706495928686995</v>
      </c>
      <c r="E36">
        <v>0.26906591602343555</v>
      </c>
      <c r="F36">
        <v>0.17452288329359189</v>
      </c>
      <c r="G36">
        <v>4.3164388199052446E-2</v>
      </c>
      <c r="H36">
        <v>0.3510762920258988</v>
      </c>
      <c r="I36">
        <v>0.18310243589501052</v>
      </c>
      <c r="J36">
        <v>5.5223553509018287E-2</v>
      </c>
      <c r="K36">
        <v>-0.31963582371114557</v>
      </c>
      <c r="L36">
        <v>-4.8931001131431916E-2</v>
      </c>
      <c r="M36">
        <v>-2.4951196607477653E-2</v>
      </c>
      <c r="N36">
        <v>-0.32610688685152528</v>
      </c>
      <c r="O36">
        <v>-0.37620762211481712</v>
      </c>
      <c r="P36">
        <v>-1.7996323456252216E-3</v>
      </c>
      <c r="Q36">
        <v>-6.8378598026236082E-2</v>
      </c>
      <c r="R36">
        <v>-0.11370007584624625</v>
      </c>
      <c r="S36">
        <v>-9.1250068252648212E-2</v>
      </c>
      <c r="T36">
        <v>-1.2619256016088841E-2</v>
      </c>
      <c r="U36">
        <v>2.9688000189572877E-2</v>
      </c>
      <c r="V36">
        <v>-4.1823285236270991E-3</v>
      </c>
      <c r="W36">
        <v>1.5802785300945775E-2</v>
      </c>
      <c r="X36">
        <v>-1.1520166208221442E-2</v>
      </c>
      <c r="Y36">
        <v>-7.5114246937517696E-3</v>
      </c>
      <c r="Z36">
        <v>-2.0012642119864796E-2</v>
      </c>
      <c r="AA36">
        <v>-3.4393150437397519E-3</v>
      </c>
      <c r="AB36">
        <v>6.8141362575721079E-2</v>
      </c>
      <c r="AC36">
        <v>2.7248893800105897E-3</v>
      </c>
      <c r="AD36">
        <v>-1.274986580058635E-2</v>
      </c>
      <c r="AE36">
        <v>-2.2515955546855426E-2</v>
      </c>
      <c r="AF36">
        <v>-5.5465568767700944E-2</v>
      </c>
      <c r="AG36">
        <v>5.4246337901606989E-3</v>
      </c>
      <c r="AH36">
        <v>-1.7200272491896776E-2</v>
      </c>
      <c r="AI36">
        <v>-0.21275459821233664</v>
      </c>
      <c r="AJ36">
        <v>-0.35509171387018734</v>
      </c>
      <c r="AK36">
        <v>-0.28300405372712345</v>
      </c>
      <c r="AL36">
        <v>-0.21249049706950934</v>
      </c>
      <c r="AM36">
        <v>-0.13846239484489606</v>
      </c>
      <c r="AN36">
        <v>-1.046494358971589E-2</v>
      </c>
      <c r="AP36">
        <f t="shared" si="2"/>
        <v>1.0000000004156873</v>
      </c>
      <c r="AQ36">
        <f t="shared" si="3"/>
        <v>1.0000000002078435</v>
      </c>
      <c r="AS36">
        <f t="shared" si="11"/>
        <v>7.2024347834727972E-4</v>
      </c>
      <c r="AT36">
        <f t="shared" si="11"/>
        <v>7.263535553967515E-2</v>
      </c>
      <c r="AU36">
        <f t="shared" si="11"/>
        <v>0.15706495925422501</v>
      </c>
      <c r="AV36">
        <f t="shared" si="11"/>
        <v>0.26906591596751195</v>
      </c>
      <c r="AW36">
        <f t="shared" si="11"/>
        <v>0.17452288325731843</v>
      </c>
      <c r="AX36">
        <f t="shared" si="11"/>
        <v>4.3164388190081004E-2</v>
      </c>
      <c r="AY36">
        <f t="shared" si="11"/>
        <v>0.35107629195292989</v>
      </c>
      <c r="AZ36">
        <f t="shared" si="11"/>
        <v>0.18310243585695388</v>
      </c>
      <c r="BA36">
        <f t="shared" si="11"/>
        <v>5.5223553497540427E-2</v>
      </c>
      <c r="BB36">
        <f t="shared" si="10"/>
        <v>-0.31963582364471133</v>
      </c>
      <c r="BC36">
        <f t="shared" si="10"/>
        <v>-4.8931001121261926E-2</v>
      </c>
      <c r="BD36">
        <f t="shared" si="10"/>
        <v>-2.4951196602291708E-2</v>
      </c>
      <c r="BE36">
        <f t="shared" si="10"/>
        <v>-0.32610688678374605</v>
      </c>
      <c r="BF36">
        <f t="shared" si="10"/>
        <v>-0.37620762203662478</v>
      </c>
      <c r="BG36">
        <f t="shared" si="10"/>
        <v>-1.7996323452511797E-3</v>
      </c>
      <c r="BH36">
        <f t="shared" si="10"/>
        <v>-6.8378598012024033E-2</v>
      </c>
      <c r="BI36">
        <f t="shared" si="10"/>
        <v>-0.11370007582261443</v>
      </c>
      <c r="BJ36">
        <f t="shared" si="10"/>
        <v>-9.125006823368248E-2</v>
      </c>
      <c r="BK36">
        <f t="shared" si="10"/>
        <v>-1.261925601346601E-2</v>
      </c>
      <c r="BL36">
        <f t="shared" si="12"/>
        <v>2.9688000183402417E-2</v>
      </c>
      <c r="BM36">
        <f t="shared" si="12"/>
        <v>-4.1823285227578291E-3</v>
      </c>
      <c r="BN36">
        <f t="shared" si="12"/>
        <v>1.5802785297661267E-2</v>
      </c>
      <c r="BO36">
        <f t="shared" si="12"/>
        <v>-1.152016620582705E-2</v>
      </c>
      <c r="BP36">
        <f t="shared" si="12"/>
        <v>-7.5114246921905688E-3</v>
      </c>
      <c r="BQ36">
        <f t="shared" si="12"/>
        <v>-2.0012642115705297E-2</v>
      </c>
      <c r="BR36">
        <f t="shared" si="12"/>
        <v>-3.4393150430249127E-3</v>
      </c>
      <c r="BS36">
        <f t="shared" si="12"/>
        <v>6.8141362561558338E-2</v>
      </c>
      <c r="BT36">
        <f t="shared" si="12"/>
        <v>2.7248893794442389E-3</v>
      </c>
      <c r="BU36">
        <f t="shared" si="12"/>
        <v>-1.2749865797936372E-2</v>
      </c>
      <c r="BV36">
        <f t="shared" si="12"/>
        <v>-2.2515955542175631E-2</v>
      </c>
      <c r="BW36">
        <f t="shared" si="13"/>
        <v>-5.5465568756172784E-2</v>
      </c>
      <c r="BX36">
        <f t="shared" si="13"/>
        <v>5.4246337890332241E-3</v>
      </c>
      <c r="BY36">
        <f t="shared" si="13"/>
        <v>-1.7200272488321809E-2</v>
      </c>
      <c r="BZ36">
        <f t="shared" si="13"/>
        <v>-0.21275459816811698</v>
      </c>
      <c r="CA36">
        <f t="shared" si="13"/>
        <v>-0.35509171379638382</v>
      </c>
      <c r="CB36">
        <f t="shared" si="13"/>
        <v>-0.28300405366830289</v>
      </c>
      <c r="CC36">
        <f t="shared" si="13"/>
        <v>-0.21249049702534456</v>
      </c>
      <c r="CD36">
        <f t="shared" si="13"/>
        <v>-0.13846239481611755</v>
      </c>
      <c r="CE36">
        <f t="shared" si="13"/>
        <v>-1.0464943587540819E-2</v>
      </c>
      <c r="CG36">
        <f t="shared" si="5"/>
        <v>1.0000000000000002</v>
      </c>
      <c r="CH36">
        <f t="shared" si="6"/>
        <v>1</v>
      </c>
      <c r="CJ36">
        <f t="shared" si="7"/>
        <v>-0.21170354305557426</v>
      </c>
    </row>
    <row r="37" spans="1:88" x14ac:dyDescent="0.25">
      <c r="A37" t="s">
        <v>38</v>
      </c>
      <c r="B37">
        <v>7.2024347849697769E-4</v>
      </c>
      <c r="C37">
        <v>7.2635355554771935E-2</v>
      </c>
      <c r="D37">
        <v>0.15706495928686995</v>
      </c>
      <c r="E37">
        <v>0.26906591602343555</v>
      </c>
      <c r="F37">
        <v>0.17452288329359189</v>
      </c>
      <c r="G37">
        <v>4.3164388199052446E-2</v>
      </c>
      <c r="H37">
        <v>0.3510762920258988</v>
      </c>
      <c r="I37">
        <v>0.18310243589501052</v>
      </c>
      <c r="J37">
        <v>5.5223553509018287E-2</v>
      </c>
      <c r="K37">
        <v>-0.31963582371114557</v>
      </c>
      <c r="L37">
        <v>-4.8931001131431916E-2</v>
      </c>
      <c r="M37">
        <v>-2.4951196607477653E-2</v>
      </c>
      <c r="N37">
        <v>-0.32610688685152528</v>
      </c>
      <c r="O37">
        <v>-0.37620762211481712</v>
      </c>
      <c r="P37">
        <v>-1.7996323456252216E-3</v>
      </c>
      <c r="Q37">
        <v>-6.8378598026236082E-2</v>
      </c>
      <c r="R37">
        <v>-0.11370007584624625</v>
      </c>
      <c r="S37">
        <v>-9.1250068252648212E-2</v>
      </c>
      <c r="T37">
        <v>-1.2619256016088841E-2</v>
      </c>
      <c r="U37">
        <v>2.9688000189572877E-2</v>
      </c>
      <c r="V37">
        <v>-4.1823285236270991E-3</v>
      </c>
      <c r="W37">
        <v>1.5802785300945775E-2</v>
      </c>
      <c r="X37">
        <v>-1.1520166208221442E-2</v>
      </c>
      <c r="Y37">
        <v>-7.5114246937517696E-3</v>
      </c>
      <c r="Z37">
        <v>-2.0012642119864796E-2</v>
      </c>
      <c r="AA37">
        <v>-3.4393150437397519E-3</v>
      </c>
      <c r="AB37">
        <v>6.8141362575721079E-2</v>
      </c>
      <c r="AC37">
        <v>2.7248893800105897E-3</v>
      </c>
      <c r="AD37">
        <v>-1.274986580058635E-2</v>
      </c>
      <c r="AE37">
        <v>-2.2515955546855426E-2</v>
      </c>
      <c r="AF37">
        <v>-5.5465568767700944E-2</v>
      </c>
      <c r="AG37">
        <v>5.4246337901606989E-3</v>
      </c>
      <c r="AH37">
        <v>-1.7200272491896776E-2</v>
      </c>
      <c r="AI37">
        <v>-0.21275459821233664</v>
      </c>
      <c r="AJ37">
        <v>-0.35509171387018734</v>
      </c>
      <c r="AK37">
        <v>-0.28300405372712345</v>
      </c>
      <c r="AL37">
        <v>-0.21249049706950934</v>
      </c>
      <c r="AM37">
        <v>-0.13846239484489606</v>
      </c>
      <c r="AN37">
        <v>-1.046494358971589E-2</v>
      </c>
      <c r="AP37">
        <f t="shared" si="2"/>
        <v>1.0000000004156873</v>
      </c>
      <c r="AQ37">
        <f t="shared" si="3"/>
        <v>1.0000000002078435</v>
      </c>
      <c r="AS37">
        <f t="shared" si="11"/>
        <v>7.2024347834727972E-4</v>
      </c>
      <c r="AT37">
        <f t="shared" si="11"/>
        <v>7.263535553967515E-2</v>
      </c>
      <c r="AU37">
        <f t="shared" si="11"/>
        <v>0.15706495925422501</v>
      </c>
      <c r="AV37">
        <f t="shared" si="11"/>
        <v>0.26906591596751195</v>
      </c>
      <c r="AW37">
        <f t="shared" si="11"/>
        <v>0.17452288325731843</v>
      </c>
      <c r="AX37">
        <f t="shared" si="11"/>
        <v>4.3164388190081004E-2</v>
      </c>
      <c r="AY37">
        <f t="shared" si="11"/>
        <v>0.35107629195292989</v>
      </c>
      <c r="AZ37">
        <f t="shared" si="11"/>
        <v>0.18310243585695388</v>
      </c>
      <c r="BA37">
        <f t="shared" si="11"/>
        <v>5.5223553497540427E-2</v>
      </c>
      <c r="BB37">
        <f t="shared" si="10"/>
        <v>-0.31963582364471133</v>
      </c>
      <c r="BC37">
        <f t="shared" si="10"/>
        <v>-4.8931001121261926E-2</v>
      </c>
      <c r="BD37">
        <f t="shared" si="10"/>
        <v>-2.4951196602291708E-2</v>
      </c>
      <c r="BE37">
        <f t="shared" si="10"/>
        <v>-0.32610688678374605</v>
      </c>
      <c r="BF37">
        <f t="shared" si="10"/>
        <v>-0.37620762203662478</v>
      </c>
      <c r="BG37">
        <f t="shared" si="10"/>
        <v>-1.7996323452511797E-3</v>
      </c>
      <c r="BH37">
        <f t="shared" si="10"/>
        <v>-6.8378598012024033E-2</v>
      </c>
      <c r="BI37">
        <f t="shared" si="10"/>
        <v>-0.11370007582261443</v>
      </c>
      <c r="BJ37">
        <f t="shared" si="10"/>
        <v>-9.125006823368248E-2</v>
      </c>
      <c r="BK37">
        <f t="shared" si="10"/>
        <v>-1.261925601346601E-2</v>
      </c>
      <c r="BL37">
        <f t="shared" si="12"/>
        <v>2.9688000183402417E-2</v>
      </c>
      <c r="BM37">
        <f t="shared" si="12"/>
        <v>-4.1823285227578291E-3</v>
      </c>
      <c r="BN37">
        <f t="shared" si="12"/>
        <v>1.5802785297661267E-2</v>
      </c>
      <c r="BO37">
        <f t="shared" si="12"/>
        <v>-1.152016620582705E-2</v>
      </c>
      <c r="BP37">
        <f t="shared" si="12"/>
        <v>-7.5114246921905688E-3</v>
      </c>
      <c r="BQ37">
        <f t="shared" si="12"/>
        <v>-2.0012642115705297E-2</v>
      </c>
      <c r="BR37">
        <f t="shared" si="12"/>
        <v>-3.4393150430249127E-3</v>
      </c>
      <c r="BS37">
        <f t="shared" si="12"/>
        <v>6.8141362561558338E-2</v>
      </c>
      <c r="BT37">
        <f t="shared" si="12"/>
        <v>2.7248893794442389E-3</v>
      </c>
      <c r="BU37">
        <f t="shared" si="12"/>
        <v>-1.2749865797936372E-2</v>
      </c>
      <c r="BV37">
        <f t="shared" si="12"/>
        <v>-2.2515955542175631E-2</v>
      </c>
      <c r="BW37">
        <f t="shared" si="13"/>
        <v>-5.5465568756172784E-2</v>
      </c>
      <c r="BX37">
        <f t="shared" si="13"/>
        <v>5.4246337890332241E-3</v>
      </c>
      <c r="BY37">
        <f t="shared" si="13"/>
        <v>-1.7200272488321809E-2</v>
      </c>
      <c r="BZ37">
        <f t="shared" si="13"/>
        <v>-0.21275459816811698</v>
      </c>
      <c r="CA37">
        <f t="shared" si="13"/>
        <v>-0.35509171379638382</v>
      </c>
      <c r="CB37">
        <f t="shared" si="13"/>
        <v>-0.28300405366830289</v>
      </c>
      <c r="CC37">
        <f t="shared" si="13"/>
        <v>-0.21249049702534456</v>
      </c>
      <c r="CD37">
        <f t="shared" si="13"/>
        <v>-0.13846239481611755</v>
      </c>
      <c r="CE37">
        <f t="shared" si="13"/>
        <v>-1.0464943587540819E-2</v>
      </c>
      <c r="CG37">
        <f t="shared" si="5"/>
        <v>1.0000000000000002</v>
      </c>
      <c r="CH37">
        <f t="shared" si="6"/>
        <v>1</v>
      </c>
      <c r="CJ37">
        <f t="shared" si="7"/>
        <v>-0.21170354305557426</v>
      </c>
    </row>
    <row r="38" spans="1:88" x14ac:dyDescent="0.25">
      <c r="A38" t="s">
        <v>39</v>
      </c>
      <c r="B38">
        <v>7.2024347849697769E-4</v>
      </c>
      <c r="C38">
        <v>7.2635355554771935E-2</v>
      </c>
      <c r="D38">
        <v>0.15706495928686995</v>
      </c>
      <c r="E38">
        <v>0.26906591602343555</v>
      </c>
      <c r="F38">
        <v>0.17452288329359189</v>
      </c>
      <c r="G38">
        <v>4.3164388199052446E-2</v>
      </c>
      <c r="H38">
        <v>0.3510762920258988</v>
      </c>
      <c r="I38">
        <v>0.18310243589501052</v>
      </c>
      <c r="J38">
        <v>5.5223553509018287E-2</v>
      </c>
      <c r="K38">
        <v>-0.31963582371114557</v>
      </c>
      <c r="L38">
        <v>-4.8931001131431916E-2</v>
      </c>
      <c r="M38">
        <v>-2.4951196607477653E-2</v>
      </c>
      <c r="N38">
        <v>-0.32610688685152528</v>
      </c>
      <c r="O38">
        <v>-0.37620762211481712</v>
      </c>
      <c r="P38">
        <v>-1.7996323456252216E-3</v>
      </c>
      <c r="Q38">
        <v>-6.8378598026236082E-2</v>
      </c>
      <c r="R38">
        <v>-0.11370007584624625</v>
      </c>
      <c r="S38">
        <v>-9.1250068252648212E-2</v>
      </c>
      <c r="T38">
        <v>-1.2619256016088841E-2</v>
      </c>
      <c r="U38">
        <v>2.9688000189572877E-2</v>
      </c>
      <c r="V38">
        <v>-4.1823285236270991E-3</v>
      </c>
      <c r="W38">
        <v>1.5802785300945775E-2</v>
      </c>
      <c r="X38">
        <v>-1.1520166208221442E-2</v>
      </c>
      <c r="Y38">
        <v>-7.5114246937517696E-3</v>
      </c>
      <c r="Z38">
        <v>-2.0012642119864796E-2</v>
      </c>
      <c r="AA38">
        <v>-3.4393150437397519E-3</v>
      </c>
      <c r="AB38">
        <v>6.8141362575721079E-2</v>
      </c>
      <c r="AC38">
        <v>2.7248893800105897E-3</v>
      </c>
      <c r="AD38">
        <v>-1.274986580058635E-2</v>
      </c>
      <c r="AE38">
        <v>-2.2515955546855426E-2</v>
      </c>
      <c r="AF38">
        <v>-5.5465568767700944E-2</v>
      </c>
      <c r="AG38">
        <v>5.4246337901606989E-3</v>
      </c>
      <c r="AH38">
        <v>-1.7200272491896776E-2</v>
      </c>
      <c r="AI38">
        <v>-0.21275459821233664</v>
      </c>
      <c r="AJ38">
        <v>-0.35509171387018734</v>
      </c>
      <c r="AK38">
        <v>-0.28300405372712345</v>
      </c>
      <c r="AL38">
        <v>-0.21249049706950934</v>
      </c>
      <c r="AM38">
        <v>-0.13846239484489606</v>
      </c>
      <c r="AN38">
        <v>-1.046494358971589E-2</v>
      </c>
      <c r="AP38">
        <f t="shared" si="2"/>
        <v>1.0000000004156873</v>
      </c>
      <c r="AQ38">
        <f t="shared" si="3"/>
        <v>1.0000000002078435</v>
      </c>
      <c r="AS38">
        <f t="shared" si="11"/>
        <v>7.2024347834727972E-4</v>
      </c>
      <c r="AT38">
        <f t="shared" si="11"/>
        <v>7.263535553967515E-2</v>
      </c>
      <c r="AU38">
        <f t="shared" si="11"/>
        <v>0.15706495925422501</v>
      </c>
      <c r="AV38">
        <f t="shared" si="11"/>
        <v>0.26906591596751195</v>
      </c>
      <c r="AW38">
        <f t="shared" si="11"/>
        <v>0.17452288325731843</v>
      </c>
      <c r="AX38">
        <f t="shared" si="11"/>
        <v>4.3164388190081004E-2</v>
      </c>
      <c r="AY38">
        <f t="shared" si="11"/>
        <v>0.35107629195292989</v>
      </c>
      <c r="AZ38">
        <f t="shared" si="11"/>
        <v>0.18310243585695388</v>
      </c>
      <c r="BA38">
        <f t="shared" si="11"/>
        <v>5.5223553497540427E-2</v>
      </c>
      <c r="BB38">
        <f t="shared" si="10"/>
        <v>-0.31963582364471133</v>
      </c>
      <c r="BC38">
        <f t="shared" si="10"/>
        <v>-4.8931001121261926E-2</v>
      </c>
      <c r="BD38">
        <f t="shared" si="10"/>
        <v>-2.4951196602291708E-2</v>
      </c>
      <c r="BE38">
        <f t="shared" si="10"/>
        <v>-0.32610688678374605</v>
      </c>
      <c r="BF38">
        <f t="shared" si="10"/>
        <v>-0.37620762203662478</v>
      </c>
      <c r="BG38">
        <f t="shared" si="10"/>
        <v>-1.7996323452511797E-3</v>
      </c>
      <c r="BH38">
        <f t="shared" si="10"/>
        <v>-6.8378598012024033E-2</v>
      </c>
      <c r="BI38">
        <f t="shared" si="10"/>
        <v>-0.11370007582261443</v>
      </c>
      <c r="BJ38">
        <f t="shared" si="10"/>
        <v>-9.125006823368248E-2</v>
      </c>
      <c r="BK38">
        <f t="shared" si="10"/>
        <v>-1.261925601346601E-2</v>
      </c>
      <c r="BL38">
        <f t="shared" si="12"/>
        <v>2.9688000183402417E-2</v>
      </c>
      <c r="BM38">
        <f t="shared" si="12"/>
        <v>-4.1823285227578291E-3</v>
      </c>
      <c r="BN38">
        <f t="shared" si="12"/>
        <v>1.5802785297661267E-2</v>
      </c>
      <c r="BO38">
        <f t="shared" si="12"/>
        <v>-1.152016620582705E-2</v>
      </c>
      <c r="BP38">
        <f t="shared" si="12"/>
        <v>-7.5114246921905688E-3</v>
      </c>
      <c r="BQ38">
        <f t="shared" si="12"/>
        <v>-2.0012642115705297E-2</v>
      </c>
      <c r="BR38">
        <f t="shared" si="12"/>
        <v>-3.4393150430249127E-3</v>
      </c>
      <c r="BS38">
        <f t="shared" si="12"/>
        <v>6.8141362561558338E-2</v>
      </c>
      <c r="BT38">
        <f t="shared" si="12"/>
        <v>2.7248893794442389E-3</v>
      </c>
      <c r="BU38">
        <f t="shared" si="12"/>
        <v>-1.2749865797936372E-2</v>
      </c>
      <c r="BV38">
        <f t="shared" si="12"/>
        <v>-2.2515955542175631E-2</v>
      </c>
      <c r="BW38">
        <f t="shared" si="13"/>
        <v>-5.5465568756172784E-2</v>
      </c>
      <c r="BX38">
        <f t="shared" si="13"/>
        <v>5.4246337890332241E-3</v>
      </c>
      <c r="BY38">
        <f t="shared" si="13"/>
        <v>-1.7200272488321809E-2</v>
      </c>
      <c r="BZ38">
        <f t="shared" si="13"/>
        <v>-0.21275459816811698</v>
      </c>
      <c r="CA38">
        <f t="shared" si="13"/>
        <v>-0.35509171379638382</v>
      </c>
      <c r="CB38">
        <f t="shared" si="13"/>
        <v>-0.28300405366830289</v>
      </c>
      <c r="CC38">
        <f t="shared" si="13"/>
        <v>-0.21249049702534456</v>
      </c>
      <c r="CD38">
        <f t="shared" si="13"/>
        <v>-0.13846239481611755</v>
      </c>
      <c r="CE38">
        <f t="shared" si="13"/>
        <v>-1.0464943587540819E-2</v>
      </c>
      <c r="CG38">
        <f t="shared" si="5"/>
        <v>1.0000000000000002</v>
      </c>
      <c r="CH38">
        <f t="shared" si="6"/>
        <v>1</v>
      </c>
      <c r="CJ38">
        <f t="shared" si="7"/>
        <v>-0.21170354305557426</v>
      </c>
    </row>
    <row r="39" spans="1:88" x14ac:dyDescent="0.25">
      <c r="A39" t="s">
        <v>40</v>
      </c>
      <c r="B39">
        <v>7.2024347849697769E-4</v>
      </c>
      <c r="C39">
        <v>7.2635355554771935E-2</v>
      </c>
      <c r="D39">
        <v>0.15706495928686995</v>
      </c>
      <c r="E39">
        <v>0.26906591602343555</v>
      </c>
      <c r="F39">
        <v>0.17452288329359189</v>
      </c>
      <c r="G39">
        <v>4.3164388199052446E-2</v>
      </c>
      <c r="H39">
        <v>0.3510762920258988</v>
      </c>
      <c r="I39">
        <v>0.18310243589501052</v>
      </c>
      <c r="J39">
        <v>5.5223553509018287E-2</v>
      </c>
      <c r="K39">
        <v>-0.31963582371114557</v>
      </c>
      <c r="L39">
        <v>-4.8931001131431916E-2</v>
      </c>
      <c r="M39">
        <v>-2.4951196607477653E-2</v>
      </c>
      <c r="N39">
        <v>-0.32610688685152528</v>
      </c>
      <c r="O39">
        <v>-0.37620762211481712</v>
      </c>
      <c r="P39">
        <v>-1.7996323456252216E-3</v>
      </c>
      <c r="Q39">
        <v>-6.8378598026236082E-2</v>
      </c>
      <c r="R39">
        <v>-0.11370007584624625</v>
      </c>
      <c r="S39">
        <v>-9.1250068252648212E-2</v>
      </c>
      <c r="T39">
        <v>-1.2619256016088841E-2</v>
      </c>
      <c r="U39">
        <v>2.9688000189572877E-2</v>
      </c>
      <c r="V39">
        <v>-4.1823285236270991E-3</v>
      </c>
      <c r="W39">
        <v>1.5802785300945775E-2</v>
      </c>
      <c r="X39">
        <v>-1.1520166208221442E-2</v>
      </c>
      <c r="Y39">
        <v>-7.5114246937517696E-3</v>
      </c>
      <c r="Z39">
        <v>-2.0012642119864796E-2</v>
      </c>
      <c r="AA39">
        <v>-3.4393150437397519E-3</v>
      </c>
      <c r="AB39">
        <v>6.8141362575721079E-2</v>
      </c>
      <c r="AC39">
        <v>2.7248893800105897E-3</v>
      </c>
      <c r="AD39">
        <v>-1.274986580058635E-2</v>
      </c>
      <c r="AE39">
        <v>-2.2515955546855426E-2</v>
      </c>
      <c r="AF39">
        <v>-5.5465568767700944E-2</v>
      </c>
      <c r="AG39">
        <v>5.4246337901606989E-3</v>
      </c>
      <c r="AH39">
        <v>-1.7200272491896776E-2</v>
      </c>
      <c r="AI39">
        <v>-0.21275459821233664</v>
      </c>
      <c r="AJ39">
        <v>-0.35509171387018734</v>
      </c>
      <c r="AK39">
        <v>-0.28300405372712345</v>
      </c>
      <c r="AL39">
        <v>-0.21249049706950934</v>
      </c>
      <c r="AM39">
        <v>-0.13846239484489606</v>
      </c>
      <c r="AN39">
        <v>-1.046494358971589E-2</v>
      </c>
      <c r="AP39">
        <f t="shared" si="2"/>
        <v>1.0000000004156873</v>
      </c>
      <c r="AQ39">
        <f t="shared" si="3"/>
        <v>1.0000000002078435</v>
      </c>
      <c r="AS39">
        <f t="shared" si="11"/>
        <v>7.2024347834727972E-4</v>
      </c>
      <c r="AT39">
        <f t="shared" si="11"/>
        <v>7.263535553967515E-2</v>
      </c>
      <c r="AU39">
        <f t="shared" si="11"/>
        <v>0.15706495925422501</v>
      </c>
      <c r="AV39">
        <f t="shared" si="11"/>
        <v>0.26906591596751195</v>
      </c>
      <c r="AW39">
        <f t="shared" si="11"/>
        <v>0.17452288325731843</v>
      </c>
      <c r="AX39">
        <f t="shared" si="11"/>
        <v>4.3164388190081004E-2</v>
      </c>
      <c r="AY39">
        <f t="shared" si="11"/>
        <v>0.35107629195292989</v>
      </c>
      <c r="AZ39">
        <f t="shared" si="11"/>
        <v>0.18310243585695388</v>
      </c>
      <c r="BA39">
        <f t="shared" si="11"/>
        <v>5.5223553497540427E-2</v>
      </c>
      <c r="BB39">
        <f t="shared" si="10"/>
        <v>-0.31963582364471133</v>
      </c>
      <c r="BC39">
        <f t="shared" si="10"/>
        <v>-4.8931001121261926E-2</v>
      </c>
      <c r="BD39">
        <f t="shared" si="10"/>
        <v>-2.4951196602291708E-2</v>
      </c>
      <c r="BE39">
        <f t="shared" si="10"/>
        <v>-0.32610688678374605</v>
      </c>
      <c r="BF39">
        <f t="shared" si="10"/>
        <v>-0.37620762203662478</v>
      </c>
      <c r="BG39">
        <f t="shared" si="10"/>
        <v>-1.7996323452511797E-3</v>
      </c>
      <c r="BH39">
        <f t="shared" si="10"/>
        <v>-6.8378598012024033E-2</v>
      </c>
      <c r="BI39">
        <f t="shared" si="10"/>
        <v>-0.11370007582261443</v>
      </c>
      <c r="BJ39">
        <f t="shared" si="10"/>
        <v>-9.125006823368248E-2</v>
      </c>
      <c r="BK39">
        <f t="shared" si="10"/>
        <v>-1.261925601346601E-2</v>
      </c>
      <c r="BL39">
        <f t="shared" si="12"/>
        <v>2.9688000183402417E-2</v>
      </c>
      <c r="BM39">
        <f t="shared" si="12"/>
        <v>-4.1823285227578291E-3</v>
      </c>
      <c r="BN39">
        <f t="shared" si="12"/>
        <v>1.5802785297661267E-2</v>
      </c>
      <c r="BO39">
        <f t="shared" si="12"/>
        <v>-1.152016620582705E-2</v>
      </c>
      <c r="BP39">
        <f t="shared" si="12"/>
        <v>-7.5114246921905688E-3</v>
      </c>
      <c r="BQ39">
        <f t="shared" si="12"/>
        <v>-2.0012642115705297E-2</v>
      </c>
      <c r="BR39">
        <f t="shared" si="12"/>
        <v>-3.4393150430249127E-3</v>
      </c>
      <c r="BS39">
        <f t="shared" si="12"/>
        <v>6.8141362561558338E-2</v>
      </c>
      <c r="BT39">
        <f t="shared" si="12"/>
        <v>2.7248893794442389E-3</v>
      </c>
      <c r="BU39">
        <f t="shared" si="12"/>
        <v>-1.2749865797936372E-2</v>
      </c>
      <c r="BV39">
        <f t="shared" si="12"/>
        <v>-2.2515955542175631E-2</v>
      </c>
      <c r="BW39">
        <f t="shared" si="13"/>
        <v>-5.5465568756172784E-2</v>
      </c>
      <c r="BX39">
        <f t="shared" si="13"/>
        <v>5.4246337890332241E-3</v>
      </c>
      <c r="BY39">
        <f t="shared" si="13"/>
        <v>-1.7200272488321809E-2</v>
      </c>
      <c r="BZ39">
        <f t="shared" si="13"/>
        <v>-0.21275459816811698</v>
      </c>
      <c r="CA39">
        <f t="shared" si="13"/>
        <v>-0.35509171379638382</v>
      </c>
      <c r="CB39">
        <f t="shared" si="13"/>
        <v>-0.28300405366830289</v>
      </c>
      <c r="CC39">
        <f t="shared" si="13"/>
        <v>-0.21249049702534456</v>
      </c>
      <c r="CD39">
        <f t="shared" si="13"/>
        <v>-0.13846239481611755</v>
      </c>
      <c r="CE39">
        <f t="shared" si="13"/>
        <v>-1.0464943587540819E-2</v>
      </c>
      <c r="CG39">
        <f t="shared" si="5"/>
        <v>1.0000000000000002</v>
      </c>
      <c r="CH39">
        <f t="shared" si="6"/>
        <v>1</v>
      </c>
      <c r="CJ39">
        <f t="shared" si="7"/>
        <v>-0.21170354305557426</v>
      </c>
    </row>
    <row r="40" spans="1:88" x14ac:dyDescent="0.25">
      <c r="A40" t="s">
        <v>41</v>
      </c>
      <c r="B40">
        <v>7.2024347849697769E-4</v>
      </c>
      <c r="C40">
        <v>7.2635355554771935E-2</v>
      </c>
      <c r="D40">
        <v>0.15706495928686995</v>
      </c>
      <c r="E40">
        <v>0.26906591602343555</v>
      </c>
      <c r="F40">
        <v>0.17452288329359189</v>
      </c>
      <c r="G40">
        <v>4.3164388199052446E-2</v>
      </c>
      <c r="H40">
        <v>0.3510762920258988</v>
      </c>
      <c r="I40">
        <v>0.18310243589501052</v>
      </c>
      <c r="J40">
        <v>5.5223553509018287E-2</v>
      </c>
      <c r="K40">
        <v>-0.31963582371114557</v>
      </c>
      <c r="L40">
        <v>-4.8931001131431916E-2</v>
      </c>
      <c r="M40">
        <v>-2.4951196607477653E-2</v>
      </c>
      <c r="N40">
        <v>-0.32610688685152528</v>
      </c>
      <c r="O40">
        <v>-0.37620762211481712</v>
      </c>
      <c r="P40">
        <v>-1.7996323456252216E-3</v>
      </c>
      <c r="Q40">
        <v>-6.8378598026236082E-2</v>
      </c>
      <c r="R40">
        <v>-0.11370007584624625</v>
      </c>
      <c r="S40">
        <v>-9.1250068252648212E-2</v>
      </c>
      <c r="T40">
        <v>-1.2619256016088841E-2</v>
      </c>
      <c r="U40">
        <v>2.9688000189572877E-2</v>
      </c>
      <c r="V40">
        <v>-4.1823285236270991E-3</v>
      </c>
      <c r="W40">
        <v>1.5802785300945775E-2</v>
      </c>
      <c r="X40">
        <v>-1.1520166208221442E-2</v>
      </c>
      <c r="Y40">
        <v>-7.5114246937517696E-3</v>
      </c>
      <c r="Z40">
        <v>-2.0012642119864796E-2</v>
      </c>
      <c r="AA40">
        <v>-3.4393150437397519E-3</v>
      </c>
      <c r="AB40">
        <v>6.8141362575721079E-2</v>
      </c>
      <c r="AC40">
        <v>2.7248893800105897E-3</v>
      </c>
      <c r="AD40">
        <v>-1.274986580058635E-2</v>
      </c>
      <c r="AE40">
        <v>-2.2515955546855426E-2</v>
      </c>
      <c r="AF40">
        <v>-5.5465568767700944E-2</v>
      </c>
      <c r="AG40">
        <v>5.4246337901606989E-3</v>
      </c>
      <c r="AH40">
        <v>-1.7200272491896776E-2</v>
      </c>
      <c r="AI40">
        <v>-0.21275459821233664</v>
      </c>
      <c r="AJ40">
        <v>-0.35509171387018734</v>
      </c>
      <c r="AK40">
        <v>-0.28300405372712345</v>
      </c>
      <c r="AL40">
        <v>-0.21249049706950934</v>
      </c>
      <c r="AM40">
        <v>-0.13846239484489606</v>
      </c>
      <c r="AN40">
        <v>-1.046494358971589E-2</v>
      </c>
      <c r="AP40">
        <f t="shared" si="2"/>
        <v>1.0000000004156873</v>
      </c>
      <c r="AQ40">
        <f t="shared" si="3"/>
        <v>1.0000000002078435</v>
      </c>
      <c r="AS40">
        <f t="shared" si="11"/>
        <v>7.2024347834727972E-4</v>
      </c>
      <c r="AT40">
        <f t="shared" si="11"/>
        <v>7.263535553967515E-2</v>
      </c>
      <c r="AU40">
        <f t="shared" si="11"/>
        <v>0.15706495925422501</v>
      </c>
      <c r="AV40">
        <f t="shared" si="11"/>
        <v>0.26906591596751195</v>
      </c>
      <c r="AW40">
        <f t="shared" si="11"/>
        <v>0.17452288325731843</v>
      </c>
      <c r="AX40">
        <f t="shared" si="11"/>
        <v>4.3164388190081004E-2</v>
      </c>
      <c r="AY40">
        <f t="shared" si="11"/>
        <v>0.35107629195292989</v>
      </c>
      <c r="AZ40">
        <f t="shared" si="11"/>
        <v>0.18310243585695388</v>
      </c>
      <c r="BA40">
        <f t="shared" si="11"/>
        <v>5.5223553497540427E-2</v>
      </c>
      <c r="BB40">
        <f t="shared" si="10"/>
        <v>-0.31963582364471133</v>
      </c>
      <c r="BC40">
        <f t="shared" si="10"/>
        <v>-4.8931001121261926E-2</v>
      </c>
      <c r="BD40">
        <f t="shared" si="10"/>
        <v>-2.4951196602291708E-2</v>
      </c>
      <c r="BE40">
        <f t="shared" si="10"/>
        <v>-0.32610688678374605</v>
      </c>
      <c r="BF40">
        <f t="shared" si="10"/>
        <v>-0.37620762203662478</v>
      </c>
      <c r="BG40">
        <f t="shared" si="10"/>
        <v>-1.7996323452511797E-3</v>
      </c>
      <c r="BH40">
        <f t="shared" si="10"/>
        <v>-6.8378598012024033E-2</v>
      </c>
      <c r="BI40">
        <f t="shared" si="10"/>
        <v>-0.11370007582261443</v>
      </c>
      <c r="BJ40">
        <f t="shared" si="10"/>
        <v>-9.125006823368248E-2</v>
      </c>
      <c r="BK40">
        <f t="shared" si="10"/>
        <v>-1.261925601346601E-2</v>
      </c>
      <c r="BL40">
        <f t="shared" si="12"/>
        <v>2.9688000183402417E-2</v>
      </c>
      <c r="BM40">
        <f t="shared" si="12"/>
        <v>-4.1823285227578291E-3</v>
      </c>
      <c r="BN40">
        <f t="shared" si="12"/>
        <v>1.5802785297661267E-2</v>
      </c>
      <c r="BO40">
        <f t="shared" si="12"/>
        <v>-1.152016620582705E-2</v>
      </c>
      <c r="BP40">
        <f t="shared" si="12"/>
        <v>-7.5114246921905688E-3</v>
      </c>
      <c r="BQ40">
        <f t="shared" si="12"/>
        <v>-2.0012642115705297E-2</v>
      </c>
      <c r="BR40">
        <f t="shared" si="12"/>
        <v>-3.4393150430249127E-3</v>
      </c>
      <c r="BS40">
        <f t="shared" si="12"/>
        <v>6.8141362561558338E-2</v>
      </c>
      <c r="BT40">
        <f t="shared" si="12"/>
        <v>2.7248893794442389E-3</v>
      </c>
      <c r="BU40">
        <f t="shared" si="12"/>
        <v>-1.2749865797936372E-2</v>
      </c>
      <c r="BV40">
        <f t="shared" si="12"/>
        <v>-2.2515955542175631E-2</v>
      </c>
      <c r="BW40">
        <f t="shared" si="13"/>
        <v>-5.5465568756172784E-2</v>
      </c>
      <c r="BX40">
        <f t="shared" si="13"/>
        <v>5.4246337890332241E-3</v>
      </c>
      <c r="BY40">
        <f t="shared" si="13"/>
        <v>-1.7200272488321809E-2</v>
      </c>
      <c r="BZ40">
        <f t="shared" si="13"/>
        <v>-0.21275459816811698</v>
      </c>
      <c r="CA40">
        <f t="shared" si="13"/>
        <v>-0.35509171379638382</v>
      </c>
      <c r="CB40">
        <f t="shared" si="13"/>
        <v>-0.28300405366830289</v>
      </c>
      <c r="CC40">
        <f t="shared" si="13"/>
        <v>-0.21249049702534456</v>
      </c>
      <c r="CD40">
        <f t="shared" si="13"/>
        <v>-0.13846239481611755</v>
      </c>
      <c r="CE40">
        <f t="shared" si="13"/>
        <v>-1.0464943587540819E-2</v>
      </c>
      <c r="CG40">
        <f t="shared" si="5"/>
        <v>1.0000000000000002</v>
      </c>
      <c r="CH40">
        <f t="shared" si="6"/>
        <v>1</v>
      </c>
      <c r="CJ40">
        <f t="shared" si="7"/>
        <v>-0.21170354305557426</v>
      </c>
    </row>
    <row r="41" spans="1:88" ht="14.4" x14ac:dyDescent="0.3">
      <c r="A41" t="s">
        <v>42</v>
      </c>
      <c r="B41" s="6">
        <v>1.2302480046003587E-2</v>
      </c>
      <c r="C41" s="6">
        <v>1.7436115744460502E-2</v>
      </c>
      <c r="D41" s="6">
        <v>4.1574886424874891E-2</v>
      </c>
      <c r="E41" s="6">
        <v>2.3134786866625422E-2</v>
      </c>
      <c r="F41" s="6">
        <v>2.8237828179914198E-2</v>
      </c>
      <c r="G41" s="6">
        <v>3.437379253098035E-2</v>
      </c>
      <c r="H41" s="6">
        <v>1.0029076589493629E-3</v>
      </c>
      <c r="I41" s="6">
        <v>1.1105898970345746E-2</v>
      </c>
      <c r="J41" s="6">
        <v>2.9511961376609358E-2</v>
      </c>
      <c r="K41" s="6">
        <v>0.53712554690702885</v>
      </c>
      <c r="L41" s="6">
        <v>1.2366715669878771E-2</v>
      </c>
      <c r="M41" s="6">
        <v>2.5368089891005009E-2</v>
      </c>
      <c r="N41" s="6">
        <v>0.39853125107422332</v>
      </c>
      <c r="O41" s="6">
        <v>0.12962131553611589</v>
      </c>
      <c r="P41" s="6">
        <v>0.13346641086268082</v>
      </c>
      <c r="Q41" s="6">
        <v>-0.13806320618806153</v>
      </c>
      <c r="R41" s="6">
        <v>-0.13749065491826706</v>
      </c>
      <c r="S41" s="6">
        <v>-0.15029819902339162</v>
      </c>
      <c r="T41" s="6">
        <v>-0.17836541302248179</v>
      </c>
      <c r="U41" s="6">
        <v>-0.18563088737664749</v>
      </c>
      <c r="V41" s="6">
        <v>-1.9787545439697053E-3</v>
      </c>
      <c r="W41" s="6">
        <v>2.5240451864021261E-2</v>
      </c>
      <c r="X41" s="6">
        <v>2.283728412758498E-2</v>
      </c>
      <c r="Y41" s="6">
        <v>1.607433409261173E-2</v>
      </c>
      <c r="Z41" s="6">
        <v>2.9434841777542719E-3</v>
      </c>
      <c r="AA41" s="6">
        <v>9.2405993510442531E-3</v>
      </c>
      <c r="AB41" s="6">
        <v>1.2127308345520223E-2</v>
      </c>
      <c r="AC41" s="6">
        <v>6.5724601059048418E-3</v>
      </c>
      <c r="AD41" s="6">
        <v>-8.7460014352723709E-4</v>
      </c>
      <c r="AE41" s="6">
        <v>1.4636053014880641E-2</v>
      </c>
      <c r="AF41" s="6">
        <v>2.0729421407446977E-2</v>
      </c>
      <c r="AG41" s="6">
        <v>1.8434131555683384E-2</v>
      </c>
      <c r="AH41" s="6">
        <v>3.0042412965211943E-3</v>
      </c>
      <c r="AI41" s="6">
        <v>9.7971368686060392E-2</v>
      </c>
      <c r="AJ41" s="6">
        <v>-0.58365565021205312</v>
      </c>
      <c r="AK41" s="6">
        <v>0.14459699863376715</v>
      </c>
      <c r="AL41" s="6">
        <v>-0.10317526659099603</v>
      </c>
      <c r="AM41" s="6">
        <v>8.1266681831372277E-3</v>
      </c>
      <c r="AN41" s="6">
        <v>1.288236990515897E-2</v>
      </c>
      <c r="AP41">
        <f t="shared" si="2"/>
        <v>0.99999998045449423</v>
      </c>
      <c r="AQ41">
        <f t="shared" si="3"/>
        <v>0.99999999022724706</v>
      </c>
      <c r="AS41">
        <f t="shared" si="11"/>
        <v>1.2302480166232687E-2</v>
      </c>
      <c r="AT41">
        <f t="shared" si="11"/>
        <v>1.7436115914859357E-2</v>
      </c>
      <c r="AU41">
        <f t="shared" si="11"/>
        <v>4.1574886831175988E-2</v>
      </c>
      <c r="AV41">
        <f t="shared" si="11"/>
        <v>2.3134787092715981E-2</v>
      </c>
      <c r="AW41">
        <f t="shared" si="11"/>
        <v>2.8237828455875517E-2</v>
      </c>
      <c r="AX41">
        <f t="shared" si="11"/>
        <v>3.4373792866906935E-2</v>
      </c>
      <c r="AY41">
        <f t="shared" si="11"/>
        <v>1.0029076687505317E-3</v>
      </c>
      <c r="AZ41">
        <f t="shared" si="11"/>
        <v>1.1105899078880955E-2</v>
      </c>
      <c r="BA41">
        <f t="shared" si="11"/>
        <v>2.9511961665022467E-2</v>
      </c>
      <c r="BB41">
        <f t="shared" si="10"/>
        <v>0.53712555215622415</v>
      </c>
      <c r="BC41">
        <f t="shared" si="10"/>
        <v>1.2366715790735628E-2</v>
      </c>
      <c r="BD41">
        <f t="shared" si="10"/>
        <v>2.5368090138921086E-2</v>
      </c>
      <c r="BE41">
        <f t="shared" si="10"/>
        <v>0.39853125496897079</v>
      </c>
      <c r="BF41">
        <f t="shared" si="10"/>
        <v>0.129621316802873</v>
      </c>
      <c r="BG41">
        <f t="shared" si="10"/>
        <v>0.1334664121670151</v>
      </c>
      <c r="BH41">
        <f t="shared" si="10"/>
        <v>-0.13806320753731915</v>
      </c>
      <c r="BI41">
        <f t="shared" si="10"/>
        <v>-0.13749065626192927</v>
      </c>
      <c r="BJ41">
        <f t="shared" si="10"/>
        <v>-0.15029820049221879</v>
      </c>
      <c r="BK41">
        <f t="shared" si="10"/>
        <v>-0.17836541476560291</v>
      </c>
      <c r="BL41">
        <f t="shared" si="12"/>
        <v>-0.18563088919077231</v>
      </c>
      <c r="BM41">
        <f t="shared" si="12"/>
        <v>-1.9787545633075847E-3</v>
      </c>
      <c r="BN41">
        <f t="shared" si="12"/>
        <v>2.5240452110689964E-2</v>
      </c>
      <c r="BO41">
        <f t="shared" si="12"/>
        <v>2.2837284350768119E-2</v>
      </c>
      <c r="BP41">
        <f t="shared" si="12"/>
        <v>1.6074334249702227E-2</v>
      </c>
      <c r="BQ41">
        <f t="shared" si="12"/>
        <v>2.943484206520216E-3</v>
      </c>
      <c r="BR41">
        <f t="shared" si="12"/>
        <v>9.240599441350349E-3</v>
      </c>
      <c r="BS41">
        <f t="shared" si="12"/>
        <v>1.2127308464037412E-2</v>
      </c>
      <c r="BT41">
        <f t="shared" si="12"/>
        <v>6.5724601701358711E-3</v>
      </c>
      <c r="BU41">
        <f t="shared" si="12"/>
        <v>-8.7460015207448832E-4</v>
      </c>
      <c r="BV41">
        <f t="shared" si="12"/>
        <v>1.4636053157915174E-2</v>
      </c>
      <c r="BW41">
        <f t="shared" si="13"/>
        <v>2.0729421610030493E-2</v>
      </c>
      <c r="BX41">
        <f t="shared" si="13"/>
        <v>1.84341317358356E-2</v>
      </c>
      <c r="BY41">
        <f t="shared" si="13"/>
        <v>3.0042413258809025E-3</v>
      </c>
      <c r="BZ41">
        <f t="shared" si="13"/>
        <v>9.7971369643510386E-2</v>
      </c>
      <c r="CA41">
        <f t="shared" si="13"/>
        <v>-0.58365565591597568</v>
      </c>
      <c r="CB41">
        <f t="shared" si="13"/>
        <v>0.14459700004687792</v>
      </c>
      <c r="CC41">
        <f t="shared" si="13"/>
        <v>-0.10317526759930243</v>
      </c>
      <c r="CD41">
        <f t="shared" si="13"/>
        <v>8.126668262557148E-3</v>
      </c>
      <c r="CE41">
        <f t="shared" si="13"/>
        <v>1.2882370031055189E-2</v>
      </c>
      <c r="CG41">
        <f t="shared" si="5"/>
        <v>0.99999999999999989</v>
      </c>
      <c r="CH41">
        <f t="shared" si="6"/>
        <v>1</v>
      </c>
      <c r="CJ41">
        <f t="shared" si="7"/>
        <v>5.9414676223864864E-2</v>
      </c>
    </row>
    <row r="42" spans="1:88" ht="14.4" x14ac:dyDescent="0.3">
      <c r="A42" t="s">
        <v>43</v>
      </c>
      <c r="B42" s="6">
        <v>1.2302480046003587E-2</v>
      </c>
      <c r="C42" s="6">
        <v>1.7436115744460502E-2</v>
      </c>
      <c r="D42" s="6">
        <v>4.1574886424874891E-2</v>
      </c>
      <c r="E42" s="6">
        <v>2.3134786866625422E-2</v>
      </c>
      <c r="F42" s="6">
        <v>2.8237828179914198E-2</v>
      </c>
      <c r="G42" s="6">
        <v>3.437379253098035E-2</v>
      </c>
      <c r="H42" s="6">
        <v>1.0029076589493629E-3</v>
      </c>
      <c r="I42" s="6">
        <v>1.1105898970345746E-2</v>
      </c>
      <c r="J42" s="6">
        <v>2.9511961376609358E-2</v>
      </c>
      <c r="K42" s="6">
        <v>0.53712554690702885</v>
      </c>
      <c r="L42" s="6">
        <v>1.2366715669878771E-2</v>
      </c>
      <c r="M42" s="6">
        <v>2.5368089891005009E-2</v>
      </c>
      <c r="N42" s="6">
        <v>0.39853125107422332</v>
      </c>
      <c r="O42" s="6">
        <v>0.12962131553611589</v>
      </c>
      <c r="P42" s="6">
        <v>0.13346641086268082</v>
      </c>
      <c r="Q42" s="6">
        <v>-0.13806320618806153</v>
      </c>
      <c r="R42" s="6">
        <v>-0.13749065491826706</v>
      </c>
      <c r="S42" s="6">
        <v>-0.15029819902339162</v>
      </c>
      <c r="T42" s="6">
        <v>-0.17836541302248179</v>
      </c>
      <c r="U42" s="6">
        <v>-0.18563088737664749</v>
      </c>
      <c r="V42" s="6">
        <v>-1.9787545439697053E-3</v>
      </c>
      <c r="W42" s="6">
        <v>2.5240451864021261E-2</v>
      </c>
      <c r="X42" s="6">
        <v>2.283728412758498E-2</v>
      </c>
      <c r="Y42" s="6">
        <v>1.607433409261173E-2</v>
      </c>
      <c r="Z42" s="6">
        <v>2.9434841777542719E-3</v>
      </c>
      <c r="AA42" s="6">
        <v>9.2405993510442531E-3</v>
      </c>
      <c r="AB42" s="6">
        <v>1.2127308345520223E-2</v>
      </c>
      <c r="AC42" s="6">
        <v>6.5724601059048418E-3</v>
      </c>
      <c r="AD42" s="6">
        <v>-8.7460014352723709E-4</v>
      </c>
      <c r="AE42" s="6">
        <v>1.4636053014880641E-2</v>
      </c>
      <c r="AF42" s="6">
        <v>2.0729421407446977E-2</v>
      </c>
      <c r="AG42" s="6">
        <v>1.8434131555683384E-2</v>
      </c>
      <c r="AH42" s="6">
        <v>3.0042412965211943E-3</v>
      </c>
      <c r="AI42" s="6">
        <v>9.7971368686060392E-2</v>
      </c>
      <c r="AJ42" s="6">
        <v>-0.58365565021205312</v>
      </c>
      <c r="AK42" s="6">
        <v>0.14459699863376715</v>
      </c>
      <c r="AL42" s="6">
        <v>-0.10317526659099603</v>
      </c>
      <c r="AM42" s="6">
        <v>8.1266681831372277E-3</v>
      </c>
      <c r="AN42" s="6">
        <v>1.288236990515897E-2</v>
      </c>
      <c r="AP42">
        <f t="shared" si="2"/>
        <v>0.99999998045449423</v>
      </c>
      <c r="AQ42">
        <f t="shared" si="3"/>
        <v>0.99999999022724706</v>
      </c>
      <c r="AS42">
        <f t="shared" si="11"/>
        <v>1.2302480166232687E-2</v>
      </c>
      <c r="AT42">
        <f t="shared" si="11"/>
        <v>1.7436115914859357E-2</v>
      </c>
      <c r="AU42">
        <f t="shared" si="11"/>
        <v>4.1574886831175988E-2</v>
      </c>
      <c r="AV42">
        <f t="shared" si="11"/>
        <v>2.3134787092715981E-2</v>
      </c>
      <c r="AW42">
        <f t="shared" si="11"/>
        <v>2.8237828455875517E-2</v>
      </c>
      <c r="AX42">
        <f t="shared" si="11"/>
        <v>3.4373792866906935E-2</v>
      </c>
      <c r="AY42">
        <f t="shared" si="11"/>
        <v>1.0029076687505317E-3</v>
      </c>
      <c r="AZ42">
        <f t="shared" si="11"/>
        <v>1.1105899078880955E-2</v>
      </c>
      <c r="BA42">
        <f t="shared" si="11"/>
        <v>2.9511961665022467E-2</v>
      </c>
      <c r="BB42">
        <f t="shared" si="10"/>
        <v>0.53712555215622415</v>
      </c>
      <c r="BC42">
        <f t="shared" si="10"/>
        <v>1.2366715790735628E-2</v>
      </c>
      <c r="BD42">
        <f t="shared" si="10"/>
        <v>2.5368090138921086E-2</v>
      </c>
      <c r="BE42">
        <f t="shared" si="10"/>
        <v>0.39853125496897079</v>
      </c>
      <c r="BF42">
        <f t="shared" si="10"/>
        <v>0.129621316802873</v>
      </c>
      <c r="BG42">
        <f t="shared" si="10"/>
        <v>0.1334664121670151</v>
      </c>
      <c r="BH42">
        <f t="shared" si="10"/>
        <v>-0.13806320753731915</v>
      </c>
      <c r="BI42">
        <f t="shared" si="10"/>
        <v>-0.13749065626192927</v>
      </c>
      <c r="BJ42">
        <f t="shared" si="10"/>
        <v>-0.15029820049221879</v>
      </c>
      <c r="BK42">
        <f t="shared" si="10"/>
        <v>-0.17836541476560291</v>
      </c>
      <c r="BL42">
        <f t="shared" si="12"/>
        <v>-0.18563088919077231</v>
      </c>
      <c r="BM42">
        <f t="shared" si="12"/>
        <v>-1.9787545633075847E-3</v>
      </c>
      <c r="BN42">
        <f t="shared" si="12"/>
        <v>2.5240452110689964E-2</v>
      </c>
      <c r="BO42">
        <f t="shared" si="12"/>
        <v>2.2837284350768119E-2</v>
      </c>
      <c r="BP42">
        <f t="shared" si="12"/>
        <v>1.6074334249702227E-2</v>
      </c>
      <c r="BQ42">
        <f t="shared" si="12"/>
        <v>2.943484206520216E-3</v>
      </c>
      <c r="BR42">
        <f t="shared" si="12"/>
        <v>9.240599441350349E-3</v>
      </c>
      <c r="BS42">
        <f t="shared" si="12"/>
        <v>1.2127308464037412E-2</v>
      </c>
      <c r="BT42">
        <f t="shared" si="12"/>
        <v>6.5724601701358711E-3</v>
      </c>
      <c r="BU42">
        <f t="shared" si="12"/>
        <v>-8.7460015207448832E-4</v>
      </c>
      <c r="BV42">
        <f t="shared" si="12"/>
        <v>1.4636053157915174E-2</v>
      </c>
      <c r="BW42">
        <f t="shared" si="13"/>
        <v>2.0729421610030493E-2</v>
      </c>
      <c r="BX42">
        <f t="shared" si="13"/>
        <v>1.84341317358356E-2</v>
      </c>
      <c r="BY42">
        <f t="shared" si="13"/>
        <v>3.0042413258809025E-3</v>
      </c>
      <c r="BZ42">
        <f t="shared" si="13"/>
        <v>9.7971369643510386E-2</v>
      </c>
      <c r="CA42">
        <f t="shared" si="13"/>
        <v>-0.58365565591597568</v>
      </c>
      <c r="CB42">
        <f t="shared" si="13"/>
        <v>0.14459700004687792</v>
      </c>
      <c r="CC42">
        <f t="shared" si="13"/>
        <v>-0.10317526759930243</v>
      </c>
      <c r="CD42">
        <f t="shared" si="13"/>
        <v>8.126668262557148E-3</v>
      </c>
      <c r="CE42">
        <f t="shared" si="13"/>
        <v>1.2882370031055189E-2</v>
      </c>
      <c r="CG42">
        <f t="shared" si="5"/>
        <v>0.99999999999999989</v>
      </c>
      <c r="CH42">
        <f t="shared" si="6"/>
        <v>1</v>
      </c>
      <c r="CJ42">
        <f t="shared" si="7"/>
        <v>5.9414676223864864E-2</v>
      </c>
    </row>
    <row r="43" spans="1:88" ht="14.4" x14ac:dyDescent="0.3">
      <c r="A43" t="s">
        <v>44</v>
      </c>
      <c r="B43" s="6">
        <v>1.2302480046003587E-2</v>
      </c>
      <c r="C43" s="6">
        <v>1.7436115744460502E-2</v>
      </c>
      <c r="D43" s="6">
        <v>4.1574886424874891E-2</v>
      </c>
      <c r="E43" s="6">
        <v>2.3134786866625422E-2</v>
      </c>
      <c r="F43" s="6">
        <v>2.8237828179914198E-2</v>
      </c>
      <c r="G43" s="6">
        <v>3.437379253098035E-2</v>
      </c>
      <c r="H43" s="6">
        <v>1.0029076589493629E-3</v>
      </c>
      <c r="I43" s="6">
        <v>1.1105898970345746E-2</v>
      </c>
      <c r="J43" s="6">
        <v>2.9511961376609358E-2</v>
      </c>
      <c r="K43" s="6">
        <v>0.53712554690702885</v>
      </c>
      <c r="L43" s="6">
        <v>1.2366715669878771E-2</v>
      </c>
      <c r="M43" s="6">
        <v>2.5368089891005009E-2</v>
      </c>
      <c r="N43" s="6">
        <v>0.39853125107422332</v>
      </c>
      <c r="O43" s="6">
        <v>0.12962131553611589</v>
      </c>
      <c r="P43" s="6">
        <v>0.13346641086268082</v>
      </c>
      <c r="Q43" s="6">
        <v>-0.13806320618806153</v>
      </c>
      <c r="R43" s="6">
        <v>-0.13749065491826706</v>
      </c>
      <c r="S43" s="6">
        <v>-0.15029819902339162</v>
      </c>
      <c r="T43" s="6">
        <v>-0.17836541302248179</v>
      </c>
      <c r="U43" s="6">
        <v>-0.18563088737664749</v>
      </c>
      <c r="V43" s="6">
        <v>-1.9787545439697053E-3</v>
      </c>
      <c r="W43" s="6">
        <v>2.5240451864021261E-2</v>
      </c>
      <c r="X43" s="6">
        <v>2.283728412758498E-2</v>
      </c>
      <c r="Y43" s="6">
        <v>1.607433409261173E-2</v>
      </c>
      <c r="Z43" s="6">
        <v>2.9434841777542719E-3</v>
      </c>
      <c r="AA43" s="6">
        <v>9.2405993510442531E-3</v>
      </c>
      <c r="AB43" s="6">
        <v>1.2127308345520223E-2</v>
      </c>
      <c r="AC43" s="6">
        <v>6.5724601059048418E-3</v>
      </c>
      <c r="AD43" s="6">
        <v>-8.7460014352723709E-4</v>
      </c>
      <c r="AE43" s="6">
        <v>1.4636053014880641E-2</v>
      </c>
      <c r="AF43" s="6">
        <v>2.0729421407446977E-2</v>
      </c>
      <c r="AG43" s="6">
        <v>1.8434131555683384E-2</v>
      </c>
      <c r="AH43" s="6">
        <v>3.0042412965211943E-3</v>
      </c>
      <c r="AI43" s="6">
        <v>9.7971368686060392E-2</v>
      </c>
      <c r="AJ43" s="6">
        <v>-0.58365565021205312</v>
      </c>
      <c r="AK43" s="6">
        <v>0.14459699863376715</v>
      </c>
      <c r="AL43" s="6">
        <v>-0.10317526659099603</v>
      </c>
      <c r="AM43" s="6">
        <v>8.1266681831372277E-3</v>
      </c>
      <c r="AN43" s="6">
        <v>1.288236990515897E-2</v>
      </c>
      <c r="AP43">
        <f t="shared" si="2"/>
        <v>0.99999998045449423</v>
      </c>
      <c r="AQ43">
        <f t="shared" si="3"/>
        <v>0.99999999022724706</v>
      </c>
      <c r="AS43">
        <f t="shared" si="11"/>
        <v>1.2302480166232687E-2</v>
      </c>
      <c r="AT43">
        <f t="shared" si="11"/>
        <v>1.7436115914859357E-2</v>
      </c>
      <c r="AU43">
        <f t="shared" si="11"/>
        <v>4.1574886831175988E-2</v>
      </c>
      <c r="AV43">
        <f t="shared" si="11"/>
        <v>2.3134787092715981E-2</v>
      </c>
      <c r="AW43">
        <f t="shared" si="11"/>
        <v>2.8237828455875517E-2</v>
      </c>
      <c r="AX43">
        <f t="shared" si="11"/>
        <v>3.4373792866906935E-2</v>
      </c>
      <c r="AY43">
        <f t="shared" si="11"/>
        <v>1.0029076687505317E-3</v>
      </c>
      <c r="AZ43">
        <f t="shared" si="11"/>
        <v>1.1105899078880955E-2</v>
      </c>
      <c r="BA43">
        <f t="shared" si="11"/>
        <v>2.9511961665022467E-2</v>
      </c>
      <c r="BB43">
        <f t="shared" si="10"/>
        <v>0.53712555215622415</v>
      </c>
      <c r="BC43">
        <f t="shared" si="10"/>
        <v>1.2366715790735628E-2</v>
      </c>
      <c r="BD43">
        <f t="shared" si="10"/>
        <v>2.5368090138921086E-2</v>
      </c>
      <c r="BE43">
        <f t="shared" si="10"/>
        <v>0.39853125496897079</v>
      </c>
      <c r="BF43">
        <f t="shared" si="10"/>
        <v>0.129621316802873</v>
      </c>
      <c r="BG43">
        <f t="shared" si="10"/>
        <v>0.1334664121670151</v>
      </c>
      <c r="BH43">
        <f t="shared" si="10"/>
        <v>-0.13806320753731915</v>
      </c>
      <c r="BI43">
        <f t="shared" si="10"/>
        <v>-0.13749065626192927</v>
      </c>
      <c r="BJ43">
        <f t="shared" si="10"/>
        <v>-0.15029820049221879</v>
      </c>
      <c r="BK43">
        <f t="shared" si="10"/>
        <v>-0.17836541476560291</v>
      </c>
      <c r="BL43">
        <f t="shared" si="12"/>
        <v>-0.18563088919077231</v>
      </c>
      <c r="BM43">
        <f t="shared" si="12"/>
        <v>-1.9787545633075847E-3</v>
      </c>
      <c r="BN43">
        <f t="shared" si="12"/>
        <v>2.5240452110689964E-2</v>
      </c>
      <c r="BO43">
        <f t="shared" si="12"/>
        <v>2.2837284350768119E-2</v>
      </c>
      <c r="BP43">
        <f t="shared" si="12"/>
        <v>1.6074334249702227E-2</v>
      </c>
      <c r="BQ43">
        <f t="shared" si="12"/>
        <v>2.943484206520216E-3</v>
      </c>
      <c r="BR43">
        <f t="shared" si="12"/>
        <v>9.240599441350349E-3</v>
      </c>
      <c r="BS43">
        <f t="shared" si="12"/>
        <v>1.2127308464037412E-2</v>
      </c>
      <c r="BT43">
        <f t="shared" si="12"/>
        <v>6.5724601701358711E-3</v>
      </c>
      <c r="BU43">
        <f t="shared" si="12"/>
        <v>-8.7460015207448832E-4</v>
      </c>
      <c r="BV43">
        <f t="shared" si="12"/>
        <v>1.4636053157915174E-2</v>
      </c>
      <c r="BW43">
        <f t="shared" si="13"/>
        <v>2.0729421610030493E-2</v>
      </c>
      <c r="BX43">
        <f t="shared" si="13"/>
        <v>1.84341317358356E-2</v>
      </c>
      <c r="BY43">
        <f t="shared" si="13"/>
        <v>3.0042413258809025E-3</v>
      </c>
      <c r="BZ43">
        <f t="shared" si="13"/>
        <v>9.7971369643510386E-2</v>
      </c>
      <c r="CA43">
        <f t="shared" si="13"/>
        <v>-0.58365565591597568</v>
      </c>
      <c r="CB43">
        <f t="shared" si="13"/>
        <v>0.14459700004687792</v>
      </c>
      <c r="CC43">
        <f t="shared" si="13"/>
        <v>-0.10317526759930243</v>
      </c>
      <c r="CD43">
        <f t="shared" si="13"/>
        <v>8.126668262557148E-3</v>
      </c>
      <c r="CE43">
        <f t="shared" si="13"/>
        <v>1.2882370031055189E-2</v>
      </c>
      <c r="CG43">
        <f t="shared" si="5"/>
        <v>0.99999999999999989</v>
      </c>
      <c r="CH43">
        <f t="shared" si="6"/>
        <v>1</v>
      </c>
      <c r="CJ43">
        <f t="shared" si="7"/>
        <v>5.9414676223864864E-2</v>
      </c>
    </row>
    <row r="44" spans="1:88" ht="14.4" x14ac:dyDescent="0.3">
      <c r="A44" t="s">
        <v>45</v>
      </c>
      <c r="B44" s="6">
        <v>1.2302480046003587E-2</v>
      </c>
      <c r="C44" s="6">
        <v>1.7436115744460502E-2</v>
      </c>
      <c r="D44" s="6">
        <v>4.1574886424874891E-2</v>
      </c>
      <c r="E44" s="6">
        <v>2.3134786866625422E-2</v>
      </c>
      <c r="F44" s="6">
        <v>2.8237828179914198E-2</v>
      </c>
      <c r="G44" s="6">
        <v>3.437379253098035E-2</v>
      </c>
      <c r="H44" s="6">
        <v>1.0029076589493629E-3</v>
      </c>
      <c r="I44" s="6">
        <v>1.1105898970345746E-2</v>
      </c>
      <c r="J44" s="6">
        <v>2.9511961376609358E-2</v>
      </c>
      <c r="K44" s="6">
        <v>0.53712554690702885</v>
      </c>
      <c r="L44" s="6">
        <v>1.2366715669878771E-2</v>
      </c>
      <c r="M44" s="6">
        <v>2.5368089891005009E-2</v>
      </c>
      <c r="N44" s="6">
        <v>0.39853125107422332</v>
      </c>
      <c r="O44" s="6">
        <v>0.12962131553611589</v>
      </c>
      <c r="P44" s="6">
        <v>0.13346641086268082</v>
      </c>
      <c r="Q44" s="6">
        <v>-0.13806320618806153</v>
      </c>
      <c r="R44" s="6">
        <v>-0.13749065491826706</v>
      </c>
      <c r="S44" s="6">
        <v>-0.15029819902339162</v>
      </c>
      <c r="T44" s="6">
        <v>-0.17836541302248179</v>
      </c>
      <c r="U44" s="6">
        <v>-0.18563088737664749</v>
      </c>
      <c r="V44" s="6">
        <v>-1.9787545439697053E-3</v>
      </c>
      <c r="W44" s="6">
        <v>2.5240451864021261E-2</v>
      </c>
      <c r="X44" s="6">
        <v>2.283728412758498E-2</v>
      </c>
      <c r="Y44" s="6">
        <v>1.607433409261173E-2</v>
      </c>
      <c r="Z44" s="6">
        <v>2.9434841777542719E-3</v>
      </c>
      <c r="AA44" s="6">
        <v>9.2405993510442531E-3</v>
      </c>
      <c r="AB44" s="6">
        <v>1.2127308345520223E-2</v>
      </c>
      <c r="AC44" s="6">
        <v>6.5724601059048418E-3</v>
      </c>
      <c r="AD44" s="6">
        <v>-8.7460014352723709E-4</v>
      </c>
      <c r="AE44" s="6">
        <v>1.4636053014880641E-2</v>
      </c>
      <c r="AF44" s="6">
        <v>2.0729421407446977E-2</v>
      </c>
      <c r="AG44" s="6">
        <v>1.8434131555683384E-2</v>
      </c>
      <c r="AH44" s="6">
        <v>3.0042412965211943E-3</v>
      </c>
      <c r="AI44" s="6">
        <v>9.7971368686060392E-2</v>
      </c>
      <c r="AJ44" s="6">
        <v>-0.58365565021205312</v>
      </c>
      <c r="AK44" s="6">
        <v>0.14459699863376715</v>
      </c>
      <c r="AL44" s="6">
        <v>-0.10317526659099603</v>
      </c>
      <c r="AM44" s="6">
        <v>8.1266681831372277E-3</v>
      </c>
      <c r="AN44" s="6">
        <v>1.288236990515897E-2</v>
      </c>
      <c r="AP44">
        <f t="shared" si="2"/>
        <v>0.99999998045449423</v>
      </c>
      <c r="AQ44">
        <f t="shared" si="3"/>
        <v>0.99999999022724706</v>
      </c>
      <c r="AS44">
        <f t="shared" si="11"/>
        <v>1.2302480166232687E-2</v>
      </c>
      <c r="AT44">
        <f t="shared" si="11"/>
        <v>1.7436115914859357E-2</v>
      </c>
      <c r="AU44">
        <f t="shared" si="11"/>
        <v>4.1574886831175988E-2</v>
      </c>
      <c r="AV44">
        <f t="shared" si="11"/>
        <v>2.3134787092715981E-2</v>
      </c>
      <c r="AW44">
        <f t="shared" si="11"/>
        <v>2.8237828455875517E-2</v>
      </c>
      <c r="AX44">
        <f t="shared" si="11"/>
        <v>3.4373792866906935E-2</v>
      </c>
      <c r="AY44">
        <f t="shared" si="11"/>
        <v>1.0029076687505317E-3</v>
      </c>
      <c r="AZ44">
        <f t="shared" si="11"/>
        <v>1.1105899078880955E-2</v>
      </c>
      <c r="BA44">
        <f t="shared" si="11"/>
        <v>2.9511961665022467E-2</v>
      </c>
      <c r="BB44">
        <f t="shared" si="10"/>
        <v>0.53712555215622415</v>
      </c>
      <c r="BC44">
        <f t="shared" si="10"/>
        <v>1.2366715790735628E-2</v>
      </c>
      <c r="BD44">
        <f t="shared" si="10"/>
        <v>2.5368090138921086E-2</v>
      </c>
      <c r="BE44">
        <f t="shared" si="10"/>
        <v>0.39853125496897079</v>
      </c>
      <c r="BF44">
        <f t="shared" si="10"/>
        <v>0.129621316802873</v>
      </c>
      <c r="BG44">
        <f t="shared" si="10"/>
        <v>0.1334664121670151</v>
      </c>
      <c r="BH44">
        <f t="shared" si="10"/>
        <v>-0.13806320753731915</v>
      </c>
      <c r="BI44">
        <f t="shared" si="10"/>
        <v>-0.13749065626192927</v>
      </c>
      <c r="BJ44">
        <f t="shared" si="10"/>
        <v>-0.15029820049221879</v>
      </c>
      <c r="BK44">
        <f t="shared" si="10"/>
        <v>-0.17836541476560291</v>
      </c>
      <c r="BL44">
        <f t="shared" si="12"/>
        <v>-0.18563088919077231</v>
      </c>
      <c r="BM44">
        <f t="shared" si="12"/>
        <v>-1.9787545633075847E-3</v>
      </c>
      <c r="BN44">
        <f t="shared" si="12"/>
        <v>2.5240452110689964E-2</v>
      </c>
      <c r="BO44">
        <f t="shared" si="12"/>
        <v>2.2837284350768119E-2</v>
      </c>
      <c r="BP44">
        <f t="shared" si="12"/>
        <v>1.6074334249702227E-2</v>
      </c>
      <c r="BQ44">
        <f t="shared" si="12"/>
        <v>2.943484206520216E-3</v>
      </c>
      <c r="BR44">
        <f t="shared" si="12"/>
        <v>9.240599441350349E-3</v>
      </c>
      <c r="BS44">
        <f t="shared" si="12"/>
        <v>1.2127308464037412E-2</v>
      </c>
      <c r="BT44">
        <f t="shared" si="12"/>
        <v>6.5724601701358711E-3</v>
      </c>
      <c r="BU44">
        <f t="shared" si="12"/>
        <v>-8.7460015207448832E-4</v>
      </c>
      <c r="BV44">
        <f t="shared" si="12"/>
        <v>1.4636053157915174E-2</v>
      </c>
      <c r="BW44">
        <f t="shared" si="13"/>
        <v>2.0729421610030493E-2</v>
      </c>
      <c r="BX44">
        <f t="shared" si="13"/>
        <v>1.84341317358356E-2</v>
      </c>
      <c r="BY44">
        <f t="shared" si="13"/>
        <v>3.0042413258809025E-3</v>
      </c>
      <c r="BZ44">
        <f t="shared" si="13"/>
        <v>9.7971369643510386E-2</v>
      </c>
      <c r="CA44">
        <f t="shared" si="13"/>
        <v>-0.58365565591597568</v>
      </c>
      <c r="CB44">
        <f t="shared" si="13"/>
        <v>0.14459700004687792</v>
      </c>
      <c r="CC44">
        <f t="shared" si="13"/>
        <v>-0.10317526759930243</v>
      </c>
      <c r="CD44">
        <f t="shared" si="13"/>
        <v>8.126668262557148E-3</v>
      </c>
      <c r="CE44">
        <f t="shared" si="13"/>
        <v>1.2882370031055189E-2</v>
      </c>
      <c r="CG44">
        <f t="shared" si="5"/>
        <v>0.99999999999999989</v>
      </c>
      <c r="CH44">
        <f t="shared" si="6"/>
        <v>1</v>
      </c>
      <c r="CJ44">
        <f t="shared" si="7"/>
        <v>5.9414676223864864E-2</v>
      </c>
    </row>
    <row r="45" spans="1:88" ht="14.4" x14ac:dyDescent="0.3">
      <c r="A45" t="s">
        <v>46</v>
      </c>
      <c r="B45" s="6">
        <v>1.2302480046003587E-2</v>
      </c>
      <c r="C45" s="6">
        <v>1.7436115744460502E-2</v>
      </c>
      <c r="D45" s="6">
        <v>4.1574886424874891E-2</v>
      </c>
      <c r="E45" s="6">
        <v>2.3134786866625422E-2</v>
      </c>
      <c r="F45" s="6">
        <v>2.8237828179914198E-2</v>
      </c>
      <c r="G45" s="6">
        <v>3.437379253098035E-2</v>
      </c>
      <c r="H45" s="6">
        <v>1.0029076589493629E-3</v>
      </c>
      <c r="I45" s="6">
        <v>1.1105898970345746E-2</v>
      </c>
      <c r="J45" s="6">
        <v>2.9511961376609358E-2</v>
      </c>
      <c r="K45" s="6">
        <v>0.53712554690702885</v>
      </c>
      <c r="L45" s="6">
        <v>1.2366715669878771E-2</v>
      </c>
      <c r="M45" s="6">
        <v>2.5368089891005009E-2</v>
      </c>
      <c r="N45" s="6">
        <v>0.39853125107422332</v>
      </c>
      <c r="O45" s="6">
        <v>0.12962131553611589</v>
      </c>
      <c r="P45" s="6">
        <v>0.13346641086268082</v>
      </c>
      <c r="Q45" s="6">
        <v>-0.13806320618806153</v>
      </c>
      <c r="R45" s="6">
        <v>-0.13749065491826706</v>
      </c>
      <c r="S45" s="6">
        <v>-0.15029819902339162</v>
      </c>
      <c r="T45" s="6">
        <v>-0.17836541302248179</v>
      </c>
      <c r="U45" s="6">
        <v>-0.18563088737664749</v>
      </c>
      <c r="V45" s="6">
        <v>-1.9787545439697053E-3</v>
      </c>
      <c r="W45" s="6">
        <v>2.5240451864021261E-2</v>
      </c>
      <c r="X45" s="6">
        <v>2.283728412758498E-2</v>
      </c>
      <c r="Y45" s="6">
        <v>1.607433409261173E-2</v>
      </c>
      <c r="Z45" s="6">
        <v>2.9434841777542719E-3</v>
      </c>
      <c r="AA45" s="6">
        <v>9.2405993510442531E-3</v>
      </c>
      <c r="AB45" s="6">
        <v>1.2127308345520223E-2</v>
      </c>
      <c r="AC45" s="6">
        <v>6.5724601059048418E-3</v>
      </c>
      <c r="AD45" s="6">
        <v>-8.7460014352723709E-4</v>
      </c>
      <c r="AE45" s="6">
        <v>1.4636053014880641E-2</v>
      </c>
      <c r="AF45" s="6">
        <v>2.0729421407446977E-2</v>
      </c>
      <c r="AG45" s="6">
        <v>1.8434131555683384E-2</v>
      </c>
      <c r="AH45" s="6">
        <v>3.0042412965211943E-3</v>
      </c>
      <c r="AI45" s="6">
        <v>9.7971368686060392E-2</v>
      </c>
      <c r="AJ45" s="6">
        <v>-0.58365565021205312</v>
      </c>
      <c r="AK45" s="6">
        <v>0.14459699863376715</v>
      </c>
      <c r="AL45" s="6">
        <v>-0.10317526659099603</v>
      </c>
      <c r="AM45" s="6">
        <v>8.1266681831372277E-3</v>
      </c>
      <c r="AN45" s="6">
        <v>1.288236990515897E-2</v>
      </c>
      <c r="AP45">
        <f t="shared" si="2"/>
        <v>0.99999998045449423</v>
      </c>
      <c r="AQ45">
        <f t="shared" si="3"/>
        <v>0.99999999022724706</v>
      </c>
      <c r="AS45">
        <f t="shared" si="11"/>
        <v>1.2302480166232687E-2</v>
      </c>
      <c r="AT45">
        <f t="shared" si="11"/>
        <v>1.7436115914859357E-2</v>
      </c>
      <c r="AU45">
        <f t="shared" si="11"/>
        <v>4.1574886831175988E-2</v>
      </c>
      <c r="AV45">
        <f t="shared" si="11"/>
        <v>2.3134787092715981E-2</v>
      </c>
      <c r="AW45">
        <f t="shared" si="11"/>
        <v>2.8237828455875517E-2</v>
      </c>
      <c r="AX45">
        <f t="shared" si="11"/>
        <v>3.4373792866906935E-2</v>
      </c>
      <c r="AY45">
        <f t="shared" si="11"/>
        <v>1.0029076687505317E-3</v>
      </c>
      <c r="AZ45">
        <f t="shared" si="11"/>
        <v>1.1105899078880955E-2</v>
      </c>
      <c r="BA45">
        <f t="shared" si="11"/>
        <v>2.9511961665022467E-2</v>
      </c>
      <c r="BB45">
        <f t="shared" si="10"/>
        <v>0.53712555215622415</v>
      </c>
      <c r="BC45">
        <f t="shared" si="10"/>
        <v>1.2366715790735628E-2</v>
      </c>
      <c r="BD45">
        <f t="shared" si="10"/>
        <v>2.5368090138921086E-2</v>
      </c>
      <c r="BE45">
        <f t="shared" si="10"/>
        <v>0.39853125496897079</v>
      </c>
      <c r="BF45">
        <f t="shared" si="10"/>
        <v>0.129621316802873</v>
      </c>
      <c r="BG45">
        <f t="shared" si="10"/>
        <v>0.1334664121670151</v>
      </c>
      <c r="BH45">
        <f t="shared" si="10"/>
        <v>-0.13806320753731915</v>
      </c>
      <c r="BI45">
        <f t="shared" si="10"/>
        <v>-0.13749065626192927</v>
      </c>
      <c r="BJ45">
        <f t="shared" si="10"/>
        <v>-0.15029820049221879</v>
      </c>
      <c r="BK45">
        <f t="shared" si="10"/>
        <v>-0.17836541476560291</v>
      </c>
      <c r="BL45">
        <f t="shared" si="12"/>
        <v>-0.18563088919077231</v>
      </c>
      <c r="BM45">
        <f t="shared" si="12"/>
        <v>-1.9787545633075847E-3</v>
      </c>
      <c r="BN45">
        <f t="shared" si="12"/>
        <v>2.5240452110689964E-2</v>
      </c>
      <c r="BO45">
        <f t="shared" si="12"/>
        <v>2.2837284350768119E-2</v>
      </c>
      <c r="BP45">
        <f t="shared" si="12"/>
        <v>1.6074334249702227E-2</v>
      </c>
      <c r="BQ45">
        <f t="shared" si="12"/>
        <v>2.943484206520216E-3</v>
      </c>
      <c r="BR45">
        <f t="shared" si="12"/>
        <v>9.240599441350349E-3</v>
      </c>
      <c r="BS45">
        <f t="shared" si="12"/>
        <v>1.2127308464037412E-2</v>
      </c>
      <c r="BT45">
        <f t="shared" si="12"/>
        <v>6.5724601701358711E-3</v>
      </c>
      <c r="BU45">
        <f t="shared" si="12"/>
        <v>-8.7460015207448832E-4</v>
      </c>
      <c r="BV45">
        <f t="shared" si="12"/>
        <v>1.4636053157915174E-2</v>
      </c>
      <c r="BW45">
        <f t="shared" si="13"/>
        <v>2.0729421610030493E-2</v>
      </c>
      <c r="BX45">
        <f t="shared" si="13"/>
        <v>1.84341317358356E-2</v>
      </c>
      <c r="BY45">
        <f t="shared" si="13"/>
        <v>3.0042413258809025E-3</v>
      </c>
      <c r="BZ45">
        <f t="shared" si="13"/>
        <v>9.7971369643510386E-2</v>
      </c>
      <c r="CA45">
        <f t="shared" si="13"/>
        <v>-0.58365565591597568</v>
      </c>
      <c r="CB45">
        <f t="shared" si="13"/>
        <v>0.14459700004687792</v>
      </c>
      <c r="CC45">
        <f t="shared" si="13"/>
        <v>-0.10317526759930243</v>
      </c>
      <c r="CD45">
        <f t="shared" si="13"/>
        <v>8.126668262557148E-3</v>
      </c>
      <c r="CE45">
        <f t="shared" si="13"/>
        <v>1.2882370031055189E-2</v>
      </c>
      <c r="CG45">
        <f t="shared" si="5"/>
        <v>0.99999999999999989</v>
      </c>
      <c r="CH45">
        <f t="shared" si="6"/>
        <v>1</v>
      </c>
      <c r="CJ45">
        <f t="shared" si="7"/>
        <v>5.9414676223864864E-2</v>
      </c>
    </row>
    <row r="46" spans="1:88" ht="14.4" x14ac:dyDescent="0.3">
      <c r="A46" t="s">
        <v>47</v>
      </c>
      <c r="B46" s="6">
        <v>1.2302480046003587E-2</v>
      </c>
      <c r="C46" s="6">
        <v>1.7436115744460502E-2</v>
      </c>
      <c r="D46" s="6">
        <v>4.1574886424874891E-2</v>
      </c>
      <c r="E46" s="6">
        <v>2.3134786866625422E-2</v>
      </c>
      <c r="F46" s="6">
        <v>2.8237828179914198E-2</v>
      </c>
      <c r="G46" s="6">
        <v>3.437379253098035E-2</v>
      </c>
      <c r="H46" s="6">
        <v>1.0029076589493629E-3</v>
      </c>
      <c r="I46" s="6">
        <v>1.1105898970345746E-2</v>
      </c>
      <c r="J46" s="6">
        <v>2.9511961376609358E-2</v>
      </c>
      <c r="K46" s="6">
        <v>0.53712554690702885</v>
      </c>
      <c r="L46" s="6">
        <v>1.2366715669878771E-2</v>
      </c>
      <c r="M46" s="6">
        <v>2.5368089891005009E-2</v>
      </c>
      <c r="N46" s="6">
        <v>0.39853125107422332</v>
      </c>
      <c r="O46" s="6">
        <v>0.12962131553611589</v>
      </c>
      <c r="P46" s="6">
        <v>0.13346641086268082</v>
      </c>
      <c r="Q46" s="6">
        <v>-0.13806320618806153</v>
      </c>
      <c r="R46" s="6">
        <v>-0.13749065491826706</v>
      </c>
      <c r="S46" s="6">
        <v>-0.15029819902339162</v>
      </c>
      <c r="T46" s="6">
        <v>-0.17836541302248179</v>
      </c>
      <c r="U46" s="6">
        <v>-0.18563088737664749</v>
      </c>
      <c r="V46" s="6">
        <v>-1.9787545439697053E-3</v>
      </c>
      <c r="W46" s="6">
        <v>2.5240451864021261E-2</v>
      </c>
      <c r="X46" s="6">
        <v>2.283728412758498E-2</v>
      </c>
      <c r="Y46" s="6">
        <v>1.607433409261173E-2</v>
      </c>
      <c r="Z46" s="6">
        <v>2.9434841777542719E-3</v>
      </c>
      <c r="AA46" s="6">
        <v>9.2405993510442531E-3</v>
      </c>
      <c r="AB46" s="6">
        <v>1.2127308345520223E-2</v>
      </c>
      <c r="AC46" s="6">
        <v>6.5724601059048418E-3</v>
      </c>
      <c r="AD46" s="6">
        <v>-8.7460014352723709E-4</v>
      </c>
      <c r="AE46" s="6">
        <v>1.4636053014880641E-2</v>
      </c>
      <c r="AF46" s="6">
        <v>2.0729421407446977E-2</v>
      </c>
      <c r="AG46" s="6">
        <v>1.8434131555683384E-2</v>
      </c>
      <c r="AH46" s="6">
        <v>3.0042412965211943E-3</v>
      </c>
      <c r="AI46" s="6">
        <v>9.7971368686060392E-2</v>
      </c>
      <c r="AJ46" s="6">
        <v>-0.58365565021205312</v>
      </c>
      <c r="AK46" s="6">
        <v>0.14459699863376715</v>
      </c>
      <c r="AL46" s="6">
        <v>-0.10317526659099603</v>
      </c>
      <c r="AM46" s="6">
        <v>8.1266681831372277E-3</v>
      </c>
      <c r="AN46" s="6">
        <v>1.288236990515897E-2</v>
      </c>
      <c r="AP46">
        <f t="shared" si="2"/>
        <v>0.99999998045449423</v>
      </c>
      <c r="AQ46">
        <f t="shared" si="3"/>
        <v>0.99999999022724706</v>
      </c>
      <c r="AS46">
        <f t="shared" si="11"/>
        <v>1.2302480166232687E-2</v>
      </c>
      <c r="AT46">
        <f t="shared" si="11"/>
        <v>1.7436115914859357E-2</v>
      </c>
      <c r="AU46">
        <f t="shared" si="11"/>
        <v>4.1574886831175988E-2</v>
      </c>
      <c r="AV46">
        <f t="shared" si="11"/>
        <v>2.3134787092715981E-2</v>
      </c>
      <c r="AW46">
        <f t="shared" si="11"/>
        <v>2.8237828455875517E-2</v>
      </c>
      <c r="AX46">
        <f t="shared" si="11"/>
        <v>3.4373792866906935E-2</v>
      </c>
      <c r="AY46">
        <f t="shared" si="11"/>
        <v>1.0029076687505317E-3</v>
      </c>
      <c r="AZ46">
        <f t="shared" si="11"/>
        <v>1.1105899078880955E-2</v>
      </c>
      <c r="BA46">
        <f t="shared" si="11"/>
        <v>2.9511961665022467E-2</v>
      </c>
      <c r="BB46">
        <f t="shared" si="10"/>
        <v>0.53712555215622415</v>
      </c>
      <c r="BC46">
        <f t="shared" si="10"/>
        <v>1.2366715790735628E-2</v>
      </c>
      <c r="BD46">
        <f t="shared" si="10"/>
        <v>2.5368090138921086E-2</v>
      </c>
      <c r="BE46">
        <f t="shared" si="10"/>
        <v>0.39853125496897079</v>
      </c>
      <c r="BF46">
        <f t="shared" si="10"/>
        <v>0.129621316802873</v>
      </c>
      <c r="BG46">
        <f t="shared" si="10"/>
        <v>0.1334664121670151</v>
      </c>
      <c r="BH46">
        <f t="shared" si="10"/>
        <v>-0.13806320753731915</v>
      </c>
      <c r="BI46">
        <f t="shared" si="10"/>
        <v>-0.13749065626192927</v>
      </c>
      <c r="BJ46">
        <f t="shared" si="10"/>
        <v>-0.15029820049221879</v>
      </c>
      <c r="BK46">
        <f t="shared" si="10"/>
        <v>-0.17836541476560291</v>
      </c>
      <c r="BL46">
        <f t="shared" si="12"/>
        <v>-0.18563088919077231</v>
      </c>
      <c r="BM46">
        <f t="shared" si="12"/>
        <v>-1.9787545633075847E-3</v>
      </c>
      <c r="BN46">
        <f t="shared" si="12"/>
        <v>2.5240452110689964E-2</v>
      </c>
      <c r="BO46">
        <f t="shared" si="12"/>
        <v>2.2837284350768119E-2</v>
      </c>
      <c r="BP46">
        <f t="shared" si="12"/>
        <v>1.6074334249702227E-2</v>
      </c>
      <c r="BQ46">
        <f t="shared" si="12"/>
        <v>2.943484206520216E-3</v>
      </c>
      <c r="BR46">
        <f t="shared" si="12"/>
        <v>9.240599441350349E-3</v>
      </c>
      <c r="BS46">
        <f t="shared" si="12"/>
        <v>1.2127308464037412E-2</v>
      </c>
      <c r="BT46">
        <f t="shared" si="12"/>
        <v>6.5724601701358711E-3</v>
      </c>
      <c r="BU46">
        <f t="shared" si="12"/>
        <v>-8.7460015207448832E-4</v>
      </c>
      <c r="BV46">
        <f t="shared" si="12"/>
        <v>1.4636053157915174E-2</v>
      </c>
      <c r="BW46">
        <f t="shared" si="13"/>
        <v>2.0729421610030493E-2</v>
      </c>
      <c r="BX46">
        <f t="shared" si="13"/>
        <v>1.84341317358356E-2</v>
      </c>
      <c r="BY46">
        <f t="shared" si="13"/>
        <v>3.0042413258809025E-3</v>
      </c>
      <c r="BZ46">
        <f t="shared" si="13"/>
        <v>9.7971369643510386E-2</v>
      </c>
      <c r="CA46">
        <f t="shared" si="13"/>
        <v>-0.58365565591597568</v>
      </c>
      <c r="CB46">
        <f t="shared" si="13"/>
        <v>0.14459700004687792</v>
      </c>
      <c r="CC46">
        <f t="shared" si="13"/>
        <v>-0.10317526759930243</v>
      </c>
      <c r="CD46">
        <f t="shared" si="13"/>
        <v>8.126668262557148E-3</v>
      </c>
      <c r="CE46">
        <f t="shared" si="13"/>
        <v>1.2882370031055189E-2</v>
      </c>
      <c r="CG46">
        <f t="shared" si="5"/>
        <v>0.99999999999999989</v>
      </c>
      <c r="CH46">
        <f t="shared" si="6"/>
        <v>1</v>
      </c>
      <c r="CJ46">
        <f t="shared" si="7"/>
        <v>5.9414676223864864E-2</v>
      </c>
    </row>
    <row r="47" spans="1:88" ht="14.4" x14ac:dyDescent="0.3">
      <c r="A47" t="s">
        <v>48</v>
      </c>
      <c r="B47" s="6">
        <v>1.2302480046003587E-2</v>
      </c>
      <c r="C47" s="6">
        <v>1.7436115744460502E-2</v>
      </c>
      <c r="D47" s="6">
        <v>4.1574886424874891E-2</v>
      </c>
      <c r="E47" s="6">
        <v>2.3134786866625422E-2</v>
      </c>
      <c r="F47" s="6">
        <v>2.8237828179914198E-2</v>
      </c>
      <c r="G47" s="6">
        <v>3.437379253098035E-2</v>
      </c>
      <c r="H47" s="6">
        <v>1.0029076589493629E-3</v>
      </c>
      <c r="I47" s="6">
        <v>1.1105898970345746E-2</v>
      </c>
      <c r="J47" s="6">
        <v>2.9511961376609358E-2</v>
      </c>
      <c r="K47" s="6">
        <v>0.53712554690702885</v>
      </c>
      <c r="L47" s="6">
        <v>1.2366715669878771E-2</v>
      </c>
      <c r="M47" s="6">
        <v>2.5368089891005009E-2</v>
      </c>
      <c r="N47" s="6">
        <v>0.39853125107422332</v>
      </c>
      <c r="O47" s="6">
        <v>0.12962131553611589</v>
      </c>
      <c r="P47" s="6">
        <v>0.13346641086268082</v>
      </c>
      <c r="Q47" s="6">
        <v>-0.13806320618806153</v>
      </c>
      <c r="R47" s="6">
        <v>-0.13749065491826706</v>
      </c>
      <c r="S47" s="6">
        <v>-0.15029819902339162</v>
      </c>
      <c r="T47" s="6">
        <v>-0.17836541302248179</v>
      </c>
      <c r="U47" s="6">
        <v>-0.18563088737664749</v>
      </c>
      <c r="V47" s="6">
        <v>-1.9787545439697053E-3</v>
      </c>
      <c r="W47" s="6">
        <v>2.5240451864021261E-2</v>
      </c>
      <c r="X47" s="6">
        <v>2.283728412758498E-2</v>
      </c>
      <c r="Y47" s="6">
        <v>1.607433409261173E-2</v>
      </c>
      <c r="Z47" s="6">
        <v>2.9434841777542719E-3</v>
      </c>
      <c r="AA47" s="6">
        <v>9.2405993510442531E-3</v>
      </c>
      <c r="AB47" s="6">
        <v>1.2127308345520223E-2</v>
      </c>
      <c r="AC47" s="6">
        <v>6.5724601059048418E-3</v>
      </c>
      <c r="AD47" s="6">
        <v>-8.7460014352723709E-4</v>
      </c>
      <c r="AE47" s="6">
        <v>1.4636053014880641E-2</v>
      </c>
      <c r="AF47" s="6">
        <v>2.0729421407446977E-2</v>
      </c>
      <c r="AG47" s="6">
        <v>1.8434131555683384E-2</v>
      </c>
      <c r="AH47" s="6">
        <v>3.0042412965211943E-3</v>
      </c>
      <c r="AI47" s="6">
        <v>9.7971368686060392E-2</v>
      </c>
      <c r="AJ47" s="6">
        <v>-0.58365565021205312</v>
      </c>
      <c r="AK47" s="6">
        <v>0.14459699863376715</v>
      </c>
      <c r="AL47" s="6">
        <v>-0.10317526659099603</v>
      </c>
      <c r="AM47" s="6">
        <v>8.1266681831372277E-3</v>
      </c>
      <c r="AN47" s="6">
        <v>1.288236990515897E-2</v>
      </c>
      <c r="AP47">
        <f t="shared" si="2"/>
        <v>0.99999998045449423</v>
      </c>
      <c r="AQ47">
        <f t="shared" si="3"/>
        <v>0.99999999022724706</v>
      </c>
      <c r="AS47">
        <f t="shared" si="11"/>
        <v>1.2302480166232687E-2</v>
      </c>
      <c r="AT47">
        <f t="shared" si="11"/>
        <v>1.7436115914859357E-2</v>
      </c>
      <c r="AU47">
        <f t="shared" si="11"/>
        <v>4.1574886831175988E-2</v>
      </c>
      <c r="AV47">
        <f t="shared" si="11"/>
        <v>2.3134787092715981E-2</v>
      </c>
      <c r="AW47">
        <f t="shared" si="11"/>
        <v>2.8237828455875517E-2</v>
      </c>
      <c r="AX47">
        <f t="shared" si="11"/>
        <v>3.4373792866906935E-2</v>
      </c>
      <c r="AY47">
        <f t="shared" si="11"/>
        <v>1.0029076687505317E-3</v>
      </c>
      <c r="AZ47">
        <f t="shared" si="11"/>
        <v>1.1105899078880955E-2</v>
      </c>
      <c r="BA47">
        <f t="shared" si="11"/>
        <v>2.9511961665022467E-2</v>
      </c>
      <c r="BB47">
        <f t="shared" si="10"/>
        <v>0.53712555215622415</v>
      </c>
      <c r="BC47">
        <f t="shared" si="10"/>
        <v>1.2366715790735628E-2</v>
      </c>
      <c r="BD47">
        <f t="shared" si="10"/>
        <v>2.5368090138921086E-2</v>
      </c>
      <c r="BE47">
        <f t="shared" si="10"/>
        <v>0.39853125496897079</v>
      </c>
      <c r="BF47">
        <f t="shared" si="10"/>
        <v>0.129621316802873</v>
      </c>
      <c r="BG47">
        <f t="shared" si="10"/>
        <v>0.1334664121670151</v>
      </c>
      <c r="BH47">
        <f t="shared" si="10"/>
        <v>-0.13806320753731915</v>
      </c>
      <c r="BI47">
        <f t="shared" si="10"/>
        <v>-0.13749065626192927</v>
      </c>
      <c r="BJ47">
        <f t="shared" si="10"/>
        <v>-0.15029820049221879</v>
      </c>
      <c r="BK47">
        <f t="shared" si="10"/>
        <v>-0.17836541476560291</v>
      </c>
      <c r="BL47">
        <f t="shared" si="12"/>
        <v>-0.18563088919077231</v>
      </c>
      <c r="BM47">
        <f t="shared" si="12"/>
        <v>-1.9787545633075847E-3</v>
      </c>
      <c r="BN47">
        <f t="shared" si="12"/>
        <v>2.5240452110689964E-2</v>
      </c>
      <c r="BO47">
        <f t="shared" si="12"/>
        <v>2.2837284350768119E-2</v>
      </c>
      <c r="BP47">
        <f t="shared" si="12"/>
        <v>1.6074334249702227E-2</v>
      </c>
      <c r="BQ47">
        <f t="shared" si="12"/>
        <v>2.943484206520216E-3</v>
      </c>
      <c r="BR47">
        <f t="shared" si="12"/>
        <v>9.240599441350349E-3</v>
      </c>
      <c r="BS47">
        <f t="shared" si="12"/>
        <v>1.2127308464037412E-2</v>
      </c>
      <c r="BT47">
        <f t="shared" si="12"/>
        <v>6.5724601701358711E-3</v>
      </c>
      <c r="BU47">
        <f t="shared" si="12"/>
        <v>-8.7460015207448832E-4</v>
      </c>
      <c r="BV47">
        <f t="shared" si="12"/>
        <v>1.4636053157915174E-2</v>
      </c>
      <c r="BW47">
        <f t="shared" si="13"/>
        <v>2.0729421610030493E-2</v>
      </c>
      <c r="BX47">
        <f t="shared" si="13"/>
        <v>1.84341317358356E-2</v>
      </c>
      <c r="BY47">
        <f t="shared" si="13"/>
        <v>3.0042413258809025E-3</v>
      </c>
      <c r="BZ47">
        <f t="shared" si="13"/>
        <v>9.7971369643510386E-2</v>
      </c>
      <c r="CA47">
        <f t="shared" si="13"/>
        <v>-0.58365565591597568</v>
      </c>
      <c r="CB47">
        <f t="shared" si="13"/>
        <v>0.14459700004687792</v>
      </c>
      <c r="CC47">
        <f t="shared" si="13"/>
        <v>-0.10317526759930243</v>
      </c>
      <c r="CD47">
        <f t="shared" si="13"/>
        <v>8.126668262557148E-3</v>
      </c>
      <c r="CE47">
        <f t="shared" si="13"/>
        <v>1.2882370031055189E-2</v>
      </c>
      <c r="CG47">
        <f t="shared" si="5"/>
        <v>0.99999999999999989</v>
      </c>
      <c r="CH47">
        <f t="shared" si="6"/>
        <v>1</v>
      </c>
      <c r="CJ47">
        <f t="shared" si="7"/>
        <v>5.9414676223864864E-2</v>
      </c>
    </row>
    <row r="48" spans="1:88" ht="14.4" x14ac:dyDescent="0.3">
      <c r="A48" t="s">
        <v>49</v>
      </c>
      <c r="B48" s="6">
        <v>1.2302480046003587E-2</v>
      </c>
      <c r="C48" s="6">
        <v>1.7436115744460502E-2</v>
      </c>
      <c r="D48" s="6">
        <v>4.1574886424874891E-2</v>
      </c>
      <c r="E48" s="6">
        <v>2.3134786866625422E-2</v>
      </c>
      <c r="F48" s="6">
        <v>2.8237828179914198E-2</v>
      </c>
      <c r="G48" s="6">
        <v>3.437379253098035E-2</v>
      </c>
      <c r="H48" s="6">
        <v>1.0029076589493629E-3</v>
      </c>
      <c r="I48" s="6">
        <v>1.1105898970345746E-2</v>
      </c>
      <c r="J48" s="6">
        <v>2.9511961376609358E-2</v>
      </c>
      <c r="K48" s="6">
        <v>0.53712554690702885</v>
      </c>
      <c r="L48" s="6">
        <v>1.2366715669878771E-2</v>
      </c>
      <c r="M48" s="6">
        <v>2.5368089891005009E-2</v>
      </c>
      <c r="N48" s="6">
        <v>0.39853125107422332</v>
      </c>
      <c r="O48" s="6">
        <v>0.12962131553611589</v>
      </c>
      <c r="P48" s="6">
        <v>0.13346641086268082</v>
      </c>
      <c r="Q48" s="6">
        <v>-0.13806320618806153</v>
      </c>
      <c r="R48" s="6">
        <v>-0.13749065491826706</v>
      </c>
      <c r="S48" s="6">
        <v>-0.15029819902339162</v>
      </c>
      <c r="T48" s="6">
        <v>-0.17836541302248179</v>
      </c>
      <c r="U48" s="6">
        <v>-0.18563088737664749</v>
      </c>
      <c r="V48" s="6">
        <v>-1.9787545439697053E-3</v>
      </c>
      <c r="W48" s="6">
        <v>2.5240451864021261E-2</v>
      </c>
      <c r="X48" s="6">
        <v>2.283728412758498E-2</v>
      </c>
      <c r="Y48" s="6">
        <v>1.607433409261173E-2</v>
      </c>
      <c r="Z48" s="6">
        <v>2.9434841777542719E-3</v>
      </c>
      <c r="AA48" s="6">
        <v>9.2405993510442531E-3</v>
      </c>
      <c r="AB48" s="6">
        <v>1.2127308345520223E-2</v>
      </c>
      <c r="AC48" s="6">
        <v>6.5724601059048418E-3</v>
      </c>
      <c r="AD48" s="6">
        <v>-8.7460014352723709E-4</v>
      </c>
      <c r="AE48" s="6">
        <v>1.4636053014880641E-2</v>
      </c>
      <c r="AF48" s="6">
        <v>2.0729421407446977E-2</v>
      </c>
      <c r="AG48" s="6">
        <v>1.8434131555683384E-2</v>
      </c>
      <c r="AH48" s="6">
        <v>3.0042412965211943E-3</v>
      </c>
      <c r="AI48" s="6">
        <v>9.7971368686060392E-2</v>
      </c>
      <c r="AJ48" s="6">
        <v>-0.58365565021205312</v>
      </c>
      <c r="AK48" s="6">
        <v>0.14459699863376715</v>
      </c>
      <c r="AL48" s="6">
        <v>-0.10317526659099603</v>
      </c>
      <c r="AM48" s="6">
        <v>8.1266681831372277E-3</v>
      </c>
      <c r="AN48" s="6">
        <v>1.288236990515897E-2</v>
      </c>
      <c r="AP48">
        <f t="shared" si="2"/>
        <v>0.99999998045449423</v>
      </c>
      <c r="AQ48">
        <f t="shared" si="3"/>
        <v>0.99999999022724706</v>
      </c>
      <c r="AS48">
        <f t="shared" si="11"/>
        <v>1.2302480166232687E-2</v>
      </c>
      <c r="AT48">
        <f t="shared" si="11"/>
        <v>1.7436115914859357E-2</v>
      </c>
      <c r="AU48">
        <f t="shared" si="11"/>
        <v>4.1574886831175988E-2</v>
      </c>
      <c r="AV48">
        <f t="shared" si="11"/>
        <v>2.3134787092715981E-2</v>
      </c>
      <c r="AW48">
        <f t="shared" si="11"/>
        <v>2.8237828455875517E-2</v>
      </c>
      <c r="AX48">
        <f t="shared" si="11"/>
        <v>3.4373792866906935E-2</v>
      </c>
      <c r="AY48">
        <f t="shared" si="11"/>
        <v>1.0029076687505317E-3</v>
      </c>
      <c r="AZ48">
        <f t="shared" si="11"/>
        <v>1.1105899078880955E-2</v>
      </c>
      <c r="BA48">
        <f t="shared" si="11"/>
        <v>2.9511961665022467E-2</v>
      </c>
      <c r="BB48">
        <f t="shared" si="10"/>
        <v>0.53712555215622415</v>
      </c>
      <c r="BC48">
        <f t="shared" si="10"/>
        <v>1.2366715790735628E-2</v>
      </c>
      <c r="BD48">
        <f t="shared" si="10"/>
        <v>2.5368090138921086E-2</v>
      </c>
      <c r="BE48">
        <f t="shared" si="10"/>
        <v>0.39853125496897079</v>
      </c>
      <c r="BF48">
        <f t="shared" si="10"/>
        <v>0.129621316802873</v>
      </c>
      <c r="BG48">
        <f t="shared" si="10"/>
        <v>0.1334664121670151</v>
      </c>
      <c r="BH48">
        <f t="shared" si="10"/>
        <v>-0.13806320753731915</v>
      </c>
      <c r="BI48">
        <f t="shared" si="10"/>
        <v>-0.13749065626192927</v>
      </c>
      <c r="BJ48">
        <f t="shared" si="10"/>
        <v>-0.15029820049221879</v>
      </c>
      <c r="BK48">
        <f t="shared" si="10"/>
        <v>-0.17836541476560291</v>
      </c>
      <c r="BL48">
        <f t="shared" si="12"/>
        <v>-0.18563088919077231</v>
      </c>
      <c r="BM48">
        <f t="shared" si="12"/>
        <v>-1.9787545633075847E-3</v>
      </c>
      <c r="BN48">
        <f t="shared" si="12"/>
        <v>2.5240452110689964E-2</v>
      </c>
      <c r="BO48">
        <f t="shared" si="12"/>
        <v>2.2837284350768119E-2</v>
      </c>
      <c r="BP48">
        <f t="shared" si="12"/>
        <v>1.6074334249702227E-2</v>
      </c>
      <c r="BQ48">
        <f t="shared" si="12"/>
        <v>2.943484206520216E-3</v>
      </c>
      <c r="BR48">
        <f t="shared" si="12"/>
        <v>9.240599441350349E-3</v>
      </c>
      <c r="BS48">
        <f t="shared" si="12"/>
        <v>1.2127308464037412E-2</v>
      </c>
      <c r="BT48">
        <f t="shared" si="12"/>
        <v>6.5724601701358711E-3</v>
      </c>
      <c r="BU48">
        <f t="shared" si="12"/>
        <v>-8.7460015207448832E-4</v>
      </c>
      <c r="BV48">
        <f t="shared" si="12"/>
        <v>1.4636053157915174E-2</v>
      </c>
      <c r="BW48">
        <f t="shared" si="13"/>
        <v>2.0729421610030493E-2</v>
      </c>
      <c r="BX48">
        <f t="shared" si="13"/>
        <v>1.84341317358356E-2</v>
      </c>
      <c r="BY48">
        <f t="shared" si="13"/>
        <v>3.0042413258809025E-3</v>
      </c>
      <c r="BZ48">
        <f t="shared" si="13"/>
        <v>9.7971369643510386E-2</v>
      </c>
      <c r="CA48">
        <f t="shared" si="13"/>
        <v>-0.58365565591597568</v>
      </c>
      <c r="CB48">
        <f t="shared" si="13"/>
        <v>0.14459700004687792</v>
      </c>
      <c r="CC48">
        <f t="shared" si="13"/>
        <v>-0.10317526759930243</v>
      </c>
      <c r="CD48">
        <f t="shared" si="13"/>
        <v>8.126668262557148E-3</v>
      </c>
      <c r="CE48">
        <f t="shared" si="13"/>
        <v>1.2882370031055189E-2</v>
      </c>
      <c r="CG48">
        <f t="shared" si="5"/>
        <v>0.99999999999999989</v>
      </c>
      <c r="CH48">
        <f t="shared" si="6"/>
        <v>1</v>
      </c>
      <c r="CJ48">
        <f t="shared" si="7"/>
        <v>5.9414676223864864E-2</v>
      </c>
    </row>
    <row r="49" spans="1:88" ht="14.4" x14ac:dyDescent="0.3">
      <c r="A49" t="s">
        <v>50</v>
      </c>
      <c r="B49" s="6">
        <v>1.2302480046003587E-2</v>
      </c>
      <c r="C49" s="6">
        <v>1.7436115744460502E-2</v>
      </c>
      <c r="D49" s="6">
        <v>4.1574886424874891E-2</v>
      </c>
      <c r="E49" s="6">
        <v>2.3134786866625422E-2</v>
      </c>
      <c r="F49" s="6">
        <v>2.8237828179914198E-2</v>
      </c>
      <c r="G49" s="6">
        <v>3.437379253098035E-2</v>
      </c>
      <c r="H49" s="6">
        <v>1.0029076589493629E-3</v>
      </c>
      <c r="I49" s="6">
        <v>1.1105898970345746E-2</v>
      </c>
      <c r="J49" s="6">
        <v>2.9511961376609358E-2</v>
      </c>
      <c r="K49" s="6">
        <v>0.53712554690702885</v>
      </c>
      <c r="L49" s="6">
        <v>1.2366715669878771E-2</v>
      </c>
      <c r="M49" s="6">
        <v>2.5368089891005009E-2</v>
      </c>
      <c r="N49" s="6">
        <v>0.39853125107422332</v>
      </c>
      <c r="O49" s="6">
        <v>0.12962131553611589</v>
      </c>
      <c r="P49" s="6">
        <v>0.13346641086268082</v>
      </c>
      <c r="Q49" s="6">
        <v>-0.13806320618806153</v>
      </c>
      <c r="R49" s="6">
        <v>-0.13749065491826706</v>
      </c>
      <c r="S49" s="6">
        <v>-0.15029819902339162</v>
      </c>
      <c r="T49" s="6">
        <v>-0.17836541302248179</v>
      </c>
      <c r="U49" s="6">
        <v>-0.18563088737664749</v>
      </c>
      <c r="V49" s="6">
        <v>-1.9787545439697053E-3</v>
      </c>
      <c r="W49" s="6">
        <v>2.5240451864021261E-2</v>
      </c>
      <c r="X49" s="6">
        <v>2.283728412758498E-2</v>
      </c>
      <c r="Y49" s="6">
        <v>1.607433409261173E-2</v>
      </c>
      <c r="Z49" s="6">
        <v>2.9434841777542719E-3</v>
      </c>
      <c r="AA49" s="6">
        <v>9.2405993510442531E-3</v>
      </c>
      <c r="AB49" s="6">
        <v>1.2127308345520223E-2</v>
      </c>
      <c r="AC49" s="6">
        <v>6.5724601059048418E-3</v>
      </c>
      <c r="AD49" s="6">
        <v>-8.7460014352723709E-4</v>
      </c>
      <c r="AE49" s="6">
        <v>1.4636053014880641E-2</v>
      </c>
      <c r="AF49" s="6">
        <v>2.0729421407446977E-2</v>
      </c>
      <c r="AG49" s="6">
        <v>1.8434131555683384E-2</v>
      </c>
      <c r="AH49" s="6">
        <v>3.0042412965211943E-3</v>
      </c>
      <c r="AI49" s="6">
        <v>9.7971368686060392E-2</v>
      </c>
      <c r="AJ49" s="6">
        <v>-0.58365565021205312</v>
      </c>
      <c r="AK49" s="6">
        <v>0.14459699863376715</v>
      </c>
      <c r="AL49" s="6">
        <v>-0.10317526659099603</v>
      </c>
      <c r="AM49" s="6">
        <v>8.1266681831372277E-3</v>
      </c>
      <c r="AN49" s="6">
        <v>1.288236990515897E-2</v>
      </c>
      <c r="AP49">
        <f t="shared" si="2"/>
        <v>0.99999998045449423</v>
      </c>
      <c r="AQ49">
        <f t="shared" si="3"/>
        <v>0.99999999022724706</v>
      </c>
      <c r="AS49">
        <f t="shared" si="11"/>
        <v>1.2302480166232687E-2</v>
      </c>
      <c r="AT49">
        <f t="shared" si="11"/>
        <v>1.7436115914859357E-2</v>
      </c>
      <c r="AU49">
        <f t="shared" si="11"/>
        <v>4.1574886831175988E-2</v>
      </c>
      <c r="AV49">
        <f t="shared" si="11"/>
        <v>2.3134787092715981E-2</v>
      </c>
      <c r="AW49">
        <f t="shared" si="11"/>
        <v>2.8237828455875517E-2</v>
      </c>
      <c r="AX49">
        <f t="shared" si="11"/>
        <v>3.4373792866906935E-2</v>
      </c>
      <c r="AY49">
        <f t="shared" si="11"/>
        <v>1.0029076687505317E-3</v>
      </c>
      <c r="AZ49">
        <f t="shared" si="11"/>
        <v>1.1105899078880955E-2</v>
      </c>
      <c r="BA49">
        <f t="shared" si="11"/>
        <v>2.9511961665022467E-2</v>
      </c>
      <c r="BB49">
        <f t="shared" si="10"/>
        <v>0.53712555215622415</v>
      </c>
      <c r="BC49">
        <f t="shared" si="10"/>
        <v>1.2366715790735628E-2</v>
      </c>
      <c r="BD49">
        <f t="shared" si="10"/>
        <v>2.5368090138921086E-2</v>
      </c>
      <c r="BE49">
        <f t="shared" si="10"/>
        <v>0.39853125496897079</v>
      </c>
      <c r="BF49">
        <f t="shared" si="10"/>
        <v>0.129621316802873</v>
      </c>
      <c r="BG49">
        <f t="shared" si="10"/>
        <v>0.1334664121670151</v>
      </c>
      <c r="BH49">
        <f t="shared" si="10"/>
        <v>-0.13806320753731915</v>
      </c>
      <c r="BI49">
        <f t="shared" si="10"/>
        <v>-0.13749065626192927</v>
      </c>
      <c r="BJ49">
        <f t="shared" si="10"/>
        <v>-0.15029820049221879</v>
      </c>
      <c r="BK49">
        <f t="shared" si="10"/>
        <v>-0.17836541476560291</v>
      </c>
      <c r="BL49">
        <f t="shared" si="12"/>
        <v>-0.18563088919077231</v>
      </c>
      <c r="BM49">
        <f t="shared" si="12"/>
        <v>-1.9787545633075847E-3</v>
      </c>
      <c r="BN49">
        <f t="shared" si="12"/>
        <v>2.5240452110689964E-2</v>
      </c>
      <c r="BO49">
        <f t="shared" si="12"/>
        <v>2.2837284350768119E-2</v>
      </c>
      <c r="BP49">
        <f t="shared" si="12"/>
        <v>1.6074334249702227E-2</v>
      </c>
      <c r="BQ49">
        <f t="shared" si="12"/>
        <v>2.943484206520216E-3</v>
      </c>
      <c r="BR49">
        <f t="shared" si="12"/>
        <v>9.240599441350349E-3</v>
      </c>
      <c r="BS49">
        <f t="shared" si="12"/>
        <v>1.2127308464037412E-2</v>
      </c>
      <c r="BT49">
        <f t="shared" si="12"/>
        <v>6.5724601701358711E-3</v>
      </c>
      <c r="BU49">
        <f t="shared" si="12"/>
        <v>-8.7460015207448832E-4</v>
      </c>
      <c r="BV49">
        <f t="shared" si="12"/>
        <v>1.4636053157915174E-2</v>
      </c>
      <c r="BW49">
        <f t="shared" si="13"/>
        <v>2.0729421610030493E-2</v>
      </c>
      <c r="BX49">
        <f t="shared" si="13"/>
        <v>1.84341317358356E-2</v>
      </c>
      <c r="BY49">
        <f t="shared" si="13"/>
        <v>3.0042413258809025E-3</v>
      </c>
      <c r="BZ49">
        <f t="shared" si="13"/>
        <v>9.7971369643510386E-2</v>
      </c>
      <c r="CA49">
        <f t="shared" si="13"/>
        <v>-0.58365565591597568</v>
      </c>
      <c r="CB49">
        <f t="shared" si="13"/>
        <v>0.14459700004687792</v>
      </c>
      <c r="CC49">
        <f t="shared" si="13"/>
        <v>-0.10317526759930243</v>
      </c>
      <c r="CD49">
        <f t="shared" si="13"/>
        <v>8.126668262557148E-3</v>
      </c>
      <c r="CE49">
        <f t="shared" si="13"/>
        <v>1.2882370031055189E-2</v>
      </c>
      <c r="CG49">
        <f t="shared" si="5"/>
        <v>0.99999999999999989</v>
      </c>
      <c r="CH49">
        <f t="shared" si="6"/>
        <v>1</v>
      </c>
      <c r="CJ49">
        <f t="shared" si="7"/>
        <v>5.9414676223864864E-2</v>
      </c>
    </row>
    <row r="50" spans="1:88" ht="14.4" x14ac:dyDescent="0.3">
      <c r="A50" t="s">
        <v>51</v>
      </c>
      <c r="B50" s="6">
        <v>1.2302480046003587E-2</v>
      </c>
      <c r="C50" s="6">
        <v>1.7436115744460502E-2</v>
      </c>
      <c r="D50" s="6">
        <v>4.1574886424874891E-2</v>
      </c>
      <c r="E50" s="6">
        <v>2.3134786866625422E-2</v>
      </c>
      <c r="F50" s="6">
        <v>2.8237828179914198E-2</v>
      </c>
      <c r="G50" s="6">
        <v>3.437379253098035E-2</v>
      </c>
      <c r="H50" s="6">
        <v>1.0029076589493629E-3</v>
      </c>
      <c r="I50" s="6">
        <v>1.1105898970345746E-2</v>
      </c>
      <c r="J50" s="6">
        <v>2.9511961376609358E-2</v>
      </c>
      <c r="K50" s="6">
        <v>0.53712554690702885</v>
      </c>
      <c r="L50" s="6">
        <v>1.2366715669878771E-2</v>
      </c>
      <c r="M50" s="6">
        <v>2.5368089891005009E-2</v>
      </c>
      <c r="N50" s="6">
        <v>0.39853125107422332</v>
      </c>
      <c r="O50" s="6">
        <v>0.12962131553611589</v>
      </c>
      <c r="P50" s="6">
        <v>0.13346641086268082</v>
      </c>
      <c r="Q50" s="6">
        <v>-0.13806320618806153</v>
      </c>
      <c r="R50" s="6">
        <v>-0.13749065491826706</v>
      </c>
      <c r="S50" s="6">
        <v>-0.15029819902339162</v>
      </c>
      <c r="T50" s="6">
        <v>-0.17836541302248179</v>
      </c>
      <c r="U50" s="6">
        <v>-0.18563088737664749</v>
      </c>
      <c r="V50" s="6">
        <v>-1.9787545439697053E-3</v>
      </c>
      <c r="W50" s="6">
        <v>2.5240451864021261E-2</v>
      </c>
      <c r="X50" s="6">
        <v>2.283728412758498E-2</v>
      </c>
      <c r="Y50" s="6">
        <v>1.607433409261173E-2</v>
      </c>
      <c r="Z50" s="6">
        <v>2.9434841777542719E-3</v>
      </c>
      <c r="AA50" s="6">
        <v>9.2405993510442531E-3</v>
      </c>
      <c r="AB50" s="6">
        <v>1.2127308345520223E-2</v>
      </c>
      <c r="AC50" s="6">
        <v>6.5724601059048418E-3</v>
      </c>
      <c r="AD50" s="6">
        <v>-8.7460014352723709E-4</v>
      </c>
      <c r="AE50" s="6">
        <v>1.4636053014880641E-2</v>
      </c>
      <c r="AF50" s="6">
        <v>2.0729421407446977E-2</v>
      </c>
      <c r="AG50" s="6">
        <v>1.8434131555683384E-2</v>
      </c>
      <c r="AH50" s="6">
        <v>3.0042412965211943E-3</v>
      </c>
      <c r="AI50" s="6">
        <v>9.7971368686060392E-2</v>
      </c>
      <c r="AJ50" s="6">
        <v>-0.58365565021205312</v>
      </c>
      <c r="AK50" s="6">
        <v>0.14459699863376715</v>
      </c>
      <c r="AL50" s="6">
        <v>-0.10317526659099603</v>
      </c>
      <c r="AM50" s="6">
        <v>8.1266681831372277E-3</v>
      </c>
      <c r="AN50" s="6">
        <v>1.288236990515897E-2</v>
      </c>
      <c r="AP50">
        <f t="shared" si="2"/>
        <v>0.99999998045449423</v>
      </c>
      <c r="AQ50">
        <f t="shared" si="3"/>
        <v>0.99999999022724706</v>
      </c>
      <c r="AS50">
        <f t="shared" si="11"/>
        <v>1.2302480166232687E-2</v>
      </c>
      <c r="AT50">
        <f t="shared" si="11"/>
        <v>1.7436115914859357E-2</v>
      </c>
      <c r="AU50">
        <f t="shared" si="11"/>
        <v>4.1574886831175988E-2</v>
      </c>
      <c r="AV50">
        <f t="shared" si="11"/>
        <v>2.3134787092715981E-2</v>
      </c>
      <c r="AW50">
        <f t="shared" si="11"/>
        <v>2.8237828455875517E-2</v>
      </c>
      <c r="AX50">
        <f t="shared" si="11"/>
        <v>3.4373792866906935E-2</v>
      </c>
      <c r="AY50">
        <f t="shared" si="11"/>
        <v>1.0029076687505317E-3</v>
      </c>
      <c r="AZ50">
        <f t="shared" si="11"/>
        <v>1.1105899078880955E-2</v>
      </c>
      <c r="BA50">
        <f t="shared" si="11"/>
        <v>2.9511961665022467E-2</v>
      </c>
      <c r="BB50">
        <f t="shared" si="10"/>
        <v>0.53712555215622415</v>
      </c>
      <c r="BC50">
        <f t="shared" si="10"/>
        <v>1.2366715790735628E-2</v>
      </c>
      <c r="BD50">
        <f t="shared" si="10"/>
        <v>2.5368090138921086E-2</v>
      </c>
      <c r="BE50">
        <f t="shared" si="10"/>
        <v>0.39853125496897079</v>
      </c>
      <c r="BF50">
        <f t="shared" si="10"/>
        <v>0.129621316802873</v>
      </c>
      <c r="BG50">
        <f t="shared" si="10"/>
        <v>0.1334664121670151</v>
      </c>
      <c r="BH50">
        <f t="shared" si="10"/>
        <v>-0.13806320753731915</v>
      </c>
      <c r="BI50">
        <f t="shared" si="10"/>
        <v>-0.13749065626192927</v>
      </c>
      <c r="BJ50">
        <f t="shared" si="10"/>
        <v>-0.15029820049221879</v>
      </c>
      <c r="BK50">
        <f t="shared" si="10"/>
        <v>-0.17836541476560291</v>
      </c>
      <c r="BL50">
        <f t="shared" si="12"/>
        <v>-0.18563088919077231</v>
      </c>
      <c r="BM50">
        <f t="shared" si="12"/>
        <v>-1.9787545633075847E-3</v>
      </c>
      <c r="BN50">
        <f t="shared" si="12"/>
        <v>2.5240452110689964E-2</v>
      </c>
      <c r="BO50">
        <f t="shared" si="12"/>
        <v>2.2837284350768119E-2</v>
      </c>
      <c r="BP50">
        <f t="shared" si="12"/>
        <v>1.6074334249702227E-2</v>
      </c>
      <c r="BQ50">
        <f t="shared" si="12"/>
        <v>2.943484206520216E-3</v>
      </c>
      <c r="BR50">
        <f t="shared" si="12"/>
        <v>9.240599441350349E-3</v>
      </c>
      <c r="BS50">
        <f t="shared" si="12"/>
        <v>1.2127308464037412E-2</v>
      </c>
      <c r="BT50">
        <f t="shared" si="12"/>
        <v>6.5724601701358711E-3</v>
      </c>
      <c r="BU50">
        <f t="shared" si="12"/>
        <v>-8.7460015207448832E-4</v>
      </c>
      <c r="BV50">
        <f t="shared" si="12"/>
        <v>1.4636053157915174E-2</v>
      </c>
      <c r="BW50">
        <f t="shared" si="13"/>
        <v>2.0729421610030493E-2</v>
      </c>
      <c r="BX50">
        <f t="shared" si="13"/>
        <v>1.84341317358356E-2</v>
      </c>
      <c r="BY50">
        <f t="shared" si="13"/>
        <v>3.0042413258809025E-3</v>
      </c>
      <c r="BZ50">
        <f t="shared" si="13"/>
        <v>9.7971369643510386E-2</v>
      </c>
      <c r="CA50">
        <f t="shared" si="13"/>
        <v>-0.58365565591597568</v>
      </c>
      <c r="CB50">
        <f t="shared" si="13"/>
        <v>0.14459700004687792</v>
      </c>
      <c r="CC50">
        <f t="shared" si="13"/>
        <v>-0.10317526759930243</v>
      </c>
      <c r="CD50">
        <f t="shared" si="13"/>
        <v>8.126668262557148E-3</v>
      </c>
      <c r="CE50">
        <f t="shared" si="13"/>
        <v>1.2882370031055189E-2</v>
      </c>
      <c r="CG50">
        <f t="shared" si="5"/>
        <v>0.99999999999999989</v>
      </c>
      <c r="CH50">
        <f t="shared" si="6"/>
        <v>1</v>
      </c>
      <c r="CJ50">
        <f t="shared" si="7"/>
        <v>5.9414676223864864E-2</v>
      </c>
    </row>
    <row r="51" spans="1:88" ht="14.4" x14ac:dyDescent="0.3">
      <c r="A51" t="s">
        <v>52</v>
      </c>
      <c r="B51" s="6">
        <v>1.2302480046003587E-2</v>
      </c>
      <c r="C51" s="6">
        <v>1.7436115744460502E-2</v>
      </c>
      <c r="D51" s="6">
        <v>4.1574886424874891E-2</v>
      </c>
      <c r="E51" s="6">
        <v>2.3134786866625422E-2</v>
      </c>
      <c r="F51" s="6">
        <v>2.8237828179914198E-2</v>
      </c>
      <c r="G51" s="6">
        <v>3.437379253098035E-2</v>
      </c>
      <c r="H51" s="6">
        <v>1.0029076589493629E-3</v>
      </c>
      <c r="I51" s="6">
        <v>1.1105898970345746E-2</v>
      </c>
      <c r="J51" s="6">
        <v>2.9511961376609358E-2</v>
      </c>
      <c r="K51" s="6">
        <v>0.53712554690702885</v>
      </c>
      <c r="L51" s="6">
        <v>1.2366715669878771E-2</v>
      </c>
      <c r="M51" s="6">
        <v>2.5368089891005009E-2</v>
      </c>
      <c r="N51" s="6">
        <v>0.39853125107422332</v>
      </c>
      <c r="O51" s="6">
        <v>0.12962131553611589</v>
      </c>
      <c r="P51" s="6">
        <v>0.13346641086268082</v>
      </c>
      <c r="Q51" s="6">
        <v>-0.13806320618806153</v>
      </c>
      <c r="R51" s="6">
        <v>-0.13749065491826706</v>
      </c>
      <c r="S51" s="6">
        <v>-0.15029819902339162</v>
      </c>
      <c r="T51" s="6">
        <v>-0.17836541302248179</v>
      </c>
      <c r="U51" s="6">
        <v>-0.18563088737664749</v>
      </c>
      <c r="V51" s="6">
        <v>-1.9787545439697053E-3</v>
      </c>
      <c r="W51" s="6">
        <v>2.5240451864021261E-2</v>
      </c>
      <c r="X51" s="6">
        <v>2.283728412758498E-2</v>
      </c>
      <c r="Y51" s="6">
        <v>1.607433409261173E-2</v>
      </c>
      <c r="Z51" s="6">
        <v>2.9434841777542719E-3</v>
      </c>
      <c r="AA51" s="6">
        <v>9.2405993510442531E-3</v>
      </c>
      <c r="AB51" s="6">
        <v>1.2127308345520223E-2</v>
      </c>
      <c r="AC51" s="6">
        <v>6.5724601059048418E-3</v>
      </c>
      <c r="AD51" s="6">
        <v>-8.7460014352723709E-4</v>
      </c>
      <c r="AE51" s="6">
        <v>1.4636053014880641E-2</v>
      </c>
      <c r="AF51" s="6">
        <v>2.0729421407446977E-2</v>
      </c>
      <c r="AG51" s="6">
        <v>1.8434131555683384E-2</v>
      </c>
      <c r="AH51" s="6">
        <v>3.0042412965211943E-3</v>
      </c>
      <c r="AI51" s="6">
        <v>9.7971368686060392E-2</v>
      </c>
      <c r="AJ51" s="6">
        <v>-0.58365565021205312</v>
      </c>
      <c r="AK51" s="6">
        <v>0.14459699863376715</v>
      </c>
      <c r="AL51" s="6">
        <v>-0.10317526659099603</v>
      </c>
      <c r="AM51" s="6">
        <v>8.1266681831372277E-3</v>
      </c>
      <c r="AN51" s="6">
        <v>1.288236990515897E-2</v>
      </c>
      <c r="AP51">
        <f t="shared" si="2"/>
        <v>0.99999998045449423</v>
      </c>
      <c r="AQ51">
        <f t="shared" si="3"/>
        <v>0.99999999022724706</v>
      </c>
      <c r="AS51">
        <f t="shared" si="11"/>
        <v>1.2302480166232687E-2</v>
      </c>
      <c r="AT51">
        <f t="shared" si="11"/>
        <v>1.7436115914859357E-2</v>
      </c>
      <c r="AU51">
        <f t="shared" si="11"/>
        <v>4.1574886831175988E-2</v>
      </c>
      <c r="AV51">
        <f t="shared" si="11"/>
        <v>2.3134787092715981E-2</v>
      </c>
      <c r="AW51">
        <f t="shared" si="11"/>
        <v>2.8237828455875517E-2</v>
      </c>
      <c r="AX51">
        <f t="shared" si="11"/>
        <v>3.4373792866906935E-2</v>
      </c>
      <c r="AY51">
        <f t="shared" si="11"/>
        <v>1.0029076687505317E-3</v>
      </c>
      <c r="AZ51">
        <f t="shared" si="11"/>
        <v>1.1105899078880955E-2</v>
      </c>
      <c r="BA51">
        <f t="shared" si="11"/>
        <v>2.9511961665022467E-2</v>
      </c>
      <c r="BB51">
        <f t="shared" si="10"/>
        <v>0.53712555215622415</v>
      </c>
      <c r="BC51">
        <f t="shared" si="10"/>
        <v>1.2366715790735628E-2</v>
      </c>
      <c r="BD51">
        <f t="shared" si="10"/>
        <v>2.5368090138921086E-2</v>
      </c>
      <c r="BE51">
        <f t="shared" si="10"/>
        <v>0.39853125496897079</v>
      </c>
      <c r="BF51">
        <f t="shared" si="10"/>
        <v>0.129621316802873</v>
      </c>
      <c r="BG51">
        <f t="shared" si="10"/>
        <v>0.1334664121670151</v>
      </c>
      <c r="BH51">
        <f t="shared" ref="BH51:BQ65" si="14">Q51/$AQ51</f>
        <v>-0.13806320753731915</v>
      </c>
      <c r="BI51">
        <f t="shared" si="14"/>
        <v>-0.13749065626192927</v>
      </c>
      <c r="BJ51">
        <f t="shared" si="14"/>
        <v>-0.15029820049221879</v>
      </c>
      <c r="BK51">
        <f t="shared" si="14"/>
        <v>-0.17836541476560291</v>
      </c>
      <c r="BL51">
        <f t="shared" si="12"/>
        <v>-0.18563088919077231</v>
      </c>
      <c r="BM51">
        <f t="shared" si="12"/>
        <v>-1.9787545633075847E-3</v>
      </c>
      <c r="BN51">
        <f t="shared" si="12"/>
        <v>2.5240452110689964E-2</v>
      </c>
      <c r="BO51">
        <f t="shared" si="12"/>
        <v>2.2837284350768119E-2</v>
      </c>
      <c r="BP51">
        <f t="shared" si="12"/>
        <v>1.6074334249702227E-2</v>
      </c>
      <c r="BQ51">
        <f t="shared" si="12"/>
        <v>2.943484206520216E-3</v>
      </c>
      <c r="BR51">
        <f t="shared" si="12"/>
        <v>9.240599441350349E-3</v>
      </c>
      <c r="BS51">
        <f t="shared" si="12"/>
        <v>1.2127308464037412E-2</v>
      </c>
      <c r="BT51">
        <f t="shared" si="12"/>
        <v>6.5724601701358711E-3</v>
      </c>
      <c r="BU51">
        <f t="shared" si="12"/>
        <v>-8.7460015207448832E-4</v>
      </c>
      <c r="BV51">
        <f t="shared" si="12"/>
        <v>1.4636053157915174E-2</v>
      </c>
      <c r="BW51">
        <f t="shared" si="13"/>
        <v>2.0729421610030493E-2</v>
      </c>
      <c r="BX51">
        <f t="shared" si="13"/>
        <v>1.84341317358356E-2</v>
      </c>
      <c r="BY51">
        <f t="shared" si="13"/>
        <v>3.0042413258809025E-3</v>
      </c>
      <c r="BZ51">
        <f t="shared" si="13"/>
        <v>9.7971369643510386E-2</v>
      </c>
      <c r="CA51">
        <f t="shared" si="13"/>
        <v>-0.58365565591597568</v>
      </c>
      <c r="CB51">
        <f t="shared" si="13"/>
        <v>0.14459700004687792</v>
      </c>
      <c r="CC51">
        <f t="shared" si="13"/>
        <v>-0.10317526759930243</v>
      </c>
      <c r="CD51">
        <f t="shared" si="13"/>
        <v>8.126668262557148E-3</v>
      </c>
      <c r="CE51">
        <f t="shared" si="13"/>
        <v>1.2882370031055189E-2</v>
      </c>
      <c r="CG51">
        <f t="shared" si="5"/>
        <v>0.99999999999999989</v>
      </c>
      <c r="CH51">
        <f t="shared" si="6"/>
        <v>1</v>
      </c>
      <c r="CJ51">
        <f t="shared" si="7"/>
        <v>5.9414676223864864E-2</v>
      </c>
    </row>
    <row r="52" spans="1:88" ht="14.4" x14ac:dyDescent="0.3">
      <c r="A52" t="s">
        <v>53</v>
      </c>
      <c r="B52" s="6">
        <v>1.2302480046003587E-2</v>
      </c>
      <c r="C52" s="6">
        <v>1.7436115744460502E-2</v>
      </c>
      <c r="D52" s="6">
        <v>4.1574886424874891E-2</v>
      </c>
      <c r="E52" s="6">
        <v>2.3134786866625422E-2</v>
      </c>
      <c r="F52" s="6">
        <v>2.8237828179914198E-2</v>
      </c>
      <c r="G52" s="6">
        <v>3.437379253098035E-2</v>
      </c>
      <c r="H52" s="6">
        <v>1.0029076589493629E-3</v>
      </c>
      <c r="I52" s="6">
        <v>1.1105898970345746E-2</v>
      </c>
      <c r="J52" s="6">
        <v>2.9511961376609358E-2</v>
      </c>
      <c r="K52" s="6">
        <v>0.53712554690702885</v>
      </c>
      <c r="L52" s="6">
        <v>1.2366715669878771E-2</v>
      </c>
      <c r="M52" s="6">
        <v>2.5368089891005009E-2</v>
      </c>
      <c r="N52" s="6">
        <v>0.39853125107422332</v>
      </c>
      <c r="O52" s="6">
        <v>0.12962131553611589</v>
      </c>
      <c r="P52" s="6">
        <v>0.13346641086268082</v>
      </c>
      <c r="Q52" s="6">
        <v>-0.13806320618806153</v>
      </c>
      <c r="R52" s="6">
        <v>-0.13749065491826706</v>
      </c>
      <c r="S52" s="6">
        <v>-0.15029819902339162</v>
      </c>
      <c r="T52" s="6">
        <v>-0.17836541302248179</v>
      </c>
      <c r="U52" s="6">
        <v>-0.18563088737664749</v>
      </c>
      <c r="V52" s="6">
        <v>-1.9787545439697053E-3</v>
      </c>
      <c r="W52" s="6">
        <v>2.5240451864021261E-2</v>
      </c>
      <c r="X52" s="6">
        <v>2.283728412758498E-2</v>
      </c>
      <c r="Y52" s="6">
        <v>1.607433409261173E-2</v>
      </c>
      <c r="Z52" s="6">
        <v>2.9434841777542719E-3</v>
      </c>
      <c r="AA52" s="6">
        <v>9.2405993510442531E-3</v>
      </c>
      <c r="AB52" s="6">
        <v>1.2127308345520223E-2</v>
      </c>
      <c r="AC52" s="6">
        <v>6.5724601059048418E-3</v>
      </c>
      <c r="AD52" s="6">
        <v>-8.7460014352723709E-4</v>
      </c>
      <c r="AE52" s="6">
        <v>1.4636053014880641E-2</v>
      </c>
      <c r="AF52" s="6">
        <v>2.0729421407446977E-2</v>
      </c>
      <c r="AG52" s="6">
        <v>1.8434131555683384E-2</v>
      </c>
      <c r="AH52" s="6">
        <v>3.0042412965211943E-3</v>
      </c>
      <c r="AI52" s="6">
        <v>9.7971368686060392E-2</v>
      </c>
      <c r="AJ52" s="6">
        <v>-0.58365565021205312</v>
      </c>
      <c r="AK52" s="6">
        <v>0.14459699863376715</v>
      </c>
      <c r="AL52" s="6">
        <v>-0.10317526659099603</v>
      </c>
      <c r="AM52" s="6">
        <v>8.1266681831372277E-3</v>
      </c>
      <c r="AN52" s="6">
        <v>1.288236990515897E-2</v>
      </c>
      <c r="AP52">
        <f t="shared" si="2"/>
        <v>0.99999998045449423</v>
      </c>
      <c r="AQ52">
        <f t="shared" si="3"/>
        <v>0.99999999022724706</v>
      </c>
      <c r="AS52">
        <f t="shared" si="11"/>
        <v>1.2302480166232687E-2</v>
      </c>
      <c r="AT52">
        <f t="shared" si="11"/>
        <v>1.7436115914859357E-2</v>
      </c>
      <c r="AU52">
        <f t="shared" si="11"/>
        <v>4.1574886831175988E-2</v>
      </c>
      <c r="AV52">
        <f t="shared" si="11"/>
        <v>2.3134787092715981E-2</v>
      </c>
      <c r="AW52">
        <f t="shared" si="11"/>
        <v>2.8237828455875517E-2</v>
      </c>
      <c r="AX52">
        <f t="shared" si="11"/>
        <v>3.4373792866906935E-2</v>
      </c>
      <c r="AY52">
        <f t="shared" si="11"/>
        <v>1.0029076687505317E-3</v>
      </c>
      <c r="AZ52">
        <f t="shared" si="11"/>
        <v>1.1105899078880955E-2</v>
      </c>
      <c r="BA52">
        <f t="shared" si="11"/>
        <v>2.9511961665022467E-2</v>
      </c>
      <c r="BB52">
        <f t="shared" si="11"/>
        <v>0.53712555215622415</v>
      </c>
      <c r="BC52">
        <f t="shared" si="11"/>
        <v>1.2366715790735628E-2</v>
      </c>
      <c r="BD52">
        <f t="shared" si="11"/>
        <v>2.5368090138921086E-2</v>
      </c>
      <c r="BE52">
        <f t="shared" ref="BE52:BG65" si="15">N52/$AQ52</f>
        <v>0.39853125496897079</v>
      </c>
      <c r="BF52">
        <f t="shared" si="15"/>
        <v>0.129621316802873</v>
      </c>
      <c r="BG52">
        <f t="shared" si="15"/>
        <v>0.1334664121670151</v>
      </c>
      <c r="BH52">
        <f t="shared" si="14"/>
        <v>-0.13806320753731915</v>
      </c>
      <c r="BI52">
        <f t="shared" si="14"/>
        <v>-0.13749065626192927</v>
      </c>
      <c r="BJ52">
        <f t="shared" si="14"/>
        <v>-0.15029820049221879</v>
      </c>
      <c r="BK52">
        <f t="shared" si="14"/>
        <v>-0.17836541476560291</v>
      </c>
      <c r="BL52">
        <f t="shared" si="12"/>
        <v>-0.18563088919077231</v>
      </c>
      <c r="BM52">
        <f t="shared" si="12"/>
        <v>-1.9787545633075847E-3</v>
      </c>
      <c r="BN52">
        <f t="shared" si="12"/>
        <v>2.5240452110689964E-2</v>
      </c>
      <c r="BO52">
        <f t="shared" si="12"/>
        <v>2.2837284350768119E-2</v>
      </c>
      <c r="BP52">
        <f t="shared" si="12"/>
        <v>1.6074334249702227E-2</v>
      </c>
      <c r="BQ52">
        <f t="shared" si="12"/>
        <v>2.943484206520216E-3</v>
      </c>
      <c r="BR52">
        <f t="shared" si="12"/>
        <v>9.240599441350349E-3</v>
      </c>
      <c r="BS52">
        <f t="shared" si="12"/>
        <v>1.2127308464037412E-2</v>
      </c>
      <c r="BT52">
        <f t="shared" si="12"/>
        <v>6.5724601701358711E-3</v>
      </c>
      <c r="BU52">
        <f t="shared" si="12"/>
        <v>-8.7460015207448832E-4</v>
      </c>
      <c r="BV52">
        <f t="shared" si="12"/>
        <v>1.4636053157915174E-2</v>
      </c>
      <c r="BW52">
        <f t="shared" si="13"/>
        <v>2.0729421610030493E-2</v>
      </c>
      <c r="BX52">
        <f t="shared" si="13"/>
        <v>1.84341317358356E-2</v>
      </c>
      <c r="BY52">
        <f t="shared" si="13"/>
        <v>3.0042413258809025E-3</v>
      </c>
      <c r="BZ52">
        <f t="shared" si="13"/>
        <v>9.7971369643510386E-2</v>
      </c>
      <c r="CA52">
        <f t="shared" si="13"/>
        <v>-0.58365565591597568</v>
      </c>
      <c r="CB52">
        <f t="shared" si="13"/>
        <v>0.14459700004687792</v>
      </c>
      <c r="CC52">
        <f t="shared" si="13"/>
        <v>-0.10317526759930243</v>
      </c>
      <c r="CD52">
        <f t="shared" si="13"/>
        <v>8.126668262557148E-3</v>
      </c>
      <c r="CE52">
        <f t="shared" si="13"/>
        <v>1.2882370031055189E-2</v>
      </c>
      <c r="CG52">
        <f t="shared" si="5"/>
        <v>0.99999999999999989</v>
      </c>
      <c r="CH52">
        <f t="shared" si="6"/>
        <v>1</v>
      </c>
      <c r="CJ52">
        <f t="shared" si="7"/>
        <v>5.9414676223864864E-2</v>
      </c>
    </row>
    <row r="53" spans="1:88" ht="14.4" x14ac:dyDescent="0.3">
      <c r="A53" t="s">
        <v>54</v>
      </c>
      <c r="B53" s="6">
        <v>1.2302480046003587E-2</v>
      </c>
      <c r="C53" s="6">
        <v>1.7436115744460502E-2</v>
      </c>
      <c r="D53" s="6">
        <v>4.1574886424874891E-2</v>
      </c>
      <c r="E53" s="6">
        <v>2.3134786866625422E-2</v>
      </c>
      <c r="F53" s="6">
        <v>2.8237828179914198E-2</v>
      </c>
      <c r="G53" s="6">
        <v>3.437379253098035E-2</v>
      </c>
      <c r="H53" s="6">
        <v>1.0029076589493629E-3</v>
      </c>
      <c r="I53" s="6">
        <v>1.1105898970345746E-2</v>
      </c>
      <c r="J53" s="6">
        <v>2.9511961376609358E-2</v>
      </c>
      <c r="K53" s="6">
        <v>0.53712554690702885</v>
      </c>
      <c r="L53" s="6">
        <v>1.2366715669878771E-2</v>
      </c>
      <c r="M53" s="6">
        <v>2.5368089891005009E-2</v>
      </c>
      <c r="N53" s="6">
        <v>0.39853125107422332</v>
      </c>
      <c r="O53" s="6">
        <v>0.12962131553611589</v>
      </c>
      <c r="P53" s="6">
        <v>0.13346641086268082</v>
      </c>
      <c r="Q53" s="6">
        <v>-0.13806320618806153</v>
      </c>
      <c r="R53" s="6">
        <v>-0.13749065491826706</v>
      </c>
      <c r="S53" s="6">
        <v>-0.15029819902339162</v>
      </c>
      <c r="T53" s="6">
        <v>-0.17836541302248179</v>
      </c>
      <c r="U53" s="6">
        <v>-0.18563088737664749</v>
      </c>
      <c r="V53" s="6">
        <v>-1.9787545439697053E-3</v>
      </c>
      <c r="W53" s="6">
        <v>2.5240451864021261E-2</v>
      </c>
      <c r="X53" s="6">
        <v>2.283728412758498E-2</v>
      </c>
      <c r="Y53" s="6">
        <v>1.607433409261173E-2</v>
      </c>
      <c r="Z53" s="6">
        <v>2.9434841777542719E-3</v>
      </c>
      <c r="AA53" s="6">
        <v>9.2405993510442531E-3</v>
      </c>
      <c r="AB53" s="6">
        <v>1.2127308345520223E-2</v>
      </c>
      <c r="AC53" s="6">
        <v>6.5724601059048418E-3</v>
      </c>
      <c r="AD53" s="6">
        <v>-8.7460014352723709E-4</v>
      </c>
      <c r="AE53" s="6">
        <v>1.4636053014880641E-2</v>
      </c>
      <c r="AF53" s="6">
        <v>2.0729421407446977E-2</v>
      </c>
      <c r="AG53" s="6">
        <v>1.8434131555683384E-2</v>
      </c>
      <c r="AH53" s="6">
        <v>3.0042412965211943E-3</v>
      </c>
      <c r="AI53" s="6">
        <v>9.7971368686060392E-2</v>
      </c>
      <c r="AJ53" s="6">
        <v>-0.58365565021205312</v>
      </c>
      <c r="AK53" s="6">
        <v>0.14459699863376715</v>
      </c>
      <c r="AL53" s="6">
        <v>-0.10317526659099603</v>
      </c>
      <c r="AM53" s="6">
        <v>8.1266681831372277E-3</v>
      </c>
      <c r="AN53" s="6">
        <v>1.288236990515897E-2</v>
      </c>
      <c r="AP53" s="3">
        <f t="shared" si="2"/>
        <v>0.99999998045449423</v>
      </c>
      <c r="AQ53" s="3">
        <f t="shared" si="3"/>
        <v>0.99999999022724706</v>
      </c>
      <c r="AR53" s="3"/>
      <c r="AS53" s="3">
        <f t="shared" ref="AS53:BD65" si="16">B53/$AQ53</f>
        <v>1.2302480166232687E-2</v>
      </c>
      <c r="AT53" s="3">
        <f t="shared" si="16"/>
        <v>1.7436115914859357E-2</v>
      </c>
      <c r="AU53" s="3">
        <f t="shared" si="16"/>
        <v>4.1574886831175988E-2</v>
      </c>
      <c r="AV53" s="3">
        <f t="shared" si="16"/>
        <v>2.3134787092715981E-2</v>
      </c>
      <c r="AW53" s="3">
        <f t="shared" si="16"/>
        <v>2.8237828455875517E-2</v>
      </c>
      <c r="AX53" s="3">
        <f t="shared" si="16"/>
        <v>3.4373792866906935E-2</v>
      </c>
      <c r="AY53" s="3">
        <f t="shared" si="16"/>
        <v>1.0029076687505317E-3</v>
      </c>
      <c r="AZ53" s="3">
        <f t="shared" si="16"/>
        <v>1.1105899078880955E-2</v>
      </c>
      <c r="BA53" s="3">
        <f t="shared" si="16"/>
        <v>2.9511961665022467E-2</v>
      </c>
      <c r="BB53" s="3">
        <f t="shared" si="16"/>
        <v>0.53712555215622415</v>
      </c>
      <c r="BC53" s="3">
        <f t="shared" si="16"/>
        <v>1.2366715790735628E-2</v>
      </c>
      <c r="BD53" s="3">
        <f t="shared" si="16"/>
        <v>2.5368090138921086E-2</v>
      </c>
      <c r="BE53" s="3">
        <f t="shared" si="15"/>
        <v>0.39853125496897079</v>
      </c>
      <c r="BF53" s="3">
        <f t="shared" si="15"/>
        <v>0.129621316802873</v>
      </c>
      <c r="BG53" s="3">
        <f t="shared" si="15"/>
        <v>0.1334664121670151</v>
      </c>
      <c r="BH53" s="3">
        <f t="shared" si="14"/>
        <v>-0.13806320753731915</v>
      </c>
      <c r="BI53" s="3">
        <f t="shared" si="14"/>
        <v>-0.13749065626192927</v>
      </c>
      <c r="BJ53" s="3">
        <f t="shared" si="14"/>
        <v>-0.15029820049221879</v>
      </c>
      <c r="BK53" s="3">
        <f t="shared" si="14"/>
        <v>-0.17836541476560291</v>
      </c>
      <c r="BL53" s="3">
        <f t="shared" si="12"/>
        <v>-0.18563088919077231</v>
      </c>
      <c r="BM53" s="3">
        <f t="shared" si="12"/>
        <v>-1.9787545633075847E-3</v>
      </c>
      <c r="BN53" s="3">
        <f t="shared" si="12"/>
        <v>2.5240452110689964E-2</v>
      </c>
      <c r="BO53" s="3">
        <f t="shared" si="12"/>
        <v>2.2837284350768119E-2</v>
      </c>
      <c r="BP53" s="3">
        <f t="shared" si="12"/>
        <v>1.6074334249702227E-2</v>
      </c>
      <c r="BQ53" s="3">
        <f t="shared" si="12"/>
        <v>2.943484206520216E-3</v>
      </c>
      <c r="BR53" s="3">
        <f t="shared" ref="BR53:BY65" si="17">AA53/$AQ53</f>
        <v>9.240599441350349E-3</v>
      </c>
      <c r="BS53" s="3">
        <f t="shared" si="17"/>
        <v>1.2127308464037412E-2</v>
      </c>
      <c r="BT53" s="3">
        <f t="shared" si="17"/>
        <v>6.5724601701358711E-3</v>
      </c>
      <c r="BU53" s="3">
        <f t="shared" si="17"/>
        <v>-8.7460015207448832E-4</v>
      </c>
      <c r="BV53" s="3">
        <f t="shared" si="17"/>
        <v>1.4636053157915174E-2</v>
      </c>
      <c r="BW53" s="3">
        <f t="shared" si="13"/>
        <v>2.0729421610030493E-2</v>
      </c>
      <c r="BX53" s="3">
        <f t="shared" si="13"/>
        <v>1.84341317358356E-2</v>
      </c>
      <c r="BY53" s="3">
        <f t="shared" si="13"/>
        <v>3.0042413258809025E-3</v>
      </c>
      <c r="BZ53" s="3">
        <f t="shared" si="13"/>
        <v>9.7971369643510386E-2</v>
      </c>
      <c r="CA53" s="3">
        <f t="shared" si="13"/>
        <v>-0.58365565591597568</v>
      </c>
      <c r="CB53" s="3">
        <f t="shared" si="13"/>
        <v>0.14459700004687792</v>
      </c>
      <c r="CC53" s="3">
        <f t="shared" si="13"/>
        <v>-0.10317526759930243</v>
      </c>
      <c r="CD53" s="3">
        <f t="shared" si="13"/>
        <v>8.126668262557148E-3</v>
      </c>
      <c r="CE53" s="3">
        <f t="shared" si="13"/>
        <v>1.2882370031055189E-2</v>
      </c>
      <c r="CF53" s="3"/>
      <c r="CG53" s="3">
        <f t="shared" si="5"/>
        <v>0.99999999999999989</v>
      </c>
      <c r="CH53" s="3">
        <f t="shared" si="6"/>
        <v>1</v>
      </c>
      <c r="CI53" s="3"/>
      <c r="CJ53" s="3">
        <f t="shared" si="7"/>
        <v>5.9414676223864864E-2</v>
      </c>
    </row>
    <row r="54" spans="1:88" ht="14.4" x14ac:dyDescent="0.3">
      <c r="A54" t="s">
        <v>55</v>
      </c>
      <c r="B54" s="6">
        <v>1.2302480046003587E-2</v>
      </c>
      <c r="C54" s="6">
        <v>1.7436115744460502E-2</v>
      </c>
      <c r="D54" s="6">
        <v>4.1574886424874891E-2</v>
      </c>
      <c r="E54" s="6">
        <v>2.3134786866625422E-2</v>
      </c>
      <c r="F54" s="6">
        <v>2.8237828179914198E-2</v>
      </c>
      <c r="G54" s="6">
        <v>3.437379253098035E-2</v>
      </c>
      <c r="H54" s="6">
        <v>1.0029076589493629E-3</v>
      </c>
      <c r="I54" s="6">
        <v>1.1105898970345746E-2</v>
      </c>
      <c r="J54" s="6">
        <v>2.9511961376609358E-2</v>
      </c>
      <c r="K54" s="6">
        <v>0.53712554690702885</v>
      </c>
      <c r="L54" s="6">
        <v>1.2366715669878771E-2</v>
      </c>
      <c r="M54" s="6">
        <v>2.5368089891005009E-2</v>
      </c>
      <c r="N54" s="6">
        <v>0.39853125107422332</v>
      </c>
      <c r="O54" s="6">
        <v>0.12962131553611589</v>
      </c>
      <c r="P54" s="6">
        <v>0.13346641086268082</v>
      </c>
      <c r="Q54" s="6">
        <v>-0.13806320618806153</v>
      </c>
      <c r="R54" s="6">
        <v>-0.13749065491826706</v>
      </c>
      <c r="S54" s="6">
        <v>-0.15029819902339162</v>
      </c>
      <c r="T54" s="6">
        <v>-0.17836541302248179</v>
      </c>
      <c r="U54" s="6">
        <v>-0.18563088737664749</v>
      </c>
      <c r="V54" s="6">
        <v>-1.9787545439697053E-3</v>
      </c>
      <c r="W54" s="6">
        <v>2.5240451864021261E-2</v>
      </c>
      <c r="X54" s="6">
        <v>2.283728412758498E-2</v>
      </c>
      <c r="Y54" s="6">
        <v>1.607433409261173E-2</v>
      </c>
      <c r="Z54" s="6">
        <v>2.9434841777542719E-3</v>
      </c>
      <c r="AA54" s="6">
        <v>9.2405993510442531E-3</v>
      </c>
      <c r="AB54" s="6">
        <v>1.2127308345520223E-2</v>
      </c>
      <c r="AC54" s="6">
        <v>6.5724601059048418E-3</v>
      </c>
      <c r="AD54" s="6">
        <v>-8.7460014352723709E-4</v>
      </c>
      <c r="AE54" s="6">
        <v>1.4636053014880641E-2</v>
      </c>
      <c r="AF54" s="6">
        <v>2.0729421407446977E-2</v>
      </c>
      <c r="AG54" s="6">
        <v>1.8434131555683384E-2</v>
      </c>
      <c r="AH54" s="6">
        <v>3.0042412965211943E-3</v>
      </c>
      <c r="AI54" s="6">
        <v>9.7971368686060392E-2</v>
      </c>
      <c r="AJ54" s="6">
        <v>-0.58365565021205312</v>
      </c>
      <c r="AK54" s="6">
        <v>0.14459699863376715</v>
      </c>
      <c r="AL54" s="6">
        <v>-0.10317526659099603</v>
      </c>
      <c r="AM54" s="6">
        <v>8.1266681831372277E-3</v>
      </c>
      <c r="AN54" s="6">
        <v>1.288236990515897E-2</v>
      </c>
      <c r="AP54">
        <f t="shared" si="2"/>
        <v>0.99999998045449423</v>
      </c>
      <c r="AQ54">
        <f t="shared" si="3"/>
        <v>0.99999999022724706</v>
      </c>
      <c r="AS54">
        <f t="shared" si="16"/>
        <v>1.2302480166232687E-2</v>
      </c>
      <c r="AT54">
        <f t="shared" si="16"/>
        <v>1.7436115914859357E-2</v>
      </c>
      <c r="AU54">
        <f t="shared" si="16"/>
        <v>4.1574886831175988E-2</v>
      </c>
      <c r="AV54">
        <f t="shared" si="16"/>
        <v>2.3134787092715981E-2</v>
      </c>
      <c r="AW54">
        <f t="shared" si="16"/>
        <v>2.8237828455875517E-2</v>
      </c>
      <c r="AX54">
        <f t="shared" si="16"/>
        <v>3.4373792866906935E-2</v>
      </c>
      <c r="AY54">
        <f t="shared" si="16"/>
        <v>1.0029076687505317E-3</v>
      </c>
      <c r="AZ54">
        <f t="shared" si="16"/>
        <v>1.1105899078880955E-2</v>
      </c>
      <c r="BA54">
        <f t="shared" si="16"/>
        <v>2.9511961665022467E-2</v>
      </c>
      <c r="BB54">
        <f t="shared" si="16"/>
        <v>0.53712555215622415</v>
      </c>
      <c r="BC54">
        <f t="shared" si="16"/>
        <v>1.2366715790735628E-2</v>
      </c>
      <c r="BD54">
        <f t="shared" si="16"/>
        <v>2.5368090138921086E-2</v>
      </c>
      <c r="BE54">
        <f t="shared" si="15"/>
        <v>0.39853125496897079</v>
      </c>
      <c r="BF54">
        <f t="shared" si="15"/>
        <v>0.129621316802873</v>
      </c>
      <c r="BG54">
        <f t="shared" si="15"/>
        <v>0.1334664121670151</v>
      </c>
      <c r="BH54">
        <f t="shared" si="14"/>
        <v>-0.13806320753731915</v>
      </c>
      <c r="BI54">
        <f t="shared" si="14"/>
        <v>-0.13749065626192927</v>
      </c>
      <c r="BJ54">
        <f t="shared" si="14"/>
        <v>-0.15029820049221879</v>
      </c>
      <c r="BK54">
        <f t="shared" si="14"/>
        <v>-0.17836541476560291</v>
      </c>
      <c r="BL54">
        <f t="shared" si="14"/>
        <v>-0.18563088919077231</v>
      </c>
      <c r="BM54">
        <f t="shared" si="14"/>
        <v>-1.9787545633075847E-3</v>
      </c>
      <c r="BN54">
        <f t="shared" si="14"/>
        <v>2.5240452110689964E-2</v>
      </c>
      <c r="BO54">
        <f t="shared" si="14"/>
        <v>2.2837284350768119E-2</v>
      </c>
      <c r="BP54">
        <f t="shared" si="14"/>
        <v>1.6074334249702227E-2</v>
      </c>
      <c r="BQ54">
        <f t="shared" si="14"/>
        <v>2.943484206520216E-3</v>
      </c>
      <c r="BR54">
        <f t="shared" si="17"/>
        <v>9.240599441350349E-3</v>
      </c>
      <c r="BS54">
        <f t="shared" si="17"/>
        <v>1.2127308464037412E-2</v>
      </c>
      <c r="BT54">
        <f t="shared" si="17"/>
        <v>6.5724601701358711E-3</v>
      </c>
      <c r="BU54">
        <f t="shared" si="17"/>
        <v>-8.7460015207448832E-4</v>
      </c>
      <c r="BV54">
        <f t="shared" si="17"/>
        <v>1.4636053157915174E-2</v>
      </c>
      <c r="BW54">
        <f t="shared" si="13"/>
        <v>2.0729421610030493E-2</v>
      </c>
      <c r="BX54">
        <f t="shared" si="13"/>
        <v>1.84341317358356E-2</v>
      </c>
      <c r="BY54">
        <f t="shared" si="13"/>
        <v>3.0042413258809025E-3</v>
      </c>
      <c r="BZ54">
        <f t="shared" si="13"/>
        <v>9.7971369643510386E-2</v>
      </c>
      <c r="CA54">
        <f t="shared" si="13"/>
        <v>-0.58365565591597568</v>
      </c>
      <c r="CB54">
        <f t="shared" si="13"/>
        <v>0.14459700004687792</v>
      </c>
      <c r="CC54">
        <f t="shared" si="13"/>
        <v>-0.10317526759930243</v>
      </c>
      <c r="CD54">
        <f t="shared" si="13"/>
        <v>8.126668262557148E-3</v>
      </c>
      <c r="CE54">
        <f t="shared" si="13"/>
        <v>1.2882370031055189E-2</v>
      </c>
      <c r="CG54">
        <f t="shared" si="5"/>
        <v>0.99999999999999989</v>
      </c>
      <c r="CH54">
        <f t="shared" si="6"/>
        <v>1</v>
      </c>
      <c r="CJ54">
        <f t="shared" si="7"/>
        <v>5.9414676223864864E-2</v>
      </c>
    </row>
    <row r="55" spans="1:88" ht="14.4" x14ac:dyDescent="0.3">
      <c r="A55" t="s">
        <v>56</v>
      </c>
      <c r="B55" s="6">
        <v>1.2302480046003587E-2</v>
      </c>
      <c r="C55" s="6">
        <v>1.7436115744460502E-2</v>
      </c>
      <c r="D55" s="6">
        <v>4.1574886424874891E-2</v>
      </c>
      <c r="E55" s="6">
        <v>2.3134786866625422E-2</v>
      </c>
      <c r="F55" s="6">
        <v>2.8237828179914198E-2</v>
      </c>
      <c r="G55" s="6">
        <v>3.437379253098035E-2</v>
      </c>
      <c r="H55" s="6">
        <v>1.0029076589493629E-3</v>
      </c>
      <c r="I55" s="6">
        <v>1.1105898970345746E-2</v>
      </c>
      <c r="J55" s="6">
        <v>2.9511961376609358E-2</v>
      </c>
      <c r="K55" s="6">
        <v>0.53712554690702885</v>
      </c>
      <c r="L55" s="6">
        <v>1.2366715669878771E-2</v>
      </c>
      <c r="M55" s="6">
        <v>2.5368089891005009E-2</v>
      </c>
      <c r="N55" s="6">
        <v>0.39853125107422332</v>
      </c>
      <c r="O55" s="6">
        <v>0.12962131553611589</v>
      </c>
      <c r="P55" s="6">
        <v>0.13346641086268082</v>
      </c>
      <c r="Q55" s="6">
        <v>-0.13806320618806153</v>
      </c>
      <c r="R55" s="6">
        <v>-0.13749065491826706</v>
      </c>
      <c r="S55" s="6">
        <v>-0.15029819902339162</v>
      </c>
      <c r="T55" s="6">
        <v>-0.17836541302248179</v>
      </c>
      <c r="U55" s="6">
        <v>-0.18563088737664749</v>
      </c>
      <c r="V55" s="6">
        <v>-1.9787545439697053E-3</v>
      </c>
      <c r="W55" s="6">
        <v>2.5240451864021261E-2</v>
      </c>
      <c r="X55" s="6">
        <v>2.283728412758498E-2</v>
      </c>
      <c r="Y55" s="6">
        <v>1.607433409261173E-2</v>
      </c>
      <c r="Z55" s="6">
        <v>2.9434841777542719E-3</v>
      </c>
      <c r="AA55" s="6">
        <v>9.2405993510442531E-3</v>
      </c>
      <c r="AB55" s="6">
        <v>1.2127308345520223E-2</v>
      </c>
      <c r="AC55" s="6">
        <v>6.5724601059048418E-3</v>
      </c>
      <c r="AD55" s="6">
        <v>-8.7460014352723709E-4</v>
      </c>
      <c r="AE55" s="6">
        <v>1.4636053014880641E-2</v>
      </c>
      <c r="AF55" s="6">
        <v>2.0729421407446977E-2</v>
      </c>
      <c r="AG55" s="6">
        <v>1.8434131555683384E-2</v>
      </c>
      <c r="AH55" s="6">
        <v>3.0042412965211943E-3</v>
      </c>
      <c r="AI55" s="6">
        <v>9.7971368686060392E-2</v>
      </c>
      <c r="AJ55" s="6">
        <v>-0.58365565021205312</v>
      </c>
      <c r="AK55" s="6">
        <v>0.14459699863376715</v>
      </c>
      <c r="AL55" s="6">
        <v>-0.10317526659099603</v>
      </c>
      <c r="AM55" s="6">
        <v>8.1266681831372277E-3</v>
      </c>
      <c r="AN55" s="6">
        <v>1.288236990515897E-2</v>
      </c>
      <c r="AP55">
        <f t="shared" si="2"/>
        <v>0.99999998045449423</v>
      </c>
      <c r="AQ55">
        <f t="shared" si="3"/>
        <v>0.99999999022724706</v>
      </c>
      <c r="AS55">
        <f t="shared" si="16"/>
        <v>1.2302480166232687E-2</v>
      </c>
      <c r="AT55">
        <f t="shared" si="16"/>
        <v>1.7436115914859357E-2</v>
      </c>
      <c r="AU55">
        <f t="shared" si="16"/>
        <v>4.1574886831175988E-2</v>
      </c>
      <c r="AV55">
        <f t="shared" si="16"/>
        <v>2.3134787092715981E-2</v>
      </c>
      <c r="AW55">
        <f t="shared" si="16"/>
        <v>2.8237828455875517E-2</v>
      </c>
      <c r="AX55">
        <f t="shared" si="16"/>
        <v>3.4373792866906935E-2</v>
      </c>
      <c r="AY55">
        <f t="shared" si="16"/>
        <v>1.0029076687505317E-3</v>
      </c>
      <c r="AZ55">
        <f t="shared" si="16"/>
        <v>1.1105899078880955E-2</v>
      </c>
      <c r="BA55">
        <f t="shared" si="16"/>
        <v>2.9511961665022467E-2</v>
      </c>
      <c r="BB55">
        <f t="shared" si="16"/>
        <v>0.53712555215622415</v>
      </c>
      <c r="BC55">
        <f t="shared" si="16"/>
        <v>1.2366715790735628E-2</v>
      </c>
      <c r="BD55">
        <f t="shared" si="16"/>
        <v>2.5368090138921086E-2</v>
      </c>
      <c r="BE55">
        <f t="shared" si="15"/>
        <v>0.39853125496897079</v>
      </c>
      <c r="BF55">
        <f t="shared" si="15"/>
        <v>0.129621316802873</v>
      </c>
      <c r="BG55">
        <f t="shared" si="15"/>
        <v>0.1334664121670151</v>
      </c>
      <c r="BH55">
        <f t="shared" si="14"/>
        <v>-0.13806320753731915</v>
      </c>
      <c r="BI55">
        <f t="shared" si="14"/>
        <v>-0.13749065626192927</v>
      </c>
      <c r="BJ55">
        <f t="shared" si="14"/>
        <v>-0.15029820049221879</v>
      </c>
      <c r="BK55">
        <f t="shared" si="14"/>
        <v>-0.17836541476560291</v>
      </c>
      <c r="BL55">
        <f t="shared" si="14"/>
        <v>-0.18563088919077231</v>
      </c>
      <c r="BM55">
        <f t="shared" si="14"/>
        <v>-1.9787545633075847E-3</v>
      </c>
      <c r="BN55">
        <f t="shared" si="14"/>
        <v>2.5240452110689964E-2</v>
      </c>
      <c r="BO55">
        <f t="shared" si="14"/>
        <v>2.2837284350768119E-2</v>
      </c>
      <c r="BP55">
        <f t="shared" si="14"/>
        <v>1.6074334249702227E-2</v>
      </c>
      <c r="BQ55">
        <f t="shared" si="14"/>
        <v>2.943484206520216E-3</v>
      </c>
      <c r="BR55">
        <f t="shared" si="17"/>
        <v>9.240599441350349E-3</v>
      </c>
      <c r="BS55">
        <f t="shared" si="17"/>
        <v>1.2127308464037412E-2</v>
      </c>
      <c r="BT55">
        <f t="shared" si="17"/>
        <v>6.5724601701358711E-3</v>
      </c>
      <c r="BU55">
        <f t="shared" si="17"/>
        <v>-8.7460015207448832E-4</v>
      </c>
      <c r="BV55">
        <f t="shared" si="17"/>
        <v>1.4636053157915174E-2</v>
      </c>
      <c r="BW55">
        <f t="shared" si="13"/>
        <v>2.0729421610030493E-2</v>
      </c>
      <c r="BX55">
        <f t="shared" si="13"/>
        <v>1.84341317358356E-2</v>
      </c>
      <c r="BY55">
        <f t="shared" si="13"/>
        <v>3.0042413258809025E-3</v>
      </c>
      <c r="BZ55">
        <f t="shared" si="13"/>
        <v>9.7971369643510386E-2</v>
      </c>
      <c r="CA55">
        <f t="shared" si="13"/>
        <v>-0.58365565591597568</v>
      </c>
      <c r="CB55">
        <f t="shared" si="13"/>
        <v>0.14459700004687792</v>
      </c>
      <c r="CC55">
        <f t="shared" si="13"/>
        <v>-0.10317526759930243</v>
      </c>
      <c r="CD55">
        <f t="shared" si="13"/>
        <v>8.126668262557148E-3</v>
      </c>
      <c r="CE55">
        <f t="shared" si="13"/>
        <v>1.2882370031055189E-2</v>
      </c>
      <c r="CG55">
        <f t="shared" si="5"/>
        <v>0.99999999999999989</v>
      </c>
      <c r="CH55">
        <f t="shared" si="6"/>
        <v>1</v>
      </c>
      <c r="CJ55">
        <f t="shared" si="7"/>
        <v>5.9414676223864864E-2</v>
      </c>
    </row>
    <row r="56" spans="1:88" ht="14.4" x14ac:dyDescent="0.3">
      <c r="A56" t="s">
        <v>57</v>
      </c>
      <c r="B56" s="6">
        <v>1.2302480046003587E-2</v>
      </c>
      <c r="C56" s="6">
        <v>1.7436115744460502E-2</v>
      </c>
      <c r="D56" s="6">
        <v>4.1574886424874891E-2</v>
      </c>
      <c r="E56" s="6">
        <v>2.3134786866625422E-2</v>
      </c>
      <c r="F56" s="6">
        <v>2.8237828179914198E-2</v>
      </c>
      <c r="G56" s="6">
        <v>3.437379253098035E-2</v>
      </c>
      <c r="H56" s="6">
        <v>1.0029076589493629E-3</v>
      </c>
      <c r="I56" s="6">
        <v>1.1105898970345746E-2</v>
      </c>
      <c r="J56" s="6">
        <v>2.9511961376609358E-2</v>
      </c>
      <c r="K56" s="6">
        <v>0.53712554690702885</v>
      </c>
      <c r="L56" s="6">
        <v>1.2366715669878771E-2</v>
      </c>
      <c r="M56" s="6">
        <v>2.5368089891005009E-2</v>
      </c>
      <c r="N56" s="6">
        <v>0.39853125107422332</v>
      </c>
      <c r="O56" s="6">
        <v>0.12962131553611589</v>
      </c>
      <c r="P56" s="6">
        <v>0.13346641086268082</v>
      </c>
      <c r="Q56" s="6">
        <v>-0.13806320618806153</v>
      </c>
      <c r="R56" s="6">
        <v>-0.13749065491826706</v>
      </c>
      <c r="S56" s="6">
        <v>-0.15029819902339162</v>
      </c>
      <c r="T56" s="6">
        <v>-0.17836541302248179</v>
      </c>
      <c r="U56" s="6">
        <v>-0.18563088737664749</v>
      </c>
      <c r="V56" s="6">
        <v>-1.9787545439697053E-3</v>
      </c>
      <c r="W56" s="6">
        <v>2.5240451864021261E-2</v>
      </c>
      <c r="X56" s="6">
        <v>2.283728412758498E-2</v>
      </c>
      <c r="Y56" s="6">
        <v>1.607433409261173E-2</v>
      </c>
      <c r="Z56" s="6">
        <v>2.9434841777542719E-3</v>
      </c>
      <c r="AA56" s="6">
        <v>9.2405993510442531E-3</v>
      </c>
      <c r="AB56" s="6">
        <v>1.2127308345520223E-2</v>
      </c>
      <c r="AC56" s="6">
        <v>6.5724601059048418E-3</v>
      </c>
      <c r="AD56" s="6">
        <v>-8.7460014352723709E-4</v>
      </c>
      <c r="AE56" s="6">
        <v>1.4636053014880641E-2</v>
      </c>
      <c r="AF56" s="6">
        <v>2.0729421407446977E-2</v>
      </c>
      <c r="AG56" s="6">
        <v>1.8434131555683384E-2</v>
      </c>
      <c r="AH56" s="6">
        <v>3.0042412965211943E-3</v>
      </c>
      <c r="AI56" s="6">
        <v>9.7971368686060392E-2</v>
      </c>
      <c r="AJ56" s="6">
        <v>-0.58365565021205312</v>
      </c>
      <c r="AK56" s="6">
        <v>0.14459699863376715</v>
      </c>
      <c r="AL56" s="6">
        <v>-0.10317526659099603</v>
      </c>
      <c r="AM56" s="6">
        <v>8.1266681831372277E-3</v>
      </c>
      <c r="AN56" s="6">
        <v>1.288236990515897E-2</v>
      </c>
      <c r="AP56">
        <f t="shared" si="2"/>
        <v>0.99999998045449423</v>
      </c>
      <c r="AQ56">
        <f t="shared" si="3"/>
        <v>0.99999999022724706</v>
      </c>
      <c r="AS56">
        <f t="shared" si="16"/>
        <v>1.2302480166232687E-2</v>
      </c>
      <c r="AT56">
        <f t="shared" si="16"/>
        <v>1.7436115914859357E-2</v>
      </c>
      <c r="AU56">
        <f t="shared" si="16"/>
        <v>4.1574886831175988E-2</v>
      </c>
      <c r="AV56">
        <f t="shared" si="16"/>
        <v>2.3134787092715981E-2</v>
      </c>
      <c r="AW56">
        <f t="shared" si="16"/>
        <v>2.8237828455875517E-2</v>
      </c>
      <c r="AX56">
        <f t="shared" si="16"/>
        <v>3.4373792866906935E-2</v>
      </c>
      <c r="AY56">
        <f t="shared" si="16"/>
        <v>1.0029076687505317E-3</v>
      </c>
      <c r="AZ56">
        <f t="shared" si="16"/>
        <v>1.1105899078880955E-2</v>
      </c>
      <c r="BA56">
        <f t="shared" si="16"/>
        <v>2.9511961665022467E-2</v>
      </c>
      <c r="BB56">
        <f t="shared" si="16"/>
        <v>0.53712555215622415</v>
      </c>
      <c r="BC56">
        <f t="shared" si="16"/>
        <v>1.2366715790735628E-2</v>
      </c>
      <c r="BD56">
        <f t="shared" si="16"/>
        <v>2.5368090138921086E-2</v>
      </c>
      <c r="BE56">
        <f t="shared" si="15"/>
        <v>0.39853125496897079</v>
      </c>
      <c r="BF56">
        <f t="shared" si="15"/>
        <v>0.129621316802873</v>
      </c>
      <c r="BG56">
        <f t="shared" si="15"/>
        <v>0.1334664121670151</v>
      </c>
      <c r="BH56">
        <f t="shared" si="14"/>
        <v>-0.13806320753731915</v>
      </c>
      <c r="BI56">
        <f t="shared" si="14"/>
        <v>-0.13749065626192927</v>
      </c>
      <c r="BJ56">
        <f t="shared" si="14"/>
        <v>-0.15029820049221879</v>
      </c>
      <c r="BK56">
        <f t="shared" si="14"/>
        <v>-0.17836541476560291</v>
      </c>
      <c r="BL56">
        <f t="shared" si="14"/>
        <v>-0.18563088919077231</v>
      </c>
      <c r="BM56">
        <f t="shared" si="14"/>
        <v>-1.9787545633075847E-3</v>
      </c>
      <c r="BN56">
        <f t="shared" si="14"/>
        <v>2.5240452110689964E-2</v>
      </c>
      <c r="BO56">
        <f t="shared" si="14"/>
        <v>2.2837284350768119E-2</v>
      </c>
      <c r="BP56">
        <f t="shared" si="14"/>
        <v>1.6074334249702227E-2</v>
      </c>
      <c r="BQ56">
        <f t="shared" si="14"/>
        <v>2.943484206520216E-3</v>
      </c>
      <c r="BR56">
        <f t="shared" si="17"/>
        <v>9.240599441350349E-3</v>
      </c>
      <c r="BS56">
        <f t="shared" si="17"/>
        <v>1.2127308464037412E-2</v>
      </c>
      <c r="BT56">
        <f t="shared" si="17"/>
        <v>6.5724601701358711E-3</v>
      </c>
      <c r="BU56">
        <f t="shared" si="17"/>
        <v>-8.7460015207448832E-4</v>
      </c>
      <c r="BV56">
        <f t="shared" si="17"/>
        <v>1.4636053157915174E-2</v>
      </c>
      <c r="BW56">
        <f t="shared" si="13"/>
        <v>2.0729421610030493E-2</v>
      </c>
      <c r="BX56">
        <f t="shared" si="13"/>
        <v>1.84341317358356E-2</v>
      </c>
      <c r="BY56">
        <f t="shared" si="13"/>
        <v>3.0042413258809025E-3</v>
      </c>
      <c r="BZ56">
        <f t="shared" si="13"/>
        <v>9.7971369643510386E-2</v>
      </c>
      <c r="CA56">
        <f t="shared" si="13"/>
        <v>-0.58365565591597568</v>
      </c>
      <c r="CB56">
        <f t="shared" si="13"/>
        <v>0.14459700004687792</v>
      </c>
      <c r="CC56">
        <f t="shared" si="13"/>
        <v>-0.10317526759930243</v>
      </c>
      <c r="CD56">
        <f t="shared" si="13"/>
        <v>8.126668262557148E-3</v>
      </c>
      <c r="CE56">
        <f t="shared" si="13"/>
        <v>1.2882370031055189E-2</v>
      </c>
      <c r="CG56">
        <f t="shared" si="5"/>
        <v>0.99999999999999989</v>
      </c>
      <c r="CH56">
        <f t="shared" si="6"/>
        <v>1</v>
      </c>
      <c r="CJ56">
        <f t="shared" si="7"/>
        <v>5.9414676223864864E-2</v>
      </c>
    </row>
    <row r="57" spans="1:88" ht="14.4" x14ac:dyDescent="0.3">
      <c r="A57" t="s">
        <v>58</v>
      </c>
      <c r="B57" s="6">
        <v>1.2302480046003587E-2</v>
      </c>
      <c r="C57" s="6">
        <v>1.7436115744460502E-2</v>
      </c>
      <c r="D57" s="6">
        <v>4.1574886424874891E-2</v>
      </c>
      <c r="E57" s="6">
        <v>2.3134786866625422E-2</v>
      </c>
      <c r="F57" s="6">
        <v>2.8237828179914198E-2</v>
      </c>
      <c r="G57" s="6">
        <v>3.437379253098035E-2</v>
      </c>
      <c r="H57" s="6">
        <v>1.0029076589493629E-3</v>
      </c>
      <c r="I57" s="6">
        <v>1.1105898970345746E-2</v>
      </c>
      <c r="J57" s="6">
        <v>2.9511961376609358E-2</v>
      </c>
      <c r="K57" s="6">
        <v>0.53712554690702885</v>
      </c>
      <c r="L57" s="6">
        <v>1.2366715669878771E-2</v>
      </c>
      <c r="M57" s="6">
        <v>2.5368089891005009E-2</v>
      </c>
      <c r="N57" s="6">
        <v>0.39853125107422332</v>
      </c>
      <c r="O57" s="6">
        <v>0.12962131553611589</v>
      </c>
      <c r="P57" s="6">
        <v>0.13346641086268082</v>
      </c>
      <c r="Q57" s="6">
        <v>-0.13806320618806153</v>
      </c>
      <c r="R57" s="6">
        <v>-0.13749065491826706</v>
      </c>
      <c r="S57" s="6">
        <v>-0.15029819902339162</v>
      </c>
      <c r="T57" s="6">
        <v>-0.17836541302248179</v>
      </c>
      <c r="U57" s="6">
        <v>-0.18563088737664749</v>
      </c>
      <c r="V57" s="6">
        <v>-1.9787545439697053E-3</v>
      </c>
      <c r="W57" s="6">
        <v>2.5240451864021261E-2</v>
      </c>
      <c r="X57" s="6">
        <v>2.283728412758498E-2</v>
      </c>
      <c r="Y57" s="6">
        <v>1.607433409261173E-2</v>
      </c>
      <c r="Z57" s="6">
        <v>2.9434841777542719E-3</v>
      </c>
      <c r="AA57" s="6">
        <v>9.2405993510442531E-3</v>
      </c>
      <c r="AB57" s="6">
        <v>1.2127308345520223E-2</v>
      </c>
      <c r="AC57" s="6">
        <v>6.5724601059048418E-3</v>
      </c>
      <c r="AD57" s="6">
        <v>-8.7460014352723709E-4</v>
      </c>
      <c r="AE57" s="6">
        <v>1.4636053014880641E-2</v>
      </c>
      <c r="AF57" s="6">
        <v>2.0729421407446977E-2</v>
      </c>
      <c r="AG57" s="6">
        <v>1.8434131555683384E-2</v>
      </c>
      <c r="AH57" s="6">
        <v>3.0042412965211943E-3</v>
      </c>
      <c r="AI57" s="6">
        <v>9.7971368686060392E-2</v>
      </c>
      <c r="AJ57" s="6">
        <v>-0.58365565021205312</v>
      </c>
      <c r="AK57" s="6">
        <v>0.14459699863376715</v>
      </c>
      <c r="AL57" s="6">
        <v>-0.10317526659099603</v>
      </c>
      <c r="AM57" s="6">
        <v>8.1266681831372277E-3</v>
      </c>
      <c r="AN57" s="6">
        <v>1.288236990515897E-2</v>
      </c>
      <c r="AP57">
        <f t="shared" si="2"/>
        <v>0.99999998045449423</v>
      </c>
      <c r="AQ57">
        <f t="shared" si="3"/>
        <v>0.99999999022724706</v>
      </c>
      <c r="AS57">
        <f t="shared" si="16"/>
        <v>1.2302480166232687E-2</v>
      </c>
      <c r="AT57">
        <f t="shared" si="16"/>
        <v>1.7436115914859357E-2</v>
      </c>
      <c r="AU57">
        <f t="shared" si="16"/>
        <v>4.1574886831175988E-2</v>
      </c>
      <c r="AV57">
        <f t="shared" si="16"/>
        <v>2.3134787092715981E-2</v>
      </c>
      <c r="AW57">
        <f t="shared" si="16"/>
        <v>2.8237828455875517E-2</v>
      </c>
      <c r="AX57">
        <f t="shared" si="16"/>
        <v>3.4373792866906935E-2</v>
      </c>
      <c r="AY57">
        <f t="shared" si="16"/>
        <v>1.0029076687505317E-3</v>
      </c>
      <c r="AZ57">
        <f t="shared" si="16"/>
        <v>1.1105899078880955E-2</v>
      </c>
      <c r="BA57">
        <f t="shared" si="16"/>
        <v>2.9511961665022467E-2</v>
      </c>
      <c r="BB57">
        <f t="shared" si="16"/>
        <v>0.53712555215622415</v>
      </c>
      <c r="BC57">
        <f t="shared" si="16"/>
        <v>1.2366715790735628E-2</v>
      </c>
      <c r="BD57">
        <f t="shared" si="16"/>
        <v>2.5368090138921086E-2</v>
      </c>
      <c r="BE57">
        <f t="shared" si="15"/>
        <v>0.39853125496897079</v>
      </c>
      <c r="BF57">
        <f t="shared" si="15"/>
        <v>0.129621316802873</v>
      </c>
      <c r="BG57">
        <f t="shared" si="15"/>
        <v>0.1334664121670151</v>
      </c>
      <c r="BH57">
        <f t="shared" si="14"/>
        <v>-0.13806320753731915</v>
      </c>
      <c r="BI57">
        <f t="shared" si="14"/>
        <v>-0.13749065626192927</v>
      </c>
      <c r="BJ57">
        <f t="shared" si="14"/>
        <v>-0.15029820049221879</v>
      </c>
      <c r="BK57">
        <f t="shared" si="14"/>
        <v>-0.17836541476560291</v>
      </c>
      <c r="BL57">
        <f t="shared" si="14"/>
        <v>-0.18563088919077231</v>
      </c>
      <c r="BM57">
        <f t="shared" si="14"/>
        <v>-1.9787545633075847E-3</v>
      </c>
      <c r="BN57">
        <f t="shared" si="14"/>
        <v>2.5240452110689964E-2</v>
      </c>
      <c r="BO57">
        <f t="shared" si="14"/>
        <v>2.2837284350768119E-2</v>
      </c>
      <c r="BP57">
        <f t="shared" si="14"/>
        <v>1.6074334249702227E-2</v>
      </c>
      <c r="BQ57">
        <f t="shared" si="14"/>
        <v>2.943484206520216E-3</v>
      </c>
      <c r="BR57">
        <f t="shared" si="17"/>
        <v>9.240599441350349E-3</v>
      </c>
      <c r="BS57">
        <f t="shared" si="17"/>
        <v>1.2127308464037412E-2</v>
      </c>
      <c r="BT57">
        <f t="shared" si="17"/>
        <v>6.5724601701358711E-3</v>
      </c>
      <c r="BU57">
        <f t="shared" si="17"/>
        <v>-8.7460015207448832E-4</v>
      </c>
      <c r="BV57">
        <f t="shared" si="17"/>
        <v>1.4636053157915174E-2</v>
      </c>
      <c r="BW57">
        <f t="shared" si="13"/>
        <v>2.0729421610030493E-2</v>
      </c>
      <c r="BX57">
        <f t="shared" si="13"/>
        <v>1.84341317358356E-2</v>
      </c>
      <c r="BY57">
        <f t="shared" si="13"/>
        <v>3.0042413258809025E-3</v>
      </c>
      <c r="BZ57">
        <f t="shared" si="13"/>
        <v>9.7971369643510386E-2</v>
      </c>
      <c r="CA57">
        <f t="shared" si="13"/>
        <v>-0.58365565591597568</v>
      </c>
      <c r="CB57">
        <f t="shared" si="13"/>
        <v>0.14459700004687792</v>
      </c>
      <c r="CC57">
        <f t="shared" si="13"/>
        <v>-0.10317526759930243</v>
      </c>
      <c r="CD57">
        <f t="shared" si="13"/>
        <v>8.126668262557148E-3</v>
      </c>
      <c r="CE57">
        <f t="shared" si="13"/>
        <v>1.2882370031055189E-2</v>
      </c>
      <c r="CG57">
        <f t="shared" si="5"/>
        <v>0.99999999999999989</v>
      </c>
      <c r="CH57">
        <f t="shared" si="6"/>
        <v>1</v>
      </c>
      <c r="CJ57">
        <f t="shared" si="7"/>
        <v>5.9414676223864864E-2</v>
      </c>
    </row>
    <row r="58" spans="1:88" ht="14.4" x14ac:dyDescent="0.3">
      <c r="A58" t="s">
        <v>59</v>
      </c>
      <c r="B58" s="6">
        <v>1.2302480046003587E-2</v>
      </c>
      <c r="C58" s="6">
        <v>1.7436115744460502E-2</v>
      </c>
      <c r="D58" s="6">
        <v>4.1574886424874891E-2</v>
      </c>
      <c r="E58" s="6">
        <v>2.3134786866625422E-2</v>
      </c>
      <c r="F58" s="6">
        <v>2.8237828179914198E-2</v>
      </c>
      <c r="G58" s="6">
        <v>3.437379253098035E-2</v>
      </c>
      <c r="H58" s="6">
        <v>1.0029076589493629E-3</v>
      </c>
      <c r="I58" s="6">
        <v>1.1105898970345746E-2</v>
      </c>
      <c r="J58" s="6">
        <v>2.9511961376609358E-2</v>
      </c>
      <c r="K58" s="6">
        <v>0.53712554690702885</v>
      </c>
      <c r="L58" s="6">
        <v>1.2366715669878771E-2</v>
      </c>
      <c r="M58" s="6">
        <v>2.5368089891005009E-2</v>
      </c>
      <c r="N58" s="6">
        <v>0.39853125107422332</v>
      </c>
      <c r="O58" s="6">
        <v>0.12962131553611589</v>
      </c>
      <c r="P58" s="6">
        <v>0.13346641086268082</v>
      </c>
      <c r="Q58" s="6">
        <v>-0.13806320618806153</v>
      </c>
      <c r="R58" s="6">
        <v>-0.13749065491826706</v>
      </c>
      <c r="S58" s="6">
        <v>-0.15029819902339162</v>
      </c>
      <c r="T58" s="6">
        <v>-0.17836541302248179</v>
      </c>
      <c r="U58" s="6">
        <v>-0.18563088737664749</v>
      </c>
      <c r="V58" s="6">
        <v>-1.9787545439697053E-3</v>
      </c>
      <c r="W58" s="6">
        <v>2.5240451864021261E-2</v>
      </c>
      <c r="X58" s="6">
        <v>2.283728412758498E-2</v>
      </c>
      <c r="Y58" s="6">
        <v>1.607433409261173E-2</v>
      </c>
      <c r="Z58" s="6">
        <v>2.9434841777542719E-3</v>
      </c>
      <c r="AA58" s="6">
        <v>9.2405993510442531E-3</v>
      </c>
      <c r="AB58" s="6">
        <v>1.2127308345520223E-2</v>
      </c>
      <c r="AC58" s="6">
        <v>6.5724601059048418E-3</v>
      </c>
      <c r="AD58" s="6">
        <v>-8.7460014352723709E-4</v>
      </c>
      <c r="AE58" s="6">
        <v>1.4636053014880641E-2</v>
      </c>
      <c r="AF58" s="6">
        <v>2.0729421407446977E-2</v>
      </c>
      <c r="AG58" s="6">
        <v>1.8434131555683384E-2</v>
      </c>
      <c r="AH58" s="6">
        <v>3.0042412965211943E-3</v>
      </c>
      <c r="AI58" s="6">
        <v>9.7971368686060392E-2</v>
      </c>
      <c r="AJ58" s="6">
        <v>-0.58365565021205312</v>
      </c>
      <c r="AK58" s="6">
        <v>0.14459699863376715</v>
      </c>
      <c r="AL58" s="6">
        <v>-0.10317526659099603</v>
      </c>
      <c r="AM58" s="6">
        <v>8.1266681831372277E-3</v>
      </c>
      <c r="AN58" s="6">
        <v>1.288236990515897E-2</v>
      </c>
      <c r="AP58">
        <f t="shared" si="2"/>
        <v>0.99999998045449423</v>
      </c>
      <c r="AQ58">
        <f t="shared" si="3"/>
        <v>0.99999999022724706</v>
      </c>
      <c r="AS58">
        <f t="shared" si="16"/>
        <v>1.2302480166232687E-2</v>
      </c>
      <c r="AT58">
        <f t="shared" si="16"/>
        <v>1.7436115914859357E-2</v>
      </c>
      <c r="AU58">
        <f t="shared" si="16"/>
        <v>4.1574886831175988E-2</v>
      </c>
      <c r="AV58">
        <f t="shared" si="16"/>
        <v>2.3134787092715981E-2</v>
      </c>
      <c r="AW58">
        <f t="shared" si="16"/>
        <v>2.8237828455875517E-2</v>
      </c>
      <c r="AX58">
        <f t="shared" si="16"/>
        <v>3.4373792866906935E-2</v>
      </c>
      <c r="AY58">
        <f t="shared" si="16"/>
        <v>1.0029076687505317E-3</v>
      </c>
      <c r="AZ58">
        <f t="shared" si="16"/>
        <v>1.1105899078880955E-2</v>
      </c>
      <c r="BA58">
        <f t="shared" si="16"/>
        <v>2.9511961665022467E-2</v>
      </c>
      <c r="BB58">
        <f t="shared" si="16"/>
        <v>0.53712555215622415</v>
      </c>
      <c r="BC58">
        <f t="shared" si="16"/>
        <v>1.2366715790735628E-2</v>
      </c>
      <c r="BD58">
        <f t="shared" si="16"/>
        <v>2.5368090138921086E-2</v>
      </c>
      <c r="BE58">
        <f t="shared" si="15"/>
        <v>0.39853125496897079</v>
      </c>
      <c r="BF58">
        <f t="shared" si="15"/>
        <v>0.129621316802873</v>
      </c>
      <c r="BG58">
        <f t="shared" si="15"/>
        <v>0.1334664121670151</v>
      </c>
      <c r="BH58">
        <f t="shared" si="14"/>
        <v>-0.13806320753731915</v>
      </c>
      <c r="BI58">
        <f t="shared" si="14"/>
        <v>-0.13749065626192927</v>
      </c>
      <c r="BJ58">
        <f t="shared" si="14"/>
        <v>-0.15029820049221879</v>
      </c>
      <c r="BK58">
        <f t="shared" si="14"/>
        <v>-0.17836541476560291</v>
      </c>
      <c r="BL58">
        <f t="shared" si="14"/>
        <v>-0.18563088919077231</v>
      </c>
      <c r="BM58">
        <f t="shared" si="14"/>
        <v>-1.9787545633075847E-3</v>
      </c>
      <c r="BN58">
        <f t="shared" si="14"/>
        <v>2.5240452110689964E-2</v>
      </c>
      <c r="BO58">
        <f t="shared" si="14"/>
        <v>2.2837284350768119E-2</v>
      </c>
      <c r="BP58">
        <f t="shared" si="14"/>
        <v>1.6074334249702227E-2</v>
      </c>
      <c r="BQ58">
        <f t="shared" si="14"/>
        <v>2.943484206520216E-3</v>
      </c>
      <c r="BR58">
        <f t="shared" si="17"/>
        <v>9.240599441350349E-3</v>
      </c>
      <c r="BS58">
        <f t="shared" si="17"/>
        <v>1.2127308464037412E-2</v>
      </c>
      <c r="BT58">
        <f t="shared" si="17"/>
        <v>6.5724601701358711E-3</v>
      </c>
      <c r="BU58">
        <f t="shared" si="17"/>
        <v>-8.7460015207448832E-4</v>
      </c>
      <c r="BV58">
        <f t="shared" si="17"/>
        <v>1.4636053157915174E-2</v>
      </c>
      <c r="BW58">
        <f t="shared" si="13"/>
        <v>2.0729421610030493E-2</v>
      </c>
      <c r="BX58">
        <f t="shared" si="13"/>
        <v>1.84341317358356E-2</v>
      </c>
      <c r="BY58">
        <f t="shared" si="13"/>
        <v>3.0042413258809025E-3</v>
      </c>
      <c r="BZ58">
        <f t="shared" si="13"/>
        <v>9.7971369643510386E-2</v>
      </c>
      <c r="CA58">
        <f t="shared" si="13"/>
        <v>-0.58365565591597568</v>
      </c>
      <c r="CB58">
        <f t="shared" si="13"/>
        <v>0.14459700004687792</v>
      </c>
      <c r="CC58">
        <f t="shared" si="13"/>
        <v>-0.10317526759930243</v>
      </c>
      <c r="CD58">
        <f t="shared" si="13"/>
        <v>8.126668262557148E-3</v>
      </c>
      <c r="CE58">
        <f t="shared" si="13"/>
        <v>1.2882370031055189E-2</v>
      </c>
      <c r="CG58">
        <f t="shared" si="5"/>
        <v>0.99999999999999989</v>
      </c>
      <c r="CH58">
        <f t="shared" si="6"/>
        <v>1</v>
      </c>
      <c r="CJ58">
        <f t="shared" si="7"/>
        <v>5.9414676223864864E-2</v>
      </c>
    </row>
    <row r="59" spans="1:88" ht="14.4" x14ac:dyDescent="0.3">
      <c r="A59" t="s">
        <v>60</v>
      </c>
      <c r="B59" s="6">
        <v>1.2302480046003587E-2</v>
      </c>
      <c r="C59" s="6">
        <v>1.7436115744460502E-2</v>
      </c>
      <c r="D59" s="6">
        <v>4.1574886424874891E-2</v>
      </c>
      <c r="E59" s="6">
        <v>2.3134786866625422E-2</v>
      </c>
      <c r="F59" s="6">
        <v>2.8237828179914198E-2</v>
      </c>
      <c r="G59" s="6">
        <v>3.437379253098035E-2</v>
      </c>
      <c r="H59" s="6">
        <v>1.0029076589493629E-3</v>
      </c>
      <c r="I59" s="6">
        <v>1.1105898970345746E-2</v>
      </c>
      <c r="J59" s="6">
        <v>2.9511961376609358E-2</v>
      </c>
      <c r="K59" s="6">
        <v>0.53712554690702885</v>
      </c>
      <c r="L59" s="6">
        <v>1.2366715669878771E-2</v>
      </c>
      <c r="M59" s="6">
        <v>2.5368089891005009E-2</v>
      </c>
      <c r="N59" s="6">
        <v>0.39853125107422332</v>
      </c>
      <c r="O59" s="6">
        <v>0.12962131553611589</v>
      </c>
      <c r="P59" s="6">
        <v>0.13346641086268082</v>
      </c>
      <c r="Q59" s="6">
        <v>-0.13806320618806153</v>
      </c>
      <c r="R59" s="6">
        <v>-0.13749065491826706</v>
      </c>
      <c r="S59" s="6">
        <v>-0.15029819902339162</v>
      </c>
      <c r="T59" s="6">
        <v>-0.17836541302248179</v>
      </c>
      <c r="U59" s="6">
        <v>-0.18563088737664749</v>
      </c>
      <c r="V59" s="6">
        <v>-1.9787545439697053E-3</v>
      </c>
      <c r="W59" s="6">
        <v>2.5240451864021261E-2</v>
      </c>
      <c r="X59" s="6">
        <v>2.283728412758498E-2</v>
      </c>
      <c r="Y59" s="6">
        <v>1.607433409261173E-2</v>
      </c>
      <c r="Z59" s="6">
        <v>2.9434841777542719E-3</v>
      </c>
      <c r="AA59" s="6">
        <v>9.2405993510442531E-3</v>
      </c>
      <c r="AB59" s="6">
        <v>1.2127308345520223E-2</v>
      </c>
      <c r="AC59" s="6">
        <v>6.5724601059048418E-3</v>
      </c>
      <c r="AD59" s="6">
        <v>-8.7460014352723709E-4</v>
      </c>
      <c r="AE59" s="6">
        <v>1.4636053014880641E-2</v>
      </c>
      <c r="AF59" s="6">
        <v>2.0729421407446977E-2</v>
      </c>
      <c r="AG59" s="6">
        <v>1.8434131555683384E-2</v>
      </c>
      <c r="AH59" s="6">
        <v>3.0042412965211943E-3</v>
      </c>
      <c r="AI59" s="6">
        <v>9.7971368686060392E-2</v>
      </c>
      <c r="AJ59" s="6">
        <v>-0.58365565021205312</v>
      </c>
      <c r="AK59" s="6">
        <v>0.14459699863376715</v>
      </c>
      <c r="AL59" s="6">
        <v>-0.10317526659099603</v>
      </c>
      <c r="AM59" s="6">
        <v>8.1266681831372277E-3</v>
      </c>
      <c r="AN59" s="6">
        <v>1.288236990515897E-2</v>
      </c>
      <c r="AP59">
        <f t="shared" si="2"/>
        <v>0.99999998045449423</v>
      </c>
      <c r="AQ59">
        <f t="shared" si="3"/>
        <v>0.99999999022724706</v>
      </c>
      <c r="AS59">
        <f t="shared" si="16"/>
        <v>1.2302480166232687E-2</v>
      </c>
      <c r="AT59">
        <f t="shared" si="16"/>
        <v>1.7436115914859357E-2</v>
      </c>
      <c r="AU59">
        <f t="shared" si="16"/>
        <v>4.1574886831175988E-2</v>
      </c>
      <c r="AV59">
        <f t="shared" si="16"/>
        <v>2.3134787092715981E-2</v>
      </c>
      <c r="AW59">
        <f t="shared" si="16"/>
        <v>2.8237828455875517E-2</v>
      </c>
      <c r="AX59">
        <f t="shared" si="16"/>
        <v>3.4373792866906935E-2</v>
      </c>
      <c r="AY59">
        <f t="shared" si="16"/>
        <v>1.0029076687505317E-3</v>
      </c>
      <c r="AZ59">
        <f t="shared" si="16"/>
        <v>1.1105899078880955E-2</v>
      </c>
      <c r="BA59">
        <f t="shared" si="16"/>
        <v>2.9511961665022467E-2</v>
      </c>
      <c r="BB59">
        <f t="shared" si="16"/>
        <v>0.53712555215622415</v>
      </c>
      <c r="BC59">
        <f t="shared" si="16"/>
        <v>1.2366715790735628E-2</v>
      </c>
      <c r="BD59">
        <f t="shared" si="16"/>
        <v>2.5368090138921086E-2</v>
      </c>
      <c r="BE59">
        <f t="shared" si="15"/>
        <v>0.39853125496897079</v>
      </c>
      <c r="BF59">
        <f t="shared" si="15"/>
        <v>0.129621316802873</v>
      </c>
      <c r="BG59">
        <f t="shared" si="15"/>
        <v>0.1334664121670151</v>
      </c>
      <c r="BH59">
        <f t="shared" si="14"/>
        <v>-0.13806320753731915</v>
      </c>
      <c r="BI59">
        <f t="shared" si="14"/>
        <v>-0.13749065626192927</v>
      </c>
      <c r="BJ59">
        <f t="shared" si="14"/>
        <v>-0.15029820049221879</v>
      </c>
      <c r="BK59">
        <f t="shared" si="14"/>
        <v>-0.17836541476560291</v>
      </c>
      <c r="BL59">
        <f t="shared" si="14"/>
        <v>-0.18563088919077231</v>
      </c>
      <c r="BM59">
        <f t="shared" si="14"/>
        <v>-1.9787545633075847E-3</v>
      </c>
      <c r="BN59">
        <f t="shared" si="14"/>
        <v>2.5240452110689964E-2</v>
      </c>
      <c r="BO59">
        <f t="shared" si="14"/>
        <v>2.2837284350768119E-2</v>
      </c>
      <c r="BP59">
        <f t="shared" si="14"/>
        <v>1.6074334249702227E-2</v>
      </c>
      <c r="BQ59">
        <f t="shared" si="14"/>
        <v>2.943484206520216E-3</v>
      </c>
      <c r="BR59">
        <f t="shared" si="17"/>
        <v>9.240599441350349E-3</v>
      </c>
      <c r="BS59">
        <f t="shared" si="17"/>
        <v>1.2127308464037412E-2</v>
      </c>
      <c r="BT59">
        <f t="shared" si="17"/>
        <v>6.5724601701358711E-3</v>
      </c>
      <c r="BU59">
        <f t="shared" si="17"/>
        <v>-8.7460015207448832E-4</v>
      </c>
      <c r="BV59">
        <f t="shared" si="17"/>
        <v>1.4636053157915174E-2</v>
      </c>
      <c r="BW59">
        <f t="shared" si="13"/>
        <v>2.0729421610030493E-2</v>
      </c>
      <c r="BX59">
        <f t="shared" si="13"/>
        <v>1.84341317358356E-2</v>
      </c>
      <c r="BY59">
        <f t="shared" si="13"/>
        <v>3.0042413258809025E-3</v>
      </c>
      <c r="BZ59">
        <f t="shared" ref="BZ59:CE65" si="18">AI59/$AQ59</f>
        <v>9.7971369643510386E-2</v>
      </c>
      <c r="CA59">
        <f t="shared" si="18"/>
        <v>-0.58365565591597568</v>
      </c>
      <c r="CB59">
        <f t="shared" si="18"/>
        <v>0.14459700004687792</v>
      </c>
      <c r="CC59">
        <f t="shared" si="18"/>
        <v>-0.10317526759930243</v>
      </c>
      <c r="CD59">
        <f t="shared" si="18"/>
        <v>8.126668262557148E-3</v>
      </c>
      <c r="CE59">
        <f t="shared" si="18"/>
        <v>1.2882370031055189E-2</v>
      </c>
      <c r="CG59">
        <f t="shared" si="5"/>
        <v>0.99999999999999989</v>
      </c>
      <c r="CH59">
        <f t="shared" si="6"/>
        <v>1</v>
      </c>
      <c r="CJ59">
        <f t="shared" si="7"/>
        <v>5.9414676223864864E-2</v>
      </c>
    </row>
    <row r="60" spans="1:88" ht="14.4" x14ac:dyDescent="0.3">
      <c r="A60" t="s">
        <v>61</v>
      </c>
      <c r="B60" s="6">
        <v>1.2302480046003587E-2</v>
      </c>
      <c r="C60" s="6">
        <v>1.7436115744460502E-2</v>
      </c>
      <c r="D60" s="6">
        <v>4.1574886424874891E-2</v>
      </c>
      <c r="E60" s="6">
        <v>2.3134786866625422E-2</v>
      </c>
      <c r="F60" s="6">
        <v>2.8237828179914198E-2</v>
      </c>
      <c r="G60" s="6">
        <v>3.437379253098035E-2</v>
      </c>
      <c r="H60" s="6">
        <v>1.0029076589493629E-3</v>
      </c>
      <c r="I60" s="6">
        <v>1.1105898970345746E-2</v>
      </c>
      <c r="J60" s="6">
        <v>2.9511961376609358E-2</v>
      </c>
      <c r="K60" s="6">
        <v>0.53712554690702885</v>
      </c>
      <c r="L60" s="6">
        <v>1.2366715669878771E-2</v>
      </c>
      <c r="M60" s="6">
        <v>2.5368089891005009E-2</v>
      </c>
      <c r="N60" s="6">
        <v>0.39853125107422332</v>
      </c>
      <c r="O60" s="6">
        <v>0.12962131553611589</v>
      </c>
      <c r="P60" s="6">
        <v>0.13346641086268082</v>
      </c>
      <c r="Q60" s="6">
        <v>-0.13806320618806153</v>
      </c>
      <c r="R60" s="6">
        <v>-0.13749065491826706</v>
      </c>
      <c r="S60" s="6">
        <v>-0.15029819902339162</v>
      </c>
      <c r="T60" s="6">
        <v>-0.17836541302248179</v>
      </c>
      <c r="U60" s="6">
        <v>-0.18563088737664749</v>
      </c>
      <c r="V60" s="6">
        <v>-1.9787545439697053E-3</v>
      </c>
      <c r="W60" s="6">
        <v>2.5240451864021261E-2</v>
      </c>
      <c r="X60" s="6">
        <v>2.283728412758498E-2</v>
      </c>
      <c r="Y60" s="6">
        <v>1.607433409261173E-2</v>
      </c>
      <c r="Z60" s="6">
        <v>2.9434841777542719E-3</v>
      </c>
      <c r="AA60" s="6">
        <v>9.2405993510442531E-3</v>
      </c>
      <c r="AB60" s="6">
        <v>1.2127308345520223E-2</v>
      </c>
      <c r="AC60" s="6">
        <v>6.5724601059048418E-3</v>
      </c>
      <c r="AD60" s="6">
        <v>-8.7460014352723709E-4</v>
      </c>
      <c r="AE60" s="6">
        <v>1.4636053014880641E-2</v>
      </c>
      <c r="AF60" s="6">
        <v>2.0729421407446977E-2</v>
      </c>
      <c r="AG60" s="6">
        <v>1.8434131555683384E-2</v>
      </c>
      <c r="AH60" s="6">
        <v>3.0042412965211943E-3</v>
      </c>
      <c r="AI60" s="6">
        <v>9.7971368686060392E-2</v>
      </c>
      <c r="AJ60" s="6">
        <v>-0.58365565021205312</v>
      </c>
      <c r="AK60" s="6">
        <v>0.14459699863376715</v>
      </c>
      <c r="AL60" s="6">
        <v>-0.10317526659099603</v>
      </c>
      <c r="AM60" s="6">
        <v>8.1266681831372277E-3</v>
      </c>
      <c r="AN60" s="6">
        <v>1.288236990515897E-2</v>
      </c>
      <c r="AP60">
        <f t="shared" si="2"/>
        <v>0.99999998045449423</v>
      </c>
      <c r="AQ60">
        <f t="shared" si="3"/>
        <v>0.99999999022724706</v>
      </c>
      <c r="AS60">
        <f t="shared" si="16"/>
        <v>1.2302480166232687E-2</v>
      </c>
      <c r="AT60">
        <f t="shared" si="16"/>
        <v>1.7436115914859357E-2</v>
      </c>
      <c r="AU60">
        <f t="shared" si="16"/>
        <v>4.1574886831175988E-2</v>
      </c>
      <c r="AV60">
        <f t="shared" si="16"/>
        <v>2.3134787092715981E-2</v>
      </c>
      <c r="AW60">
        <f t="shared" si="16"/>
        <v>2.8237828455875517E-2</v>
      </c>
      <c r="AX60">
        <f t="shared" si="16"/>
        <v>3.4373792866906935E-2</v>
      </c>
      <c r="AY60">
        <f t="shared" si="16"/>
        <v>1.0029076687505317E-3</v>
      </c>
      <c r="AZ60">
        <f t="shared" si="16"/>
        <v>1.1105899078880955E-2</v>
      </c>
      <c r="BA60">
        <f t="shared" si="16"/>
        <v>2.9511961665022467E-2</v>
      </c>
      <c r="BB60">
        <f t="shared" si="16"/>
        <v>0.53712555215622415</v>
      </c>
      <c r="BC60">
        <f t="shared" si="16"/>
        <v>1.2366715790735628E-2</v>
      </c>
      <c r="BD60">
        <f t="shared" si="16"/>
        <v>2.5368090138921086E-2</v>
      </c>
      <c r="BE60">
        <f t="shared" si="15"/>
        <v>0.39853125496897079</v>
      </c>
      <c r="BF60">
        <f t="shared" si="15"/>
        <v>0.129621316802873</v>
      </c>
      <c r="BG60">
        <f t="shared" si="15"/>
        <v>0.1334664121670151</v>
      </c>
      <c r="BH60">
        <f t="shared" si="14"/>
        <v>-0.13806320753731915</v>
      </c>
      <c r="BI60">
        <f t="shared" si="14"/>
        <v>-0.13749065626192927</v>
      </c>
      <c r="BJ60">
        <f t="shared" si="14"/>
        <v>-0.15029820049221879</v>
      </c>
      <c r="BK60">
        <f t="shared" si="14"/>
        <v>-0.17836541476560291</v>
      </c>
      <c r="BL60">
        <f t="shared" si="14"/>
        <v>-0.18563088919077231</v>
      </c>
      <c r="BM60">
        <f t="shared" si="14"/>
        <v>-1.9787545633075847E-3</v>
      </c>
      <c r="BN60">
        <f t="shared" si="14"/>
        <v>2.5240452110689964E-2</v>
      </c>
      <c r="BO60">
        <f t="shared" si="14"/>
        <v>2.2837284350768119E-2</v>
      </c>
      <c r="BP60">
        <f t="shared" si="14"/>
        <v>1.6074334249702227E-2</v>
      </c>
      <c r="BQ60">
        <f t="shared" si="14"/>
        <v>2.943484206520216E-3</v>
      </c>
      <c r="BR60">
        <f t="shared" si="17"/>
        <v>9.240599441350349E-3</v>
      </c>
      <c r="BS60">
        <f t="shared" si="17"/>
        <v>1.2127308464037412E-2</v>
      </c>
      <c r="BT60">
        <f t="shared" si="17"/>
        <v>6.5724601701358711E-3</v>
      </c>
      <c r="BU60">
        <f t="shared" si="17"/>
        <v>-8.7460015207448832E-4</v>
      </c>
      <c r="BV60">
        <f t="shared" si="17"/>
        <v>1.4636053157915174E-2</v>
      </c>
      <c r="BW60">
        <f t="shared" si="17"/>
        <v>2.0729421610030493E-2</v>
      </c>
      <c r="BX60">
        <f t="shared" si="17"/>
        <v>1.84341317358356E-2</v>
      </c>
      <c r="BY60">
        <f t="shared" si="17"/>
        <v>3.0042413258809025E-3</v>
      </c>
      <c r="BZ60">
        <f t="shared" si="18"/>
        <v>9.7971369643510386E-2</v>
      </c>
      <c r="CA60">
        <f t="shared" si="18"/>
        <v>-0.58365565591597568</v>
      </c>
      <c r="CB60">
        <f t="shared" si="18"/>
        <v>0.14459700004687792</v>
      </c>
      <c r="CC60">
        <f t="shared" si="18"/>
        <v>-0.10317526759930243</v>
      </c>
      <c r="CD60">
        <f t="shared" si="18"/>
        <v>8.126668262557148E-3</v>
      </c>
      <c r="CE60">
        <f t="shared" si="18"/>
        <v>1.2882370031055189E-2</v>
      </c>
      <c r="CG60">
        <f t="shared" si="5"/>
        <v>0.99999999999999989</v>
      </c>
      <c r="CH60">
        <f t="shared" si="6"/>
        <v>1</v>
      </c>
      <c r="CJ60">
        <f t="shared" si="7"/>
        <v>5.9414676223864864E-2</v>
      </c>
    </row>
    <row r="61" spans="1:88" ht="14.4" x14ac:dyDescent="0.3">
      <c r="A61" t="s">
        <v>62</v>
      </c>
      <c r="B61" s="6">
        <v>1.2302480046003587E-2</v>
      </c>
      <c r="C61" s="6">
        <v>1.7436115744460502E-2</v>
      </c>
      <c r="D61" s="6">
        <v>4.1574886424874891E-2</v>
      </c>
      <c r="E61" s="6">
        <v>2.3134786866625422E-2</v>
      </c>
      <c r="F61" s="6">
        <v>2.8237828179914198E-2</v>
      </c>
      <c r="G61" s="6">
        <v>3.437379253098035E-2</v>
      </c>
      <c r="H61" s="6">
        <v>1.0029076589493629E-3</v>
      </c>
      <c r="I61" s="6">
        <v>1.1105898970345746E-2</v>
      </c>
      <c r="J61" s="6">
        <v>2.9511961376609358E-2</v>
      </c>
      <c r="K61" s="6">
        <v>0.53712554690702885</v>
      </c>
      <c r="L61" s="6">
        <v>1.2366715669878771E-2</v>
      </c>
      <c r="M61" s="6">
        <v>2.5368089891005009E-2</v>
      </c>
      <c r="N61" s="6">
        <v>0.39853125107422332</v>
      </c>
      <c r="O61" s="6">
        <v>0.12962131553611589</v>
      </c>
      <c r="P61" s="6">
        <v>0.13346641086268082</v>
      </c>
      <c r="Q61" s="6">
        <v>-0.13806320618806153</v>
      </c>
      <c r="R61" s="6">
        <v>-0.13749065491826706</v>
      </c>
      <c r="S61" s="6">
        <v>-0.15029819902339162</v>
      </c>
      <c r="T61" s="6">
        <v>-0.17836541302248179</v>
      </c>
      <c r="U61" s="6">
        <v>-0.18563088737664749</v>
      </c>
      <c r="V61" s="6">
        <v>-1.9787545439697053E-3</v>
      </c>
      <c r="W61" s="6">
        <v>2.5240451864021261E-2</v>
      </c>
      <c r="X61" s="6">
        <v>2.283728412758498E-2</v>
      </c>
      <c r="Y61" s="6">
        <v>1.607433409261173E-2</v>
      </c>
      <c r="Z61" s="6">
        <v>2.9434841777542719E-3</v>
      </c>
      <c r="AA61" s="6">
        <v>9.2405993510442531E-3</v>
      </c>
      <c r="AB61" s="6">
        <v>1.2127308345520223E-2</v>
      </c>
      <c r="AC61" s="6">
        <v>6.5724601059048418E-3</v>
      </c>
      <c r="AD61" s="6">
        <v>-8.7460014352723709E-4</v>
      </c>
      <c r="AE61" s="6">
        <v>1.4636053014880641E-2</v>
      </c>
      <c r="AF61" s="6">
        <v>2.0729421407446977E-2</v>
      </c>
      <c r="AG61" s="6">
        <v>1.8434131555683384E-2</v>
      </c>
      <c r="AH61" s="6">
        <v>3.0042412965211943E-3</v>
      </c>
      <c r="AI61" s="6">
        <v>9.7971368686060392E-2</v>
      </c>
      <c r="AJ61" s="6">
        <v>-0.58365565021205312</v>
      </c>
      <c r="AK61" s="6">
        <v>0.14459699863376715</v>
      </c>
      <c r="AL61" s="6">
        <v>-0.10317526659099603</v>
      </c>
      <c r="AM61" s="6">
        <v>8.1266681831372277E-3</v>
      </c>
      <c r="AN61" s="6">
        <v>1.288236990515897E-2</v>
      </c>
      <c r="AP61">
        <f t="shared" si="2"/>
        <v>0.99999998045449423</v>
      </c>
      <c r="AQ61">
        <f t="shared" si="3"/>
        <v>0.99999999022724706</v>
      </c>
      <c r="AS61">
        <f t="shared" si="16"/>
        <v>1.2302480166232687E-2</v>
      </c>
      <c r="AT61">
        <f t="shared" si="16"/>
        <v>1.7436115914859357E-2</v>
      </c>
      <c r="AU61">
        <f t="shared" si="16"/>
        <v>4.1574886831175988E-2</v>
      </c>
      <c r="AV61">
        <f t="shared" si="16"/>
        <v>2.3134787092715981E-2</v>
      </c>
      <c r="AW61">
        <f t="shared" si="16"/>
        <v>2.8237828455875517E-2</v>
      </c>
      <c r="AX61">
        <f t="shared" si="16"/>
        <v>3.4373792866906935E-2</v>
      </c>
      <c r="AY61">
        <f t="shared" si="16"/>
        <v>1.0029076687505317E-3</v>
      </c>
      <c r="AZ61">
        <f t="shared" si="16"/>
        <v>1.1105899078880955E-2</v>
      </c>
      <c r="BA61">
        <f t="shared" si="16"/>
        <v>2.9511961665022467E-2</v>
      </c>
      <c r="BB61">
        <f t="shared" si="16"/>
        <v>0.53712555215622415</v>
      </c>
      <c r="BC61">
        <f t="shared" si="16"/>
        <v>1.2366715790735628E-2</v>
      </c>
      <c r="BD61">
        <f t="shared" si="16"/>
        <v>2.5368090138921086E-2</v>
      </c>
      <c r="BE61">
        <f t="shared" si="15"/>
        <v>0.39853125496897079</v>
      </c>
      <c r="BF61">
        <f t="shared" si="15"/>
        <v>0.129621316802873</v>
      </c>
      <c r="BG61">
        <f t="shared" si="15"/>
        <v>0.1334664121670151</v>
      </c>
      <c r="BH61">
        <f t="shared" si="14"/>
        <v>-0.13806320753731915</v>
      </c>
      <c r="BI61">
        <f t="shared" si="14"/>
        <v>-0.13749065626192927</v>
      </c>
      <c r="BJ61">
        <f t="shared" si="14"/>
        <v>-0.15029820049221879</v>
      </c>
      <c r="BK61">
        <f t="shared" si="14"/>
        <v>-0.17836541476560291</v>
      </c>
      <c r="BL61">
        <f t="shared" si="14"/>
        <v>-0.18563088919077231</v>
      </c>
      <c r="BM61">
        <f t="shared" si="14"/>
        <v>-1.9787545633075847E-3</v>
      </c>
      <c r="BN61">
        <f t="shared" si="14"/>
        <v>2.5240452110689964E-2</v>
      </c>
      <c r="BO61">
        <f t="shared" si="14"/>
        <v>2.2837284350768119E-2</v>
      </c>
      <c r="BP61">
        <f t="shared" si="14"/>
        <v>1.6074334249702227E-2</v>
      </c>
      <c r="BQ61">
        <f t="shared" si="14"/>
        <v>2.943484206520216E-3</v>
      </c>
      <c r="BR61">
        <f t="shared" si="17"/>
        <v>9.240599441350349E-3</v>
      </c>
      <c r="BS61">
        <f t="shared" si="17"/>
        <v>1.2127308464037412E-2</v>
      </c>
      <c r="BT61">
        <f t="shared" si="17"/>
        <v>6.5724601701358711E-3</v>
      </c>
      <c r="BU61">
        <f t="shared" si="17"/>
        <v>-8.7460015207448832E-4</v>
      </c>
      <c r="BV61">
        <f t="shared" si="17"/>
        <v>1.4636053157915174E-2</v>
      </c>
      <c r="BW61">
        <f t="shared" si="17"/>
        <v>2.0729421610030493E-2</v>
      </c>
      <c r="BX61">
        <f t="shared" si="17"/>
        <v>1.84341317358356E-2</v>
      </c>
      <c r="BY61">
        <f t="shared" si="17"/>
        <v>3.0042413258809025E-3</v>
      </c>
      <c r="BZ61">
        <f t="shared" si="18"/>
        <v>9.7971369643510386E-2</v>
      </c>
      <c r="CA61">
        <f t="shared" si="18"/>
        <v>-0.58365565591597568</v>
      </c>
      <c r="CB61">
        <f t="shared" si="18"/>
        <v>0.14459700004687792</v>
      </c>
      <c r="CC61">
        <f t="shared" si="18"/>
        <v>-0.10317526759930243</v>
      </c>
      <c r="CD61">
        <f t="shared" si="18"/>
        <v>8.126668262557148E-3</v>
      </c>
      <c r="CE61">
        <f t="shared" si="18"/>
        <v>1.2882370031055189E-2</v>
      </c>
      <c r="CG61">
        <f t="shared" si="5"/>
        <v>0.99999999999999989</v>
      </c>
      <c r="CH61">
        <f t="shared" si="6"/>
        <v>1</v>
      </c>
      <c r="CJ61">
        <f t="shared" si="7"/>
        <v>5.9414676223864864E-2</v>
      </c>
    </row>
    <row r="62" spans="1:88" ht="14.4" x14ac:dyDescent="0.3">
      <c r="A62" t="s">
        <v>63</v>
      </c>
      <c r="B62" s="6">
        <v>1.2302480046003587E-2</v>
      </c>
      <c r="C62" s="6">
        <v>1.7436115744460502E-2</v>
      </c>
      <c r="D62" s="6">
        <v>4.1574886424874891E-2</v>
      </c>
      <c r="E62" s="6">
        <v>2.3134786866625422E-2</v>
      </c>
      <c r="F62" s="6">
        <v>2.8237828179914198E-2</v>
      </c>
      <c r="G62" s="6">
        <v>3.437379253098035E-2</v>
      </c>
      <c r="H62" s="6">
        <v>1.0029076589493629E-3</v>
      </c>
      <c r="I62" s="6">
        <v>1.1105898970345746E-2</v>
      </c>
      <c r="J62" s="6">
        <v>2.9511961376609358E-2</v>
      </c>
      <c r="K62" s="6">
        <v>0.53712554690702885</v>
      </c>
      <c r="L62" s="6">
        <v>1.2366715669878771E-2</v>
      </c>
      <c r="M62" s="6">
        <v>2.5368089891005009E-2</v>
      </c>
      <c r="N62" s="6">
        <v>0.39853125107422332</v>
      </c>
      <c r="O62" s="6">
        <v>0.12962131553611589</v>
      </c>
      <c r="P62" s="6">
        <v>0.13346641086268082</v>
      </c>
      <c r="Q62" s="6">
        <v>-0.13806320618806153</v>
      </c>
      <c r="R62" s="6">
        <v>-0.13749065491826706</v>
      </c>
      <c r="S62" s="6">
        <v>-0.15029819902339162</v>
      </c>
      <c r="T62" s="6">
        <v>-0.17836541302248179</v>
      </c>
      <c r="U62" s="6">
        <v>-0.18563088737664749</v>
      </c>
      <c r="V62" s="6">
        <v>-1.9787545439697053E-3</v>
      </c>
      <c r="W62" s="6">
        <v>2.5240451864021261E-2</v>
      </c>
      <c r="X62" s="6">
        <v>2.283728412758498E-2</v>
      </c>
      <c r="Y62" s="6">
        <v>1.607433409261173E-2</v>
      </c>
      <c r="Z62" s="6">
        <v>2.9434841777542719E-3</v>
      </c>
      <c r="AA62" s="6">
        <v>9.2405993510442531E-3</v>
      </c>
      <c r="AB62" s="6">
        <v>1.2127308345520223E-2</v>
      </c>
      <c r="AC62" s="6">
        <v>6.5724601059048418E-3</v>
      </c>
      <c r="AD62" s="6">
        <v>-8.7460014352723709E-4</v>
      </c>
      <c r="AE62" s="6">
        <v>1.4636053014880641E-2</v>
      </c>
      <c r="AF62" s="6">
        <v>2.0729421407446977E-2</v>
      </c>
      <c r="AG62" s="6">
        <v>1.8434131555683384E-2</v>
      </c>
      <c r="AH62" s="6">
        <v>3.0042412965211943E-3</v>
      </c>
      <c r="AI62" s="6">
        <v>9.7971368686060392E-2</v>
      </c>
      <c r="AJ62" s="6">
        <v>-0.58365565021205312</v>
      </c>
      <c r="AK62" s="6">
        <v>0.14459699863376715</v>
      </c>
      <c r="AL62" s="6">
        <v>-0.10317526659099603</v>
      </c>
      <c r="AM62" s="6">
        <v>8.1266681831372277E-3</v>
      </c>
      <c r="AN62" s="6">
        <v>1.288236990515897E-2</v>
      </c>
      <c r="AP62">
        <f t="shared" si="2"/>
        <v>0.99999998045449423</v>
      </c>
      <c r="AQ62">
        <f t="shared" si="3"/>
        <v>0.99999999022724706</v>
      </c>
      <c r="AS62">
        <f t="shared" si="16"/>
        <v>1.2302480166232687E-2</v>
      </c>
      <c r="AT62">
        <f t="shared" si="16"/>
        <v>1.7436115914859357E-2</v>
      </c>
      <c r="AU62">
        <f t="shared" si="16"/>
        <v>4.1574886831175988E-2</v>
      </c>
      <c r="AV62">
        <f t="shared" si="16"/>
        <v>2.3134787092715981E-2</v>
      </c>
      <c r="AW62">
        <f t="shared" si="16"/>
        <v>2.8237828455875517E-2</v>
      </c>
      <c r="AX62">
        <f t="shared" si="16"/>
        <v>3.4373792866906935E-2</v>
      </c>
      <c r="AY62">
        <f t="shared" si="16"/>
        <v>1.0029076687505317E-3</v>
      </c>
      <c r="AZ62">
        <f t="shared" si="16"/>
        <v>1.1105899078880955E-2</v>
      </c>
      <c r="BA62">
        <f t="shared" si="16"/>
        <v>2.9511961665022467E-2</v>
      </c>
      <c r="BB62">
        <f t="shared" si="16"/>
        <v>0.53712555215622415</v>
      </c>
      <c r="BC62">
        <f t="shared" si="16"/>
        <v>1.2366715790735628E-2</v>
      </c>
      <c r="BD62">
        <f t="shared" si="16"/>
        <v>2.5368090138921086E-2</v>
      </c>
      <c r="BE62">
        <f t="shared" si="15"/>
        <v>0.39853125496897079</v>
      </c>
      <c r="BF62">
        <f t="shared" si="15"/>
        <v>0.129621316802873</v>
      </c>
      <c r="BG62">
        <f t="shared" si="15"/>
        <v>0.1334664121670151</v>
      </c>
      <c r="BH62">
        <f t="shared" si="14"/>
        <v>-0.13806320753731915</v>
      </c>
      <c r="BI62">
        <f t="shared" si="14"/>
        <v>-0.13749065626192927</v>
      </c>
      <c r="BJ62">
        <f t="shared" si="14"/>
        <v>-0.15029820049221879</v>
      </c>
      <c r="BK62">
        <f t="shared" si="14"/>
        <v>-0.17836541476560291</v>
      </c>
      <c r="BL62">
        <f t="shared" si="14"/>
        <v>-0.18563088919077231</v>
      </c>
      <c r="BM62">
        <f t="shared" si="14"/>
        <v>-1.9787545633075847E-3</v>
      </c>
      <c r="BN62">
        <f t="shared" si="14"/>
        <v>2.5240452110689964E-2</v>
      </c>
      <c r="BO62">
        <f t="shared" si="14"/>
        <v>2.2837284350768119E-2</v>
      </c>
      <c r="BP62">
        <f t="shared" si="14"/>
        <v>1.6074334249702227E-2</v>
      </c>
      <c r="BQ62">
        <f t="shared" si="14"/>
        <v>2.943484206520216E-3</v>
      </c>
      <c r="BR62">
        <f t="shared" si="17"/>
        <v>9.240599441350349E-3</v>
      </c>
      <c r="BS62">
        <f t="shared" si="17"/>
        <v>1.2127308464037412E-2</v>
      </c>
      <c r="BT62">
        <f t="shared" si="17"/>
        <v>6.5724601701358711E-3</v>
      </c>
      <c r="BU62">
        <f t="shared" si="17"/>
        <v>-8.7460015207448832E-4</v>
      </c>
      <c r="BV62">
        <f t="shared" si="17"/>
        <v>1.4636053157915174E-2</v>
      </c>
      <c r="BW62">
        <f t="shared" si="17"/>
        <v>2.0729421610030493E-2</v>
      </c>
      <c r="BX62">
        <f t="shared" si="17"/>
        <v>1.84341317358356E-2</v>
      </c>
      <c r="BY62">
        <f t="shared" si="17"/>
        <v>3.0042413258809025E-3</v>
      </c>
      <c r="BZ62">
        <f t="shared" si="18"/>
        <v>9.7971369643510386E-2</v>
      </c>
      <c r="CA62">
        <f t="shared" si="18"/>
        <v>-0.58365565591597568</v>
      </c>
      <c r="CB62">
        <f t="shared" si="18"/>
        <v>0.14459700004687792</v>
      </c>
      <c r="CC62">
        <f t="shared" si="18"/>
        <v>-0.10317526759930243</v>
      </c>
      <c r="CD62">
        <f t="shared" si="18"/>
        <v>8.126668262557148E-3</v>
      </c>
      <c r="CE62">
        <f t="shared" si="18"/>
        <v>1.2882370031055189E-2</v>
      </c>
      <c r="CG62">
        <f t="shared" si="5"/>
        <v>0.99999999999999989</v>
      </c>
      <c r="CH62">
        <f t="shared" si="6"/>
        <v>1</v>
      </c>
      <c r="CJ62">
        <f t="shared" si="7"/>
        <v>5.9414676223864864E-2</v>
      </c>
    </row>
    <row r="63" spans="1:88" ht="14.4" x14ac:dyDescent="0.3">
      <c r="A63" t="s">
        <v>64</v>
      </c>
      <c r="B63" s="6">
        <v>1.2302480046003587E-2</v>
      </c>
      <c r="C63" s="6">
        <v>1.7436115744460502E-2</v>
      </c>
      <c r="D63" s="6">
        <v>4.1574886424874891E-2</v>
      </c>
      <c r="E63" s="6">
        <v>2.3134786866625422E-2</v>
      </c>
      <c r="F63" s="6">
        <v>2.8237828179914198E-2</v>
      </c>
      <c r="G63" s="6">
        <v>3.437379253098035E-2</v>
      </c>
      <c r="H63" s="6">
        <v>1.0029076589493629E-3</v>
      </c>
      <c r="I63" s="6">
        <v>1.1105898970345746E-2</v>
      </c>
      <c r="J63" s="6">
        <v>2.9511961376609358E-2</v>
      </c>
      <c r="K63" s="6">
        <v>0.53712554690702885</v>
      </c>
      <c r="L63" s="6">
        <v>1.2366715669878771E-2</v>
      </c>
      <c r="M63" s="6">
        <v>2.5368089891005009E-2</v>
      </c>
      <c r="N63" s="6">
        <v>0.39853125107422332</v>
      </c>
      <c r="O63" s="6">
        <v>0.12962131553611589</v>
      </c>
      <c r="P63" s="6">
        <v>0.13346641086268082</v>
      </c>
      <c r="Q63" s="6">
        <v>-0.13806320618806153</v>
      </c>
      <c r="R63" s="6">
        <v>-0.13749065491826706</v>
      </c>
      <c r="S63" s="6">
        <v>-0.15029819902339162</v>
      </c>
      <c r="T63" s="6">
        <v>-0.17836541302248179</v>
      </c>
      <c r="U63" s="6">
        <v>-0.18563088737664749</v>
      </c>
      <c r="V63" s="6">
        <v>-1.9787545439697053E-3</v>
      </c>
      <c r="W63" s="6">
        <v>2.5240451864021261E-2</v>
      </c>
      <c r="X63" s="6">
        <v>2.283728412758498E-2</v>
      </c>
      <c r="Y63" s="6">
        <v>1.607433409261173E-2</v>
      </c>
      <c r="Z63" s="6">
        <v>2.9434841777542719E-3</v>
      </c>
      <c r="AA63" s="6">
        <v>9.2405993510442531E-3</v>
      </c>
      <c r="AB63" s="6">
        <v>1.2127308345520223E-2</v>
      </c>
      <c r="AC63" s="6">
        <v>6.5724601059048418E-3</v>
      </c>
      <c r="AD63" s="6">
        <v>-8.7460014352723709E-4</v>
      </c>
      <c r="AE63" s="6">
        <v>1.4636053014880641E-2</v>
      </c>
      <c r="AF63" s="6">
        <v>2.0729421407446977E-2</v>
      </c>
      <c r="AG63" s="6">
        <v>1.8434131555683384E-2</v>
      </c>
      <c r="AH63" s="6">
        <v>3.0042412965211943E-3</v>
      </c>
      <c r="AI63" s="6">
        <v>9.7971368686060392E-2</v>
      </c>
      <c r="AJ63" s="6">
        <v>-0.58365565021205312</v>
      </c>
      <c r="AK63" s="6">
        <v>0.14459699863376715</v>
      </c>
      <c r="AL63" s="6">
        <v>-0.10317526659099603</v>
      </c>
      <c r="AM63" s="6">
        <v>8.1266681831372277E-3</v>
      </c>
      <c r="AN63" s="6">
        <v>1.288236990515897E-2</v>
      </c>
      <c r="AP63">
        <f t="shared" si="2"/>
        <v>0.99999998045449423</v>
      </c>
      <c r="AQ63">
        <f t="shared" si="3"/>
        <v>0.99999999022724706</v>
      </c>
      <c r="AS63">
        <f t="shared" si="16"/>
        <v>1.2302480166232687E-2</v>
      </c>
      <c r="AT63">
        <f t="shared" si="16"/>
        <v>1.7436115914859357E-2</v>
      </c>
      <c r="AU63">
        <f t="shared" si="16"/>
        <v>4.1574886831175988E-2</v>
      </c>
      <c r="AV63">
        <f t="shared" si="16"/>
        <v>2.3134787092715981E-2</v>
      </c>
      <c r="AW63">
        <f t="shared" si="16"/>
        <v>2.8237828455875517E-2</v>
      </c>
      <c r="AX63">
        <f t="shared" si="16"/>
        <v>3.4373792866906935E-2</v>
      </c>
      <c r="AY63">
        <f t="shared" si="16"/>
        <v>1.0029076687505317E-3</v>
      </c>
      <c r="AZ63">
        <f t="shared" si="16"/>
        <v>1.1105899078880955E-2</v>
      </c>
      <c r="BA63">
        <f t="shared" si="16"/>
        <v>2.9511961665022467E-2</v>
      </c>
      <c r="BB63">
        <f t="shared" si="16"/>
        <v>0.53712555215622415</v>
      </c>
      <c r="BC63">
        <f t="shared" si="16"/>
        <v>1.2366715790735628E-2</v>
      </c>
      <c r="BD63">
        <f t="shared" si="16"/>
        <v>2.5368090138921086E-2</v>
      </c>
      <c r="BE63">
        <f t="shared" si="15"/>
        <v>0.39853125496897079</v>
      </c>
      <c r="BF63">
        <f t="shared" si="15"/>
        <v>0.129621316802873</v>
      </c>
      <c r="BG63">
        <f t="shared" si="15"/>
        <v>0.1334664121670151</v>
      </c>
      <c r="BH63">
        <f t="shared" si="14"/>
        <v>-0.13806320753731915</v>
      </c>
      <c r="BI63">
        <f t="shared" si="14"/>
        <v>-0.13749065626192927</v>
      </c>
      <c r="BJ63">
        <f t="shared" si="14"/>
        <v>-0.15029820049221879</v>
      </c>
      <c r="BK63">
        <f t="shared" si="14"/>
        <v>-0.17836541476560291</v>
      </c>
      <c r="BL63">
        <f t="shared" si="14"/>
        <v>-0.18563088919077231</v>
      </c>
      <c r="BM63">
        <f t="shared" si="14"/>
        <v>-1.9787545633075847E-3</v>
      </c>
      <c r="BN63">
        <f t="shared" si="14"/>
        <v>2.5240452110689964E-2</v>
      </c>
      <c r="BO63">
        <f t="shared" si="14"/>
        <v>2.2837284350768119E-2</v>
      </c>
      <c r="BP63">
        <f t="shared" si="14"/>
        <v>1.6074334249702227E-2</v>
      </c>
      <c r="BQ63">
        <f t="shared" si="14"/>
        <v>2.943484206520216E-3</v>
      </c>
      <c r="BR63">
        <f t="shared" si="17"/>
        <v>9.240599441350349E-3</v>
      </c>
      <c r="BS63">
        <f t="shared" si="17"/>
        <v>1.2127308464037412E-2</v>
      </c>
      <c r="BT63">
        <f t="shared" si="17"/>
        <v>6.5724601701358711E-3</v>
      </c>
      <c r="BU63">
        <f t="shared" si="17"/>
        <v>-8.7460015207448832E-4</v>
      </c>
      <c r="BV63">
        <f t="shared" si="17"/>
        <v>1.4636053157915174E-2</v>
      </c>
      <c r="BW63">
        <f t="shared" si="17"/>
        <v>2.0729421610030493E-2</v>
      </c>
      <c r="BX63">
        <f t="shared" si="17"/>
        <v>1.84341317358356E-2</v>
      </c>
      <c r="BY63">
        <f t="shared" si="17"/>
        <v>3.0042413258809025E-3</v>
      </c>
      <c r="BZ63">
        <f t="shared" si="18"/>
        <v>9.7971369643510386E-2</v>
      </c>
      <c r="CA63">
        <f t="shared" si="18"/>
        <v>-0.58365565591597568</v>
      </c>
      <c r="CB63">
        <f t="shared" si="18"/>
        <v>0.14459700004687792</v>
      </c>
      <c r="CC63">
        <f t="shared" si="18"/>
        <v>-0.10317526759930243</v>
      </c>
      <c r="CD63">
        <f t="shared" si="18"/>
        <v>8.126668262557148E-3</v>
      </c>
      <c r="CE63">
        <f t="shared" si="18"/>
        <v>1.2882370031055189E-2</v>
      </c>
      <c r="CG63">
        <f t="shared" si="5"/>
        <v>0.99999999999999989</v>
      </c>
      <c r="CH63">
        <f t="shared" si="6"/>
        <v>1</v>
      </c>
      <c r="CJ63" s="2">
        <f t="shared" si="7"/>
        <v>5.9414676223864864E-2</v>
      </c>
    </row>
    <row r="64" spans="1:88" ht="14.4" x14ac:dyDescent="0.3">
      <c r="A64" t="s">
        <v>65</v>
      </c>
      <c r="B64" s="6">
        <v>1.2302480046003587E-2</v>
      </c>
      <c r="C64" s="6">
        <v>1.7436115744460502E-2</v>
      </c>
      <c r="D64" s="6">
        <v>4.1574886424874891E-2</v>
      </c>
      <c r="E64" s="6">
        <v>2.3134786866625422E-2</v>
      </c>
      <c r="F64" s="6">
        <v>2.8237828179914198E-2</v>
      </c>
      <c r="G64" s="6">
        <v>3.437379253098035E-2</v>
      </c>
      <c r="H64" s="6">
        <v>1.0029076589493629E-3</v>
      </c>
      <c r="I64" s="6">
        <v>1.1105898970345746E-2</v>
      </c>
      <c r="J64" s="6">
        <v>2.9511961376609358E-2</v>
      </c>
      <c r="K64" s="6">
        <v>0.53712554690702885</v>
      </c>
      <c r="L64" s="6">
        <v>1.2366715669878771E-2</v>
      </c>
      <c r="M64" s="6">
        <v>2.5368089891005009E-2</v>
      </c>
      <c r="N64" s="6">
        <v>0.39853125107422332</v>
      </c>
      <c r="O64" s="6">
        <v>0.12962131553611589</v>
      </c>
      <c r="P64" s="6">
        <v>0.13346641086268082</v>
      </c>
      <c r="Q64" s="6">
        <v>-0.13806320618806153</v>
      </c>
      <c r="R64" s="6">
        <v>-0.13749065491826706</v>
      </c>
      <c r="S64" s="6">
        <v>-0.15029819902339162</v>
      </c>
      <c r="T64" s="6">
        <v>-0.17836541302248179</v>
      </c>
      <c r="U64" s="6">
        <v>-0.18563088737664749</v>
      </c>
      <c r="V64" s="6">
        <v>-1.9787545439697053E-3</v>
      </c>
      <c r="W64" s="6">
        <v>2.5240451864021261E-2</v>
      </c>
      <c r="X64" s="6">
        <v>2.283728412758498E-2</v>
      </c>
      <c r="Y64" s="6">
        <v>1.607433409261173E-2</v>
      </c>
      <c r="Z64" s="6">
        <v>2.9434841777542719E-3</v>
      </c>
      <c r="AA64" s="6">
        <v>9.2405993510442531E-3</v>
      </c>
      <c r="AB64" s="6">
        <v>1.2127308345520223E-2</v>
      </c>
      <c r="AC64" s="6">
        <v>6.5724601059048418E-3</v>
      </c>
      <c r="AD64" s="6">
        <v>-8.7460014352723709E-4</v>
      </c>
      <c r="AE64" s="6">
        <v>1.4636053014880641E-2</v>
      </c>
      <c r="AF64" s="6">
        <v>2.0729421407446977E-2</v>
      </c>
      <c r="AG64" s="6">
        <v>1.8434131555683384E-2</v>
      </c>
      <c r="AH64" s="6">
        <v>3.0042412965211943E-3</v>
      </c>
      <c r="AI64" s="6">
        <v>9.7971368686060392E-2</v>
      </c>
      <c r="AJ64" s="6">
        <v>-0.58365565021205312</v>
      </c>
      <c r="AK64" s="6">
        <v>0.14459699863376715</v>
      </c>
      <c r="AL64" s="6">
        <v>-0.10317526659099603</v>
      </c>
      <c r="AM64" s="6">
        <v>8.1266681831372277E-3</v>
      </c>
      <c r="AN64" s="6">
        <v>1.288236990515897E-2</v>
      </c>
      <c r="AP64">
        <f t="shared" si="2"/>
        <v>0.99999998045449423</v>
      </c>
      <c r="AQ64">
        <f t="shared" si="3"/>
        <v>0.99999999022724706</v>
      </c>
      <c r="AS64">
        <f t="shared" si="16"/>
        <v>1.2302480166232687E-2</v>
      </c>
      <c r="AT64">
        <f t="shared" si="16"/>
        <v>1.7436115914859357E-2</v>
      </c>
      <c r="AU64">
        <f t="shared" si="16"/>
        <v>4.1574886831175988E-2</v>
      </c>
      <c r="AV64">
        <f t="shared" si="16"/>
        <v>2.3134787092715981E-2</v>
      </c>
      <c r="AW64">
        <f t="shared" si="16"/>
        <v>2.8237828455875517E-2</v>
      </c>
      <c r="AX64">
        <f t="shared" si="16"/>
        <v>3.4373792866906935E-2</v>
      </c>
      <c r="AY64">
        <f t="shared" si="16"/>
        <v>1.0029076687505317E-3</v>
      </c>
      <c r="AZ64">
        <f t="shared" si="16"/>
        <v>1.1105899078880955E-2</v>
      </c>
      <c r="BA64">
        <f t="shared" si="16"/>
        <v>2.9511961665022467E-2</v>
      </c>
      <c r="BB64">
        <f t="shared" si="16"/>
        <v>0.53712555215622415</v>
      </c>
      <c r="BC64">
        <f t="shared" si="16"/>
        <v>1.2366715790735628E-2</v>
      </c>
      <c r="BD64">
        <f t="shared" si="16"/>
        <v>2.5368090138921086E-2</v>
      </c>
      <c r="BE64">
        <f t="shared" si="15"/>
        <v>0.39853125496897079</v>
      </c>
      <c r="BF64">
        <f t="shared" si="15"/>
        <v>0.129621316802873</v>
      </c>
      <c r="BG64">
        <f t="shared" si="15"/>
        <v>0.1334664121670151</v>
      </c>
      <c r="BH64">
        <f t="shared" si="14"/>
        <v>-0.13806320753731915</v>
      </c>
      <c r="BI64">
        <f t="shared" si="14"/>
        <v>-0.13749065626192927</v>
      </c>
      <c r="BJ64">
        <f t="shared" si="14"/>
        <v>-0.15029820049221879</v>
      </c>
      <c r="BK64">
        <f t="shared" si="14"/>
        <v>-0.17836541476560291</v>
      </c>
      <c r="BL64">
        <f t="shared" si="14"/>
        <v>-0.18563088919077231</v>
      </c>
      <c r="BM64">
        <f t="shared" si="14"/>
        <v>-1.9787545633075847E-3</v>
      </c>
      <c r="BN64">
        <f t="shared" si="14"/>
        <v>2.5240452110689964E-2</v>
      </c>
      <c r="BO64">
        <f t="shared" si="14"/>
        <v>2.2837284350768119E-2</v>
      </c>
      <c r="BP64">
        <f t="shared" si="14"/>
        <v>1.6074334249702227E-2</v>
      </c>
      <c r="BQ64">
        <f t="shared" si="14"/>
        <v>2.943484206520216E-3</v>
      </c>
      <c r="BR64">
        <f t="shared" si="17"/>
        <v>9.240599441350349E-3</v>
      </c>
      <c r="BS64">
        <f t="shared" si="17"/>
        <v>1.2127308464037412E-2</v>
      </c>
      <c r="BT64">
        <f t="shared" si="17"/>
        <v>6.5724601701358711E-3</v>
      </c>
      <c r="BU64">
        <f t="shared" si="17"/>
        <v>-8.7460015207448832E-4</v>
      </c>
      <c r="BV64">
        <f t="shared" si="17"/>
        <v>1.4636053157915174E-2</v>
      </c>
      <c r="BW64">
        <f t="shared" si="17"/>
        <v>2.0729421610030493E-2</v>
      </c>
      <c r="BX64">
        <f t="shared" si="17"/>
        <v>1.84341317358356E-2</v>
      </c>
      <c r="BY64">
        <f t="shared" si="17"/>
        <v>3.0042413258809025E-3</v>
      </c>
      <c r="BZ64">
        <f t="shared" si="18"/>
        <v>9.7971369643510386E-2</v>
      </c>
      <c r="CA64">
        <f t="shared" si="18"/>
        <v>-0.58365565591597568</v>
      </c>
      <c r="CB64">
        <f t="shared" si="18"/>
        <v>0.14459700004687792</v>
      </c>
      <c r="CC64">
        <f t="shared" si="18"/>
        <v>-0.10317526759930243</v>
      </c>
      <c r="CD64">
        <f t="shared" si="18"/>
        <v>8.126668262557148E-3</v>
      </c>
      <c r="CE64">
        <f t="shared" si="18"/>
        <v>1.2882370031055189E-2</v>
      </c>
      <c r="CG64">
        <f t="shared" si="5"/>
        <v>0.99999999999999989</v>
      </c>
      <c r="CH64">
        <f t="shared" si="6"/>
        <v>1</v>
      </c>
      <c r="CJ64">
        <f t="shared" si="7"/>
        <v>5.9414676223864864E-2</v>
      </c>
    </row>
    <row r="65" spans="1:88" ht="14.4" x14ac:dyDescent="0.3">
      <c r="A65" t="s">
        <v>66</v>
      </c>
      <c r="B65" s="6">
        <v>1.2302480046003587E-2</v>
      </c>
      <c r="C65" s="6">
        <v>1.7436115744460502E-2</v>
      </c>
      <c r="D65" s="6">
        <v>4.1574886424874891E-2</v>
      </c>
      <c r="E65" s="6">
        <v>2.3134786866625422E-2</v>
      </c>
      <c r="F65" s="6">
        <v>2.8237828179914198E-2</v>
      </c>
      <c r="G65" s="6">
        <v>3.437379253098035E-2</v>
      </c>
      <c r="H65" s="6">
        <v>1.0029076589493629E-3</v>
      </c>
      <c r="I65" s="6">
        <v>1.1105898970345746E-2</v>
      </c>
      <c r="J65" s="6">
        <v>2.9511961376609358E-2</v>
      </c>
      <c r="K65" s="6">
        <v>0.53712554690702885</v>
      </c>
      <c r="L65" s="6">
        <v>1.2366715669878771E-2</v>
      </c>
      <c r="M65" s="6">
        <v>2.5368089891005009E-2</v>
      </c>
      <c r="N65" s="6">
        <v>0.39853125107422332</v>
      </c>
      <c r="O65" s="6">
        <v>0.12962131553611589</v>
      </c>
      <c r="P65" s="6">
        <v>0.13346641086268082</v>
      </c>
      <c r="Q65" s="6">
        <v>-0.13806320618806153</v>
      </c>
      <c r="R65" s="6">
        <v>-0.13749065491826706</v>
      </c>
      <c r="S65" s="6">
        <v>-0.15029819902339162</v>
      </c>
      <c r="T65" s="6">
        <v>-0.17836541302248179</v>
      </c>
      <c r="U65" s="6">
        <v>-0.18563088737664749</v>
      </c>
      <c r="V65" s="6">
        <v>-1.9787545439697053E-3</v>
      </c>
      <c r="W65" s="6">
        <v>2.5240451864021261E-2</v>
      </c>
      <c r="X65" s="6">
        <v>2.283728412758498E-2</v>
      </c>
      <c r="Y65" s="6">
        <v>1.607433409261173E-2</v>
      </c>
      <c r="Z65" s="6">
        <v>2.9434841777542719E-3</v>
      </c>
      <c r="AA65" s="6">
        <v>9.2405993510442531E-3</v>
      </c>
      <c r="AB65" s="6">
        <v>1.2127308345520223E-2</v>
      </c>
      <c r="AC65" s="6">
        <v>6.5724601059048418E-3</v>
      </c>
      <c r="AD65" s="6">
        <v>-8.7460014352723709E-4</v>
      </c>
      <c r="AE65" s="6">
        <v>1.4636053014880641E-2</v>
      </c>
      <c r="AF65" s="6">
        <v>2.0729421407446977E-2</v>
      </c>
      <c r="AG65" s="6">
        <v>1.8434131555683384E-2</v>
      </c>
      <c r="AH65" s="6">
        <v>3.0042412965211943E-3</v>
      </c>
      <c r="AI65" s="6">
        <v>9.7971368686060392E-2</v>
      </c>
      <c r="AJ65" s="6">
        <v>-0.58365565021205312</v>
      </c>
      <c r="AK65" s="6">
        <v>0.14459699863376715</v>
      </c>
      <c r="AL65" s="6">
        <v>-0.10317526659099603</v>
      </c>
      <c r="AM65" s="6">
        <v>8.1266681831372277E-3</v>
      </c>
      <c r="AN65" s="6">
        <v>1.288236990515897E-2</v>
      </c>
      <c r="AP65">
        <f t="shared" si="2"/>
        <v>0.99999998045449423</v>
      </c>
      <c r="AQ65">
        <f t="shared" si="3"/>
        <v>0.99999999022724706</v>
      </c>
      <c r="AS65">
        <f t="shared" si="16"/>
        <v>1.2302480166232687E-2</v>
      </c>
      <c r="AT65">
        <f t="shared" si="16"/>
        <v>1.7436115914859357E-2</v>
      </c>
      <c r="AU65">
        <f t="shared" si="16"/>
        <v>4.1574886831175988E-2</v>
      </c>
      <c r="AV65">
        <f t="shared" si="16"/>
        <v>2.3134787092715981E-2</v>
      </c>
      <c r="AW65">
        <f t="shared" si="16"/>
        <v>2.8237828455875517E-2</v>
      </c>
      <c r="AX65">
        <f t="shared" si="16"/>
        <v>3.4373792866906935E-2</v>
      </c>
      <c r="AY65">
        <f t="shared" si="16"/>
        <v>1.0029076687505317E-3</v>
      </c>
      <c r="AZ65">
        <f t="shared" si="16"/>
        <v>1.1105899078880955E-2</v>
      </c>
      <c r="BA65">
        <f t="shared" si="16"/>
        <v>2.9511961665022467E-2</v>
      </c>
      <c r="BB65">
        <f t="shared" si="16"/>
        <v>0.53712555215622415</v>
      </c>
      <c r="BC65">
        <f t="shared" si="16"/>
        <v>1.2366715790735628E-2</v>
      </c>
      <c r="BD65">
        <f t="shared" si="16"/>
        <v>2.5368090138921086E-2</v>
      </c>
      <c r="BE65">
        <f t="shared" si="15"/>
        <v>0.39853125496897079</v>
      </c>
      <c r="BF65">
        <f t="shared" si="15"/>
        <v>0.129621316802873</v>
      </c>
      <c r="BG65">
        <f t="shared" si="15"/>
        <v>0.1334664121670151</v>
      </c>
      <c r="BH65">
        <f t="shared" si="14"/>
        <v>-0.13806320753731915</v>
      </c>
      <c r="BI65">
        <f t="shared" si="14"/>
        <v>-0.13749065626192927</v>
      </c>
      <c r="BJ65">
        <f t="shared" si="14"/>
        <v>-0.15029820049221879</v>
      </c>
      <c r="BK65">
        <f t="shared" si="14"/>
        <v>-0.17836541476560291</v>
      </c>
      <c r="BL65">
        <f t="shared" si="14"/>
        <v>-0.18563088919077231</v>
      </c>
      <c r="BM65">
        <f t="shared" si="14"/>
        <v>-1.9787545633075847E-3</v>
      </c>
      <c r="BN65">
        <f t="shared" si="14"/>
        <v>2.5240452110689964E-2</v>
      </c>
      <c r="BO65">
        <f t="shared" si="14"/>
        <v>2.2837284350768119E-2</v>
      </c>
      <c r="BP65">
        <f t="shared" si="14"/>
        <v>1.6074334249702227E-2</v>
      </c>
      <c r="BQ65">
        <f t="shared" si="14"/>
        <v>2.943484206520216E-3</v>
      </c>
      <c r="BR65">
        <f t="shared" si="17"/>
        <v>9.240599441350349E-3</v>
      </c>
      <c r="BS65">
        <f t="shared" si="17"/>
        <v>1.2127308464037412E-2</v>
      </c>
      <c r="BT65">
        <f t="shared" si="17"/>
        <v>6.5724601701358711E-3</v>
      </c>
      <c r="BU65">
        <f t="shared" si="17"/>
        <v>-8.7460015207448832E-4</v>
      </c>
      <c r="BV65">
        <f t="shared" si="17"/>
        <v>1.4636053157915174E-2</v>
      </c>
      <c r="BW65">
        <f t="shared" si="17"/>
        <v>2.0729421610030493E-2</v>
      </c>
      <c r="BX65">
        <f t="shared" si="17"/>
        <v>1.84341317358356E-2</v>
      </c>
      <c r="BY65">
        <f t="shared" si="17"/>
        <v>3.0042413258809025E-3</v>
      </c>
      <c r="BZ65">
        <f t="shared" si="18"/>
        <v>9.7971369643510386E-2</v>
      </c>
      <c r="CA65">
        <f t="shared" si="18"/>
        <v>-0.58365565591597568</v>
      </c>
      <c r="CB65">
        <f t="shared" si="18"/>
        <v>0.14459700004687792</v>
      </c>
      <c r="CC65">
        <f t="shared" si="18"/>
        <v>-0.10317526759930243</v>
      </c>
      <c r="CD65">
        <f t="shared" si="18"/>
        <v>8.126668262557148E-3</v>
      </c>
      <c r="CE65">
        <f t="shared" si="18"/>
        <v>1.2882370031055189E-2</v>
      </c>
      <c r="CG65">
        <f t="shared" si="5"/>
        <v>0.99999999999999989</v>
      </c>
      <c r="CH65">
        <f t="shared" si="6"/>
        <v>1</v>
      </c>
      <c r="CJ65">
        <f t="shared" si="7"/>
        <v>5.9414676223864864E-2</v>
      </c>
    </row>
    <row r="68" spans="1:88" x14ac:dyDescent="0.25">
      <c r="AP68">
        <f t="shared" ref="AP68:AP69" si="19">SUMSQ(A68:AN68)</f>
        <v>0</v>
      </c>
      <c r="AQ68">
        <f t="shared" ref="AQ68:AQ69" si="20">SQRT(AP68)</f>
        <v>0</v>
      </c>
      <c r="AS68" t="e">
        <f t="shared" ref="AS68:CE69" si="21">B68/$AQ68</f>
        <v>#DIV/0!</v>
      </c>
      <c r="AT68" t="e">
        <f t="shared" si="21"/>
        <v>#DIV/0!</v>
      </c>
      <c r="AU68" t="e">
        <f t="shared" si="21"/>
        <v>#DIV/0!</v>
      </c>
      <c r="AV68" t="e">
        <f t="shared" si="21"/>
        <v>#DIV/0!</v>
      </c>
      <c r="AW68" t="e">
        <f t="shared" si="21"/>
        <v>#DIV/0!</v>
      </c>
      <c r="AX68" t="e">
        <f t="shared" si="21"/>
        <v>#DIV/0!</v>
      </c>
      <c r="AY68" t="e">
        <f t="shared" si="21"/>
        <v>#DIV/0!</v>
      </c>
      <c r="AZ68" t="e">
        <f t="shared" si="21"/>
        <v>#DIV/0!</v>
      </c>
      <c r="BA68" t="e">
        <f t="shared" si="21"/>
        <v>#DIV/0!</v>
      </c>
      <c r="BB68" t="e">
        <f t="shared" si="21"/>
        <v>#DIV/0!</v>
      </c>
      <c r="BC68" t="e">
        <f t="shared" si="21"/>
        <v>#DIV/0!</v>
      </c>
      <c r="BD68" t="e">
        <f t="shared" si="21"/>
        <v>#DIV/0!</v>
      </c>
      <c r="BE68" t="e">
        <f t="shared" si="21"/>
        <v>#DIV/0!</v>
      </c>
      <c r="BF68" t="e">
        <f t="shared" si="21"/>
        <v>#DIV/0!</v>
      </c>
      <c r="BG68" t="e">
        <f t="shared" si="21"/>
        <v>#DIV/0!</v>
      </c>
      <c r="BH68" t="e">
        <f t="shared" si="21"/>
        <v>#DIV/0!</v>
      </c>
      <c r="BI68" t="e">
        <f t="shared" si="21"/>
        <v>#DIV/0!</v>
      </c>
      <c r="BJ68" t="e">
        <f t="shared" si="21"/>
        <v>#DIV/0!</v>
      </c>
      <c r="BK68" t="e">
        <f t="shared" si="21"/>
        <v>#DIV/0!</v>
      </c>
      <c r="BL68" t="e">
        <f t="shared" si="21"/>
        <v>#DIV/0!</v>
      </c>
      <c r="BM68" t="e">
        <f t="shared" si="21"/>
        <v>#DIV/0!</v>
      </c>
      <c r="BN68" t="e">
        <f t="shared" si="21"/>
        <v>#DIV/0!</v>
      </c>
      <c r="BO68" t="e">
        <f t="shared" si="21"/>
        <v>#DIV/0!</v>
      </c>
      <c r="BP68" t="e">
        <f t="shared" si="21"/>
        <v>#DIV/0!</v>
      </c>
      <c r="BQ68" t="e">
        <f t="shared" si="21"/>
        <v>#DIV/0!</v>
      </c>
      <c r="BR68" t="e">
        <f t="shared" si="21"/>
        <v>#DIV/0!</v>
      </c>
      <c r="BS68" t="e">
        <f t="shared" si="21"/>
        <v>#DIV/0!</v>
      </c>
      <c r="BT68" t="e">
        <f t="shared" si="21"/>
        <v>#DIV/0!</v>
      </c>
      <c r="BU68" t="e">
        <f t="shared" si="21"/>
        <v>#DIV/0!</v>
      </c>
      <c r="BV68" t="e">
        <f t="shared" si="21"/>
        <v>#DIV/0!</v>
      </c>
      <c r="BW68" t="e">
        <f t="shared" si="21"/>
        <v>#DIV/0!</v>
      </c>
      <c r="BX68" t="e">
        <f t="shared" si="21"/>
        <v>#DIV/0!</v>
      </c>
      <c r="BY68" t="e">
        <f t="shared" si="21"/>
        <v>#DIV/0!</v>
      </c>
      <c r="BZ68" t="e">
        <f t="shared" si="21"/>
        <v>#DIV/0!</v>
      </c>
      <c r="CA68" t="e">
        <f t="shared" si="21"/>
        <v>#DIV/0!</v>
      </c>
      <c r="CB68" t="e">
        <f t="shared" si="21"/>
        <v>#DIV/0!</v>
      </c>
      <c r="CC68" t="e">
        <f t="shared" si="21"/>
        <v>#DIV/0!</v>
      </c>
      <c r="CD68" t="e">
        <f t="shared" si="21"/>
        <v>#DIV/0!</v>
      </c>
      <c r="CE68" t="e">
        <f t="shared" si="21"/>
        <v>#DIV/0!</v>
      </c>
      <c r="CG68" t="e">
        <f t="shared" ref="CG68:CG69" si="22">SUMSQ(AR68:CE68)</f>
        <v>#DIV/0!</v>
      </c>
      <c r="CH68" t="e">
        <f t="shared" ref="CH68:CH69" si="23">SQRT(CG68)</f>
        <v>#DIV/0!</v>
      </c>
      <c r="CJ68" t="e">
        <f t="shared" ref="CJ68" si="24">SUMPRODUCT($AS$1:$CE$1,AS68:CE68)</f>
        <v>#DIV/0!</v>
      </c>
    </row>
    <row r="69" spans="1:88" x14ac:dyDescent="0.25">
      <c r="AP69">
        <f t="shared" si="19"/>
        <v>0</v>
      </c>
      <c r="AQ69">
        <f t="shared" si="20"/>
        <v>0</v>
      </c>
      <c r="AS69" t="e">
        <f t="shared" si="21"/>
        <v>#DIV/0!</v>
      </c>
      <c r="AT69" t="e">
        <f t="shared" si="21"/>
        <v>#DIV/0!</v>
      </c>
      <c r="AU69" t="e">
        <f t="shared" si="21"/>
        <v>#DIV/0!</v>
      </c>
      <c r="AV69" t="e">
        <f t="shared" si="21"/>
        <v>#DIV/0!</v>
      </c>
      <c r="AW69" t="e">
        <f t="shared" si="21"/>
        <v>#DIV/0!</v>
      </c>
      <c r="AX69" t="e">
        <f t="shared" si="21"/>
        <v>#DIV/0!</v>
      </c>
      <c r="AY69" t="e">
        <f t="shared" si="21"/>
        <v>#DIV/0!</v>
      </c>
      <c r="AZ69" t="e">
        <f t="shared" si="21"/>
        <v>#DIV/0!</v>
      </c>
      <c r="BA69" t="e">
        <f t="shared" si="21"/>
        <v>#DIV/0!</v>
      </c>
      <c r="BB69" t="e">
        <f t="shared" si="21"/>
        <v>#DIV/0!</v>
      </c>
      <c r="BC69" t="e">
        <f t="shared" si="21"/>
        <v>#DIV/0!</v>
      </c>
      <c r="BD69" t="e">
        <f t="shared" si="21"/>
        <v>#DIV/0!</v>
      </c>
      <c r="BE69" t="e">
        <f t="shared" si="21"/>
        <v>#DIV/0!</v>
      </c>
      <c r="BF69" t="e">
        <f t="shared" si="21"/>
        <v>#DIV/0!</v>
      </c>
      <c r="BG69" t="e">
        <f t="shared" si="21"/>
        <v>#DIV/0!</v>
      </c>
      <c r="BH69" t="e">
        <f t="shared" si="21"/>
        <v>#DIV/0!</v>
      </c>
      <c r="BI69" t="e">
        <f t="shared" si="21"/>
        <v>#DIV/0!</v>
      </c>
      <c r="BJ69" t="e">
        <f t="shared" si="21"/>
        <v>#DIV/0!</v>
      </c>
      <c r="BK69" t="e">
        <f t="shared" si="21"/>
        <v>#DIV/0!</v>
      </c>
      <c r="BL69" t="e">
        <f t="shared" si="21"/>
        <v>#DIV/0!</v>
      </c>
      <c r="BM69" t="e">
        <f t="shared" si="21"/>
        <v>#DIV/0!</v>
      </c>
      <c r="BN69" t="e">
        <f t="shared" si="21"/>
        <v>#DIV/0!</v>
      </c>
      <c r="BO69" t="e">
        <f t="shared" si="21"/>
        <v>#DIV/0!</v>
      </c>
      <c r="BP69" t="e">
        <f t="shared" si="21"/>
        <v>#DIV/0!</v>
      </c>
      <c r="BQ69" t="e">
        <f t="shared" si="21"/>
        <v>#DIV/0!</v>
      </c>
      <c r="BR69" t="e">
        <f t="shared" si="21"/>
        <v>#DIV/0!</v>
      </c>
      <c r="BS69" t="e">
        <f t="shared" si="21"/>
        <v>#DIV/0!</v>
      </c>
      <c r="BT69" t="e">
        <f t="shared" si="21"/>
        <v>#DIV/0!</v>
      </c>
      <c r="BU69" t="e">
        <f t="shared" si="21"/>
        <v>#DIV/0!</v>
      </c>
      <c r="BV69" t="e">
        <f t="shared" si="21"/>
        <v>#DIV/0!</v>
      </c>
      <c r="BW69" t="e">
        <f t="shared" si="21"/>
        <v>#DIV/0!</v>
      </c>
      <c r="BX69" t="e">
        <f t="shared" si="21"/>
        <v>#DIV/0!</v>
      </c>
      <c r="BY69" t="e">
        <f t="shared" si="21"/>
        <v>#DIV/0!</v>
      </c>
      <c r="BZ69" t="e">
        <f t="shared" si="21"/>
        <v>#DIV/0!</v>
      </c>
      <c r="CA69" t="e">
        <f t="shared" si="21"/>
        <v>#DIV/0!</v>
      </c>
      <c r="CB69" t="e">
        <f t="shared" si="21"/>
        <v>#DIV/0!</v>
      </c>
      <c r="CC69" t="e">
        <f t="shared" si="21"/>
        <v>#DIV/0!</v>
      </c>
      <c r="CD69" t="e">
        <f t="shared" si="21"/>
        <v>#DIV/0!</v>
      </c>
      <c r="CE69" t="e">
        <f t="shared" si="21"/>
        <v>#DIV/0!</v>
      </c>
      <c r="CG69" t="e">
        <f t="shared" si="22"/>
        <v>#DIV/0!</v>
      </c>
      <c r="CH69" t="e">
        <f t="shared" si="23"/>
        <v>#DIV/0!</v>
      </c>
      <c r="CJ69" t="e">
        <f>SUMPRODUCT($AS$50:$CE$50,AS69:CE69)</f>
        <v>#DIV/0!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69"/>
  <sheetViews>
    <sheetView topLeftCell="BM15" zoomScale="85" zoomScaleNormal="85" workbookViewId="0">
      <selection activeCell="CL2" sqref="CL2:CN65"/>
    </sheetView>
  </sheetViews>
  <sheetFormatPr defaultColWidth="11.5546875" defaultRowHeight="13.2" x14ac:dyDescent="0.25"/>
  <cols>
    <col min="1" max="1" width="22.109375" customWidth="1"/>
  </cols>
  <sheetData>
    <row r="1" spans="1:92" x14ac:dyDescent="0.25">
      <c r="A1" s="1" t="s">
        <v>0</v>
      </c>
      <c r="AS1">
        <f>1/SQRT(39)</f>
        <v>0.16012815380508713</v>
      </c>
      <c r="AT1">
        <f t="shared" ref="AT1:CE1" si="0">1/SQRT(39)</f>
        <v>0.16012815380508713</v>
      </c>
      <c r="AU1">
        <f t="shared" si="0"/>
        <v>0.16012815380508713</v>
      </c>
      <c r="AV1">
        <f t="shared" si="0"/>
        <v>0.16012815380508713</v>
      </c>
      <c r="AW1">
        <f t="shared" si="0"/>
        <v>0.16012815380508713</v>
      </c>
      <c r="AX1">
        <f t="shared" si="0"/>
        <v>0.16012815380508713</v>
      </c>
      <c r="AY1">
        <f t="shared" si="0"/>
        <v>0.16012815380508713</v>
      </c>
      <c r="AZ1">
        <f t="shared" si="0"/>
        <v>0.16012815380508713</v>
      </c>
      <c r="BA1">
        <f t="shared" si="0"/>
        <v>0.16012815380508713</v>
      </c>
      <c r="BB1">
        <f t="shared" si="0"/>
        <v>0.16012815380508713</v>
      </c>
      <c r="BC1">
        <f t="shared" si="0"/>
        <v>0.16012815380508713</v>
      </c>
      <c r="BD1">
        <f t="shared" si="0"/>
        <v>0.16012815380508713</v>
      </c>
      <c r="BE1">
        <f t="shared" si="0"/>
        <v>0.16012815380508713</v>
      </c>
      <c r="BF1">
        <f t="shared" si="0"/>
        <v>0.16012815380508713</v>
      </c>
      <c r="BG1">
        <f t="shared" si="0"/>
        <v>0.16012815380508713</v>
      </c>
      <c r="BH1">
        <f t="shared" si="0"/>
        <v>0.16012815380508713</v>
      </c>
      <c r="BI1">
        <f t="shared" si="0"/>
        <v>0.16012815380508713</v>
      </c>
      <c r="BJ1">
        <f t="shared" si="0"/>
        <v>0.16012815380508713</v>
      </c>
      <c r="BK1">
        <f t="shared" si="0"/>
        <v>0.16012815380508713</v>
      </c>
      <c r="BL1">
        <f t="shared" si="0"/>
        <v>0.16012815380508713</v>
      </c>
      <c r="BM1">
        <f t="shared" si="0"/>
        <v>0.16012815380508713</v>
      </c>
      <c r="BN1">
        <f t="shared" si="0"/>
        <v>0.16012815380508713</v>
      </c>
      <c r="BO1">
        <f t="shared" si="0"/>
        <v>0.16012815380508713</v>
      </c>
      <c r="BP1">
        <f t="shared" si="0"/>
        <v>0.16012815380508713</v>
      </c>
      <c r="BQ1">
        <f t="shared" si="0"/>
        <v>0.16012815380508713</v>
      </c>
      <c r="BR1">
        <f t="shared" si="0"/>
        <v>0.16012815380508713</v>
      </c>
      <c r="BS1">
        <f t="shared" si="0"/>
        <v>0.16012815380508713</v>
      </c>
      <c r="BT1">
        <f t="shared" si="0"/>
        <v>0.16012815380508713</v>
      </c>
      <c r="BU1">
        <f t="shared" si="0"/>
        <v>0.16012815380508713</v>
      </c>
      <c r="BV1">
        <f t="shared" si="0"/>
        <v>0.16012815380508713</v>
      </c>
      <c r="BW1">
        <f t="shared" si="0"/>
        <v>0.16012815380508713</v>
      </c>
      <c r="BX1">
        <f t="shared" si="0"/>
        <v>0.16012815380508713</v>
      </c>
      <c r="BY1">
        <f t="shared" si="0"/>
        <v>0.16012815380508713</v>
      </c>
      <c r="BZ1">
        <f t="shared" si="0"/>
        <v>0.16012815380508713</v>
      </c>
      <c r="CA1">
        <f t="shared" si="0"/>
        <v>0.16012815380508713</v>
      </c>
      <c r="CB1">
        <f t="shared" si="0"/>
        <v>0.16012815380508713</v>
      </c>
      <c r="CC1">
        <f t="shared" si="0"/>
        <v>0.16012815380508713</v>
      </c>
      <c r="CD1">
        <f t="shared" si="0"/>
        <v>0.16012815380508713</v>
      </c>
      <c r="CE1">
        <f t="shared" si="0"/>
        <v>0.16012815380508713</v>
      </c>
    </row>
    <row r="2" spans="1:92" x14ac:dyDescent="0.25">
      <c r="A2" t="s">
        <v>3</v>
      </c>
      <c r="B2">
        <v>-2.9930721025319558E-3</v>
      </c>
      <c r="C2">
        <v>-3.8041786178688912E-2</v>
      </c>
      <c r="D2">
        <v>-3.3292100559424116E-2</v>
      </c>
      <c r="E2">
        <v>3.9766467101483224E-3</v>
      </c>
      <c r="F2">
        <v>-5.0246625716993797E-3</v>
      </c>
      <c r="G2">
        <v>-3.6767130309836456E-3</v>
      </c>
      <c r="H2">
        <v>8.5437077884439369E-2</v>
      </c>
      <c r="I2">
        <v>4.1002080568713857E-2</v>
      </c>
      <c r="J2">
        <v>1.7474145852965604E-2</v>
      </c>
      <c r="K2">
        <v>-0.38044939253966009</v>
      </c>
      <c r="L2">
        <v>2.4060131413972115E-3</v>
      </c>
      <c r="M2">
        <v>2.6648093400061822E-2</v>
      </c>
      <c r="N2">
        <v>-0.21450860562753235</v>
      </c>
      <c r="O2">
        <v>-0.10709043427359091</v>
      </c>
      <c r="P2">
        <v>-3.60884353330434E-2</v>
      </c>
      <c r="Q2">
        <v>3.3374048683535634E-2</v>
      </c>
      <c r="R2">
        <v>3.7660703259327966E-2</v>
      </c>
      <c r="S2">
        <v>7.5024334571938814E-2</v>
      </c>
      <c r="T2">
        <v>7.0203652223732621E-2</v>
      </c>
      <c r="U2">
        <v>4.1622237278993737E-2</v>
      </c>
      <c r="V2">
        <v>-4.7524744162350061E-3</v>
      </c>
      <c r="W2">
        <v>-3.1697548888144182E-2</v>
      </c>
      <c r="X2">
        <v>-3.6479742134400519E-4</v>
      </c>
      <c r="Y2">
        <v>-3.955268681515782E-2</v>
      </c>
      <c r="Z2">
        <v>-6.789784680523981E-3</v>
      </c>
      <c r="AA2">
        <v>2.7709410120387242E-2</v>
      </c>
      <c r="AB2">
        <v>-2.4092971391057726E-2</v>
      </c>
      <c r="AC2">
        <v>2.4940329583032651E-2</v>
      </c>
      <c r="AD2">
        <v>-5.8495218869427891E-3</v>
      </c>
      <c r="AE2">
        <v>1.0451669889309078E-2</v>
      </c>
      <c r="AF2">
        <v>-1.9926765548506451E-3</v>
      </c>
      <c r="AG2">
        <v>2.4021642154925256E-2</v>
      </c>
      <c r="AH2">
        <v>3.2981543399822517E-2</v>
      </c>
      <c r="AI2">
        <v>-0.11140327558144371</v>
      </c>
      <c r="AJ2">
        <v>0.83629623281561682</v>
      </c>
      <c r="AK2">
        <v>-0.18889564826997932</v>
      </c>
      <c r="AL2">
        <v>0.12176517816016964</v>
      </c>
      <c r="AM2">
        <v>3.7752344093432855E-3</v>
      </c>
      <c r="AN2">
        <v>1.6900699890729363E-2</v>
      </c>
      <c r="AP2">
        <f>SUMSQ(A2:AN2)</f>
        <v>0.99999999651849081</v>
      </c>
      <c r="AQ2">
        <f>SQRT(AP2)</f>
        <v>0.99999999825924535</v>
      </c>
      <c r="AS2">
        <f>B2/$AQ2</f>
        <v>-2.9930721077421601E-3</v>
      </c>
      <c r="AT2">
        <f t="shared" ref="AT2:CE8" si="1">C2/$AQ2</f>
        <v>-3.8041786244910329E-2</v>
      </c>
      <c r="AU2">
        <f t="shared" si="1"/>
        <v>-3.3292100617377494E-2</v>
      </c>
      <c r="AV2">
        <f t="shared" si="1"/>
        <v>3.9766467170706888E-3</v>
      </c>
      <c r="AW2">
        <f t="shared" si="1"/>
        <v>-5.0246625804460845E-3</v>
      </c>
      <c r="AX2">
        <f t="shared" si="1"/>
        <v>-3.676713037383901E-3</v>
      </c>
      <c r="AY2">
        <f t="shared" si="1"/>
        <v>8.543707803316436E-2</v>
      </c>
      <c r="AZ2">
        <f t="shared" si="1"/>
        <v>4.1002080640088423E-2</v>
      </c>
      <c r="BA2">
        <f t="shared" si="1"/>
        <v>1.7474145883383804E-2</v>
      </c>
      <c r="BB2">
        <f t="shared" si="1"/>
        <v>-0.38044939320192916</v>
      </c>
      <c r="BC2">
        <f t="shared" si="1"/>
        <v>2.4060131455854901E-3</v>
      </c>
      <c r="BD2">
        <f t="shared" si="1"/>
        <v>2.6648093446449615E-2</v>
      </c>
      <c r="BE2">
        <f t="shared" si="1"/>
        <v>-0.21450860600093921</v>
      </c>
      <c r="BF2">
        <f t="shared" si="1"/>
        <v>-0.10709043446000908</v>
      </c>
      <c r="BG2">
        <f t="shared" si="1"/>
        <v>-3.608843539586451E-2</v>
      </c>
      <c r="BH2">
        <f t="shared" si="1"/>
        <v>3.3374048741631662E-2</v>
      </c>
      <c r="BI2">
        <f t="shared" si="1"/>
        <v>3.7660703324886011E-2</v>
      </c>
      <c r="BJ2">
        <f t="shared" si="1"/>
        <v>7.5024334702537776E-2</v>
      </c>
      <c r="BK2">
        <f t="shared" si="1"/>
        <v>7.0203652345939949E-2</v>
      </c>
      <c r="BL2">
        <f t="shared" si="1"/>
        <v>4.1622237351447842E-2</v>
      </c>
      <c r="BM2">
        <f t="shared" si="1"/>
        <v>-4.752474424507898E-3</v>
      </c>
      <c r="BN2">
        <f t="shared" si="1"/>
        <v>-3.1697548943321836E-2</v>
      </c>
      <c r="BO2">
        <f t="shared" si="1"/>
        <v>-3.6479742197902798E-4</v>
      </c>
      <c r="BP2">
        <f t="shared" si="1"/>
        <v>-3.9552686884009342E-2</v>
      </c>
      <c r="BQ2">
        <f t="shared" si="1"/>
        <v>-6.7897846923433303E-3</v>
      </c>
      <c r="BR2">
        <f t="shared" si="1"/>
        <v>2.7709410168622526E-2</v>
      </c>
      <c r="BS2">
        <f t="shared" si="1"/>
        <v>-2.4092971432997677E-2</v>
      </c>
      <c r="BT2">
        <f t="shared" si="1"/>
        <v>2.4940329626447644E-2</v>
      </c>
      <c r="BU2">
        <f t="shared" si="1"/>
        <v>-5.8495218971253713E-3</v>
      </c>
      <c r="BV2">
        <f t="shared" si="1"/>
        <v>1.0451669907502872E-2</v>
      </c>
      <c r="BW2">
        <f t="shared" si="1"/>
        <v>-1.992676558319406E-3</v>
      </c>
      <c r="BX2">
        <f t="shared" si="1"/>
        <v>2.4021642196741043E-2</v>
      </c>
      <c r="BY2">
        <f t="shared" si="1"/>
        <v>3.2981543457235293E-2</v>
      </c>
      <c r="BZ2">
        <f t="shared" si="1"/>
        <v>-0.11140327577536947</v>
      </c>
      <c r="CA2">
        <f t="shared" si="1"/>
        <v>0.83629623427140343</v>
      </c>
      <c r="CB2">
        <f t="shared" si="1"/>
        <v>-0.18889564859880029</v>
      </c>
      <c r="CC2">
        <f t="shared" si="1"/>
        <v>0.12176517837213294</v>
      </c>
      <c r="CD2">
        <f t="shared" si="1"/>
        <v>3.7752344159150426E-3</v>
      </c>
      <c r="CE2">
        <f t="shared" si="1"/>
        <v>1.6900699920149337E-2</v>
      </c>
      <c r="CG2">
        <f>SUMSQ(AR2:CE2)</f>
        <v>1</v>
      </c>
      <c r="CH2">
        <f>SQRT(CG2)</f>
        <v>1</v>
      </c>
      <c r="CJ2">
        <f>SUMPRODUCT($AS$1:$CE$1,AS2:CE2)</f>
        <v>4.7576378162036061E-2</v>
      </c>
      <c r="CL2">
        <f>SUMPRODUCT(AS2:CE2,Dimorfismo!AS2:CE2)</f>
        <v>9.0732750564868958E-2</v>
      </c>
      <c r="CM2">
        <f>ABS(CL2)</f>
        <v>9.0732750564868958E-2</v>
      </c>
      <c r="CN2">
        <f>FISHER(CM2)</f>
        <v>9.0982971422179454E-2</v>
      </c>
    </row>
    <row r="3" spans="1:92" x14ac:dyDescent="0.25">
      <c r="A3" t="s">
        <v>4</v>
      </c>
      <c r="B3">
        <v>-2.9930721025319558E-3</v>
      </c>
      <c r="C3">
        <v>-3.8041786178688912E-2</v>
      </c>
      <c r="D3">
        <v>-3.3292100559424116E-2</v>
      </c>
      <c r="E3">
        <v>3.9766467101483224E-3</v>
      </c>
      <c r="F3">
        <v>-5.0246625716993797E-3</v>
      </c>
      <c r="G3">
        <v>-3.6767130309836456E-3</v>
      </c>
      <c r="H3">
        <v>8.5437077884439369E-2</v>
      </c>
      <c r="I3">
        <v>4.1002080568713857E-2</v>
      </c>
      <c r="J3">
        <v>1.7474145852965604E-2</v>
      </c>
      <c r="K3">
        <v>-0.38044939253966009</v>
      </c>
      <c r="L3">
        <v>2.4060131413972115E-3</v>
      </c>
      <c r="M3">
        <v>2.6648093400061822E-2</v>
      </c>
      <c r="N3">
        <v>-0.21450860562753235</v>
      </c>
      <c r="O3">
        <v>-0.10709043427359091</v>
      </c>
      <c r="P3">
        <v>-3.60884353330434E-2</v>
      </c>
      <c r="Q3">
        <v>3.3374048683535634E-2</v>
      </c>
      <c r="R3">
        <v>3.7660703259327966E-2</v>
      </c>
      <c r="S3">
        <v>7.5024334571938814E-2</v>
      </c>
      <c r="T3">
        <v>7.0203652223732621E-2</v>
      </c>
      <c r="U3">
        <v>4.1622237278993737E-2</v>
      </c>
      <c r="V3">
        <v>-4.7524744162350061E-3</v>
      </c>
      <c r="W3">
        <v>-3.1697548888144182E-2</v>
      </c>
      <c r="X3">
        <v>-3.6479742134400519E-4</v>
      </c>
      <c r="Y3">
        <v>-3.955268681515782E-2</v>
      </c>
      <c r="Z3">
        <v>-6.789784680523981E-3</v>
      </c>
      <c r="AA3">
        <v>2.7709410120387242E-2</v>
      </c>
      <c r="AB3">
        <v>-2.4092971391057726E-2</v>
      </c>
      <c r="AC3">
        <v>2.4940329583032651E-2</v>
      </c>
      <c r="AD3">
        <v>-5.8495218869427891E-3</v>
      </c>
      <c r="AE3">
        <v>1.0451669889309078E-2</v>
      </c>
      <c r="AF3">
        <v>-1.9926765548506451E-3</v>
      </c>
      <c r="AG3">
        <v>2.4021642154925256E-2</v>
      </c>
      <c r="AH3">
        <v>3.2981543399822517E-2</v>
      </c>
      <c r="AI3">
        <v>-0.11140327558144371</v>
      </c>
      <c r="AJ3">
        <v>0.83629623281561682</v>
      </c>
      <c r="AK3">
        <v>-0.18889564826997932</v>
      </c>
      <c r="AL3">
        <v>0.12176517816016964</v>
      </c>
      <c r="AM3">
        <v>3.7752344093432855E-3</v>
      </c>
      <c r="AN3">
        <v>1.6900699890729363E-2</v>
      </c>
      <c r="AP3">
        <f t="shared" ref="AP3:AP65" si="2">SUMSQ(A3:AN3)</f>
        <v>0.99999999651849081</v>
      </c>
      <c r="AQ3">
        <f t="shared" ref="AQ3:AQ65" si="3">SQRT(AP3)</f>
        <v>0.99999999825924535</v>
      </c>
      <c r="AS3">
        <f t="shared" ref="AS3:BH24" si="4">B3/$AQ3</f>
        <v>-2.9930721077421601E-3</v>
      </c>
      <c r="AT3">
        <f t="shared" si="1"/>
        <v>-3.8041786244910329E-2</v>
      </c>
      <c r="AU3">
        <f t="shared" si="1"/>
        <v>-3.3292100617377494E-2</v>
      </c>
      <c r="AV3">
        <f t="shared" si="1"/>
        <v>3.9766467170706888E-3</v>
      </c>
      <c r="AW3">
        <f t="shared" si="1"/>
        <v>-5.0246625804460845E-3</v>
      </c>
      <c r="AX3">
        <f t="shared" si="1"/>
        <v>-3.676713037383901E-3</v>
      </c>
      <c r="AY3">
        <f t="shared" si="1"/>
        <v>8.543707803316436E-2</v>
      </c>
      <c r="AZ3">
        <f t="shared" si="1"/>
        <v>4.1002080640088423E-2</v>
      </c>
      <c r="BA3">
        <f t="shared" si="1"/>
        <v>1.7474145883383804E-2</v>
      </c>
      <c r="BB3">
        <f t="shared" si="1"/>
        <v>-0.38044939320192916</v>
      </c>
      <c r="BC3">
        <f t="shared" si="1"/>
        <v>2.4060131455854901E-3</v>
      </c>
      <c r="BD3">
        <f t="shared" si="1"/>
        <v>2.6648093446449615E-2</v>
      </c>
      <c r="BE3">
        <f t="shared" si="1"/>
        <v>-0.21450860600093921</v>
      </c>
      <c r="BF3">
        <f t="shared" si="1"/>
        <v>-0.10709043446000908</v>
      </c>
      <c r="BG3">
        <f t="shared" si="1"/>
        <v>-3.608843539586451E-2</v>
      </c>
      <c r="BH3">
        <f t="shared" si="1"/>
        <v>3.3374048741631662E-2</v>
      </c>
      <c r="BI3">
        <f t="shared" si="1"/>
        <v>3.7660703324886011E-2</v>
      </c>
      <c r="BJ3">
        <f t="shared" si="1"/>
        <v>7.5024334702537776E-2</v>
      </c>
      <c r="BK3">
        <f t="shared" si="1"/>
        <v>7.0203652345939949E-2</v>
      </c>
      <c r="BL3">
        <f t="shared" si="1"/>
        <v>4.1622237351447842E-2</v>
      </c>
      <c r="BM3">
        <f t="shared" si="1"/>
        <v>-4.752474424507898E-3</v>
      </c>
      <c r="BN3">
        <f t="shared" si="1"/>
        <v>-3.1697548943321836E-2</v>
      </c>
      <c r="BO3">
        <f t="shared" si="1"/>
        <v>-3.6479742197902798E-4</v>
      </c>
      <c r="BP3">
        <f t="shared" si="1"/>
        <v>-3.9552686884009342E-2</v>
      </c>
      <c r="BQ3">
        <f t="shared" si="1"/>
        <v>-6.7897846923433303E-3</v>
      </c>
      <c r="BR3">
        <f t="shared" si="1"/>
        <v>2.7709410168622526E-2</v>
      </c>
      <c r="BS3">
        <f t="shared" si="1"/>
        <v>-2.4092971432997677E-2</v>
      </c>
      <c r="BT3">
        <f t="shared" si="1"/>
        <v>2.4940329626447644E-2</v>
      </c>
      <c r="BU3">
        <f t="shared" si="1"/>
        <v>-5.8495218971253713E-3</v>
      </c>
      <c r="BV3">
        <f t="shared" si="1"/>
        <v>1.0451669907502872E-2</v>
      </c>
      <c r="BW3">
        <f t="shared" si="1"/>
        <v>-1.992676558319406E-3</v>
      </c>
      <c r="BX3">
        <f t="shared" si="1"/>
        <v>2.4021642196741043E-2</v>
      </c>
      <c r="BY3">
        <f t="shared" si="1"/>
        <v>3.2981543457235293E-2</v>
      </c>
      <c r="BZ3">
        <f t="shared" si="1"/>
        <v>-0.11140327577536947</v>
      </c>
      <c r="CA3">
        <f t="shared" si="1"/>
        <v>0.83629623427140343</v>
      </c>
      <c r="CB3">
        <f t="shared" si="1"/>
        <v>-0.18889564859880029</v>
      </c>
      <c r="CC3">
        <f t="shared" si="1"/>
        <v>0.12176517837213294</v>
      </c>
      <c r="CD3">
        <f t="shared" si="1"/>
        <v>3.7752344159150426E-3</v>
      </c>
      <c r="CE3">
        <f t="shared" si="1"/>
        <v>1.6900699920149337E-2</v>
      </c>
      <c r="CG3">
        <f t="shared" ref="CG3:CG65" si="5">SUMSQ(AR3:CE3)</f>
        <v>1</v>
      </c>
      <c r="CH3">
        <f t="shared" ref="CH3:CH65" si="6">SQRT(CG3)</f>
        <v>1</v>
      </c>
      <c r="CJ3">
        <f t="shared" ref="CJ3:CJ65" si="7">SUMPRODUCT($AS$1:$CE$1,AS3:CE3)</f>
        <v>4.7576378162036061E-2</v>
      </c>
      <c r="CL3">
        <f>SUMPRODUCT(AS3:CE3,Dimorfismo!AS3:CE3)</f>
        <v>3.3192828591894694E-2</v>
      </c>
      <c r="CM3">
        <f t="shared" ref="CM3:CM65" si="8">ABS(CL3)</f>
        <v>3.3192828591894694E-2</v>
      </c>
      <c r="CN3">
        <f t="shared" ref="CN3:CN65" si="9">FISHER(CM3)</f>
        <v>3.320502687644928E-2</v>
      </c>
    </row>
    <row r="4" spans="1:92" x14ac:dyDescent="0.25">
      <c r="A4" t="s">
        <v>5</v>
      </c>
      <c r="B4">
        <v>-2.9930721025319558E-3</v>
      </c>
      <c r="C4">
        <v>-3.8041786178688912E-2</v>
      </c>
      <c r="D4">
        <v>-3.3292100559424116E-2</v>
      </c>
      <c r="E4">
        <v>3.9766467101483224E-3</v>
      </c>
      <c r="F4">
        <v>-5.0246625716993797E-3</v>
      </c>
      <c r="G4">
        <v>-3.6767130309836456E-3</v>
      </c>
      <c r="H4">
        <v>8.5437077884439369E-2</v>
      </c>
      <c r="I4">
        <v>4.1002080568713857E-2</v>
      </c>
      <c r="J4">
        <v>1.7474145852965604E-2</v>
      </c>
      <c r="K4">
        <v>-0.38044939253966009</v>
      </c>
      <c r="L4">
        <v>2.4060131413972115E-3</v>
      </c>
      <c r="M4">
        <v>2.6648093400061822E-2</v>
      </c>
      <c r="N4">
        <v>-0.21450860562753235</v>
      </c>
      <c r="O4">
        <v>-0.10709043427359091</v>
      </c>
      <c r="P4">
        <v>-3.60884353330434E-2</v>
      </c>
      <c r="Q4">
        <v>3.3374048683535634E-2</v>
      </c>
      <c r="R4">
        <v>3.7660703259327966E-2</v>
      </c>
      <c r="S4">
        <v>7.5024334571938814E-2</v>
      </c>
      <c r="T4">
        <v>7.0203652223732621E-2</v>
      </c>
      <c r="U4">
        <v>4.1622237278993737E-2</v>
      </c>
      <c r="V4">
        <v>-4.7524744162350061E-3</v>
      </c>
      <c r="W4">
        <v>-3.1697548888144182E-2</v>
      </c>
      <c r="X4">
        <v>-3.6479742134400519E-4</v>
      </c>
      <c r="Y4">
        <v>-3.955268681515782E-2</v>
      </c>
      <c r="Z4">
        <v>-6.789784680523981E-3</v>
      </c>
      <c r="AA4">
        <v>2.7709410120387242E-2</v>
      </c>
      <c r="AB4">
        <v>-2.4092971391057726E-2</v>
      </c>
      <c r="AC4">
        <v>2.4940329583032651E-2</v>
      </c>
      <c r="AD4">
        <v>-5.8495218869427891E-3</v>
      </c>
      <c r="AE4">
        <v>1.0451669889309078E-2</v>
      </c>
      <c r="AF4">
        <v>-1.9926765548506451E-3</v>
      </c>
      <c r="AG4">
        <v>2.4021642154925256E-2</v>
      </c>
      <c r="AH4">
        <v>3.2981543399822517E-2</v>
      </c>
      <c r="AI4">
        <v>-0.11140327558144371</v>
      </c>
      <c r="AJ4">
        <v>0.83629623281561682</v>
      </c>
      <c r="AK4">
        <v>-0.18889564826997932</v>
      </c>
      <c r="AL4">
        <v>0.12176517816016964</v>
      </c>
      <c r="AM4">
        <v>3.7752344093432855E-3</v>
      </c>
      <c r="AN4">
        <v>1.6900699890729363E-2</v>
      </c>
      <c r="AP4">
        <f t="shared" si="2"/>
        <v>0.99999999651849081</v>
      </c>
      <c r="AQ4">
        <f t="shared" si="3"/>
        <v>0.99999999825924535</v>
      </c>
      <c r="AS4">
        <f t="shared" si="4"/>
        <v>-2.9930721077421601E-3</v>
      </c>
      <c r="AT4">
        <f t="shared" si="1"/>
        <v>-3.8041786244910329E-2</v>
      </c>
      <c r="AU4">
        <f t="shared" si="1"/>
        <v>-3.3292100617377494E-2</v>
      </c>
      <c r="AV4">
        <f t="shared" si="1"/>
        <v>3.9766467170706888E-3</v>
      </c>
      <c r="AW4">
        <f t="shared" si="1"/>
        <v>-5.0246625804460845E-3</v>
      </c>
      <c r="AX4">
        <f t="shared" si="1"/>
        <v>-3.676713037383901E-3</v>
      </c>
      <c r="AY4">
        <f t="shared" si="1"/>
        <v>8.543707803316436E-2</v>
      </c>
      <c r="AZ4">
        <f t="shared" si="1"/>
        <v>4.1002080640088423E-2</v>
      </c>
      <c r="BA4">
        <f t="shared" si="1"/>
        <v>1.7474145883383804E-2</v>
      </c>
      <c r="BB4">
        <f t="shared" si="1"/>
        <v>-0.38044939320192916</v>
      </c>
      <c r="BC4">
        <f t="shared" si="1"/>
        <v>2.4060131455854901E-3</v>
      </c>
      <c r="BD4">
        <f t="shared" si="1"/>
        <v>2.6648093446449615E-2</v>
      </c>
      <c r="BE4">
        <f t="shared" si="1"/>
        <v>-0.21450860600093921</v>
      </c>
      <c r="BF4">
        <f t="shared" si="1"/>
        <v>-0.10709043446000908</v>
      </c>
      <c r="BG4">
        <f t="shared" si="1"/>
        <v>-3.608843539586451E-2</v>
      </c>
      <c r="BH4">
        <f t="shared" si="1"/>
        <v>3.3374048741631662E-2</v>
      </c>
      <c r="BI4">
        <f t="shared" si="1"/>
        <v>3.7660703324886011E-2</v>
      </c>
      <c r="BJ4">
        <f t="shared" si="1"/>
        <v>7.5024334702537776E-2</v>
      </c>
      <c r="BK4">
        <f t="shared" si="1"/>
        <v>7.0203652345939949E-2</v>
      </c>
      <c r="BL4">
        <f t="shared" si="1"/>
        <v>4.1622237351447842E-2</v>
      </c>
      <c r="BM4">
        <f t="shared" si="1"/>
        <v>-4.752474424507898E-3</v>
      </c>
      <c r="BN4">
        <f t="shared" si="1"/>
        <v>-3.1697548943321836E-2</v>
      </c>
      <c r="BO4">
        <f t="shared" si="1"/>
        <v>-3.6479742197902798E-4</v>
      </c>
      <c r="BP4">
        <f t="shared" si="1"/>
        <v>-3.9552686884009342E-2</v>
      </c>
      <c r="BQ4">
        <f t="shared" si="1"/>
        <v>-6.7897846923433303E-3</v>
      </c>
      <c r="BR4">
        <f t="shared" si="1"/>
        <v>2.7709410168622526E-2</v>
      </c>
      <c r="BS4">
        <f t="shared" si="1"/>
        <v>-2.4092971432997677E-2</v>
      </c>
      <c r="BT4">
        <f t="shared" si="1"/>
        <v>2.4940329626447644E-2</v>
      </c>
      <c r="BU4">
        <f t="shared" si="1"/>
        <v>-5.8495218971253713E-3</v>
      </c>
      <c r="BV4">
        <f t="shared" si="1"/>
        <v>1.0451669907502872E-2</v>
      </c>
      <c r="BW4">
        <f t="shared" si="1"/>
        <v>-1.992676558319406E-3</v>
      </c>
      <c r="BX4">
        <f t="shared" si="1"/>
        <v>2.4021642196741043E-2</v>
      </c>
      <c r="BY4">
        <f t="shared" si="1"/>
        <v>3.2981543457235293E-2</v>
      </c>
      <c r="BZ4">
        <f t="shared" si="1"/>
        <v>-0.11140327577536947</v>
      </c>
      <c r="CA4">
        <f t="shared" si="1"/>
        <v>0.83629623427140343</v>
      </c>
      <c r="CB4">
        <f t="shared" si="1"/>
        <v>-0.18889564859880029</v>
      </c>
      <c r="CC4">
        <f t="shared" si="1"/>
        <v>0.12176517837213294</v>
      </c>
      <c r="CD4">
        <f t="shared" si="1"/>
        <v>3.7752344159150426E-3</v>
      </c>
      <c r="CE4">
        <f t="shared" si="1"/>
        <v>1.6900699920149337E-2</v>
      </c>
      <c r="CG4">
        <f t="shared" si="5"/>
        <v>1</v>
      </c>
      <c r="CH4">
        <f t="shared" si="6"/>
        <v>1</v>
      </c>
      <c r="CJ4">
        <f t="shared" si="7"/>
        <v>4.7576378162036061E-2</v>
      </c>
      <c r="CL4">
        <f>SUMPRODUCT(AS4:CE4,Dimorfismo!AS4:CE4)</f>
        <v>-0.11341954923486509</v>
      </c>
      <c r="CM4">
        <f t="shared" si="8"/>
        <v>0.11341954923486509</v>
      </c>
      <c r="CN4">
        <f t="shared" si="9"/>
        <v>0.11390968066806614</v>
      </c>
    </row>
    <row r="5" spans="1:92" x14ac:dyDescent="0.25">
      <c r="A5" t="s">
        <v>6</v>
      </c>
      <c r="B5">
        <v>-2.9930721025319558E-3</v>
      </c>
      <c r="C5">
        <v>-3.8041786178688912E-2</v>
      </c>
      <c r="D5">
        <v>-3.3292100559424116E-2</v>
      </c>
      <c r="E5">
        <v>3.9766467101483224E-3</v>
      </c>
      <c r="F5">
        <v>-5.0246625716993797E-3</v>
      </c>
      <c r="G5">
        <v>-3.6767130309836456E-3</v>
      </c>
      <c r="H5">
        <v>8.5437077884439369E-2</v>
      </c>
      <c r="I5">
        <v>4.1002080568713857E-2</v>
      </c>
      <c r="J5">
        <v>1.7474145852965604E-2</v>
      </c>
      <c r="K5">
        <v>-0.38044939253966009</v>
      </c>
      <c r="L5">
        <v>2.4060131413972115E-3</v>
      </c>
      <c r="M5">
        <v>2.6648093400061822E-2</v>
      </c>
      <c r="N5">
        <v>-0.21450860562753235</v>
      </c>
      <c r="O5">
        <v>-0.10709043427359091</v>
      </c>
      <c r="P5">
        <v>-3.60884353330434E-2</v>
      </c>
      <c r="Q5">
        <v>3.3374048683535634E-2</v>
      </c>
      <c r="R5">
        <v>3.7660703259327966E-2</v>
      </c>
      <c r="S5">
        <v>7.5024334571938814E-2</v>
      </c>
      <c r="T5">
        <v>7.0203652223732621E-2</v>
      </c>
      <c r="U5">
        <v>4.1622237278993737E-2</v>
      </c>
      <c r="V5">
        <v>-4.7524744162350061E-3</v>
      </c>
      <c r="W5">
        <v>-3.1697548888144182E-2</v>
      </c>
      <c r="X5">
        <v>-3.6479742134400519E-4</v>
      </c>
      <c r="Y5">
        <v>-3.955268681515782E-2</v>
      </c>
      <c r="Z5">
        <v>-6.789784680523981E-3</v>
      </c>
      <c r="AA5">
        <v>2.7709410120387242E-2</v>
      </c>
      <c r="AB5">
        <v>-2.4092971391057726E-2</v>
      </c>
      <c r="AC5">
        <v>2.4940329583032651E-2</v>
      </c>
      <c r="AD5">
        <v>-5.8495218869427891E-3</v>
      </c>
      <c r="AE5">
        <v>1.0451669889309078E-2</v>
      </c>
      <c r="AF5">
        <v>-1.9926765548506451E-3</v>
      </c>
      <c r="AG5">
        <v>2.4021642154925256E-2</v>
      </c>
      <c r="AH5">
        <v>3.2981543399822517E-2</v>
      </c>
      <c r="AI5">
        <v>-0.11140327558144371</v>
      </c>
      <c r="AJ5">
        <v>0.83629623281561682</v>
      </c>
      <c r="AK5">
        <v>-0.18889564826997932</v>
      </c>
      <c r="AL5">
        <v>0.12176517816016964</v>
      </c>
      <c r="AM5">
        <v>3.7752344093432855E-3</v>
      </c>
      <c r="AN5">
        <v>1.6900699890729363E-2</v>
      </c>
      <c r="AP5">
        <f t="shared" si="2"/>
        <v>0.99999999651849081</v>
      </c>
      <c r="AQ5">
        <f t="shared" si="3"/>
        <v>0.99999999825924535</v>
      </c>
      <c r="AS5">
        <f t="shared" si="4"/>
        <v>-2.9930721077421601E-3</v>
      </c>
      <c r="AT5">
        <f t="shared" si="1"/>
        <v>-3.8041786244910329E-2</v>
      </c>
      <c r="AU5">
        <f t="shared" si="1"/>
        <v>-3.3292100617377494E-2</v>
      </c>
      <c r="AV5">
        <f t="shared" si="1"/>
        <v>3.9766467170706888E-3</v>
      </c>
      <c r="AW5">
        <f t="shared" si="1"/>
        <v>-5.0246625804460845E-3</v>
      </c>
      <c r="AX5">
        <f t="shared" si="1"/>
        <v>-3.676713037383901E-3</v>
      </c>
      <c r="AY5">
        <f t="shared" si="1"/>
        <v>8.543707803316436E-2</v>
      </c>
      <c r="AZ5">
        <f t="shared" si="1"/>
        <v>4.1002080640088423E-2</v>
      </c>
      <c r="BA5">
        <f t="shared" si="1"/>
        <v>1.7474145883383804E-2</v>
      </c>
      <c r="BB5">
        <f t="shared" si="1"/>
        <v>-0.38044939320192916</v>
      </c>
      <c r="BC5">
        <f t="shared" si="1"/>
        <v>2.4060131455854901E-3</v>
      </c>
      <c r="BD5">
        <f t="shared" si="1"/>
        <v>2.6648093446449615E-2</v>
      </c>
      <c r="BE5">
        <f t="shared" si="1"/>
        <v>-0.21450860600093921</v>
      </c>
      <c r="BF5">
        <f t="shared" si="1"/>
        <v>-0.10709043446000908</v>
      </c>
      <c r="BG5">
        <f t="shared" si="1"/>
        <v>-3.608843539586451E-2</v>
      </c>
      <c r="BH5">
        <f t="shared" si="1"/>
        <v>3.3374048741631662E-2</v>
      </c>
      <c r="BI5">
        <f t="shared" si="1"/>
        <v>3.7660703324886011E-2</v>
      </c>
      <c r="BJ5">
        <f t="shared" si="1"/>
        <v>7.5024334702537776E-2</v>
      </c>
      <c r="BK5">
        <f t="shared" si="1"/>
        <v>7.0203652345939949E-2</v>
      </c>
      <c r="BL5">
        <f t="shared" si="1"/>
        <v>4.1622237351447842E-2</v>
      </c>
      <c r="BM5">
        <f t="shared" si="1"/>
        <v>-4.752474424507898E-3</v>
      </c>
      <c r="BN5">
        <f t="shared" si="1"/>
        <v>-3.1697548943321836E-2</v>
      </c>
      <c r="BO5">
        <f t="shared" si="1"/>
        <v>-3.6479742197902798E-4</v>
      </c>
      <c r="BP5">
        <f t="shared" si="1"/>
        <v>-3.9552686884009342E-2</v>
      </c>
      <c r="BQ5">
        <f t="shared" si="1"/>
        <v>-6.7897846923433303E-3</v>
      </c>
      <c r="BR5">
        <f t="shared" si="1"/>
        <v>2.7709410168622526E-2</v>
      </c>
      <c r="BS5">
        <f t="shared" si="1"/>
        <v>-2.4092971432997677E-2</v>
      </c>
      <c r="BT5">
        <f t="shared" si="1"/>
        <v>2.4940329626447644E-2</v>
      </c>
      <c r="BU5">
        <f t="shared" si="1"/>
        <v>-5.8495218971253713E-3</v>
      </c>
      <c r="BV5">
        <f t="shared" si="1"/>
        <v>1.0451669907502872E-2</v>
      </c>
      <c r="BW5">
        <f t="shared" si="1"/>
        <v>-1.992676558319406E-3</v>
      </c>
      <c r="BX5">
        <f t="shared" si="1"/>
        <v>2.4021642196741043E-2</v>
      </c>
      <c r="BY5">
        <f t="shared" si="1"/>
        <v>3.2981543457235293E-2</v>
      </c>
      <c r="BZ5">
        <f t="shared" si="1"/>
        <v>-0.11140327577536947</v>
      </c>
      <c r="CA5">
        <f t="shared" si="1"/>
        <v>0.83629623427140343</v>
      </c>
      <c r="CB5">
        <f t="shared" si="1"/>
        <v>-0.18889564859880029</v>
      </c>
      <c r="CC5">
        <f t="shared" si="1"/>
        <v>0.12176517837213294</v>
      </c>
      <c r="CD5">
        <f t="shared" si="1"/>
        <v>3.7752344159150426E-3</v>
      </c>
      <c r="CE5">
        <f t="shared" si="1"/>
        <v>1.6900699920149337E-2</v>
      </c>
      <c r="CG5">
        <f t="shared" si="5"/>
        <v>1</v>
      </c>
      <c r="CH5">
        <f t="shared" si="6"/>
        <v>1</v>
      </c>
      <c r="CJ5">
        <f t="shared" si="7"/>
        <v>4.7576378162036061E-2</v>
      </c>
      <c r="CL5">
        <f>SUMPRODUCT(AS5:CE5,Dimorfismo!AS5:CE5)</f>
        <v>5.2330096817793999E-2</v>
      </c>
      <c r="CM5">
        <f t="shared" si="8"/>
        <v>5.2330096817793999E-2</v>
      </c>
      <c r="CN5">
        <f t="shared" si="9"/>
        <v>5.2377943050067516E-2</v>
      </c>
    </row>
    <row r="6" spans="1:92" x14ac:dyDescent="0.25">
      <c r="A6" t="s">
        <v>7</v>
      </c>
      <c r="B6">
        <v>-2.9930721025319558E-3</v>
      </c>
      <c r="C6">
        <v>-3.8041786178688912E-2</v>
      </c>
      <c r="D6">
        <v>-3.3292100559424116E-2</v>
      </c>
      <c r="E6">
        <v>3.9766467101483224E-3</v>
      </c>
      <c r="F6">
        <v>-5.0246625716993797E-3</v>
      </c>
      <c r="G6">
        <v>-3.6767130309836456E-3</v>
      </c>
      <c r="H6">
        <v>8.5437077884439369E-2</v>
      </c>
      <c r="I6">
        <v>4.1002080568713857E-2</v>
      </c>
      <c r="J6">
        <v>1.7474145852965604E-2</v>
      </c>
      <c r="K6">
        <v>-0.38044939253966009</v>
      </c>
      <c r="L6">
        <v>2.4060131413972115E-3</v>
      </c>
      <c r="M6">
        <v>2.6648093400061822E-2</v>
      </c>
      <c r="N6">
        <v>-0.21450860562753235</v>
      </c>
      <c r="O6">
        <v>-0.10709043427359091</v>
      </c>
      <c r="P6">
        <v>-3.60884353330434E-2</v>
      </c>
      <c r="Q6">
        <v>3.3374048683535634E-2</v>
      </c>
      <c r="R6">
        <v>3.7660703259327966E-2</v>
      </c>
      <c r="S6">
        <v>7.5024334571938814E-2</v>
      </c>
      <c r="T6">
        <v>7.0203652223732621E-2</v>
      </c>
      <c r="U6">
        <v>4.1622237278993737E-2</v>
      </c>
      <c r="V6">
        <v>-4.7524744162350061E-3</v>
      </c>
      <c r="W6">
        <v>-3.1697548888144182E-2</v>
      </c>
      <c r="X6">
        <v>-3.6479742134400519E-4</v>
      </c>
      <c r="Y6">
        <v>-3.955268681515782E-2</v>
      </c>
      <c r="Z6">
        <v>-6.789784680523981E-3</v>
      </c>
      <c r="AA6">
        <v>2.7709410120387242E-2</v>
      </c>
      <c r="AB6">
        <v>-2.4092971391057726E-2</v>
      </c>
      <c r="AC6">
        <v>2.4940329583032651E-2</v>
      </c>
      <c r="AD6">
        <v>-5.8495218869427891E-3</v>
      </c>
      <c r="AE6">
        <v>1.0451669889309078E-2</v>
      </c>
      <c r="AF6">
        <v>-1.9926765548506451E-3</v>
      </c>
      <c r="AG6">
        <v>2.4021642154925256E-2</v>
      </c>
      <c r="AH6">
        <v>3.2981543399822517E-2</v>
      </c>
      <c r="AI6">
        <v>-0.11140327558144371</v>
      </c>
      <c r="AJ6">
        <v>0.83629623281561682</v>
      </c>
      <c r="AK6">
        <v>-0.18889564826997932</v>
      </c>
      <c r="AL6">
        <v>0.12176517816016964</v>
      </c>
      <c r="AM6">
        <v>3.7752344093432855E-3</v>
      </c>
      <c r="AN6">
        <v>1.6900699890729363E-2</v>
      </c>
      <c r="AP6">
        <f t="shared" si="2"/>
        <v>0.99999999651849081</v>
      </c>
      <c r="AQ6">
        <f t="shared" si="3"/>
        <v>0.99999999825924535</v>
      </c>
      <c r="AS6">
        <f t="shared" si="4"/>
        <v>-2.9930721077421601E-3</v>
      </c>
      <c r="AT6">
        <f t="shared" si="1"/>
        <v>-3.8041786244910329E-2</v>
      </c>
      <c r="AU6">
        <f t="shared" si="1"/>
        <v>-3.3292100617377494E-2</v>
      </c>
      <c r="AV6">
        <f t="shared" si="1"/>
        <v>3.9766467170706888E-3</v>
      </c>
      <c r="AW6">
        <f t="shared" si="1"/>
        <v>-5.0246625804460845E-3</v>
      </c>
      <c r="AX6">
        <f t="shared" si="1"/>
        <v>-3.676713037383901E-3</v>
      </c>
      <c r="AY6">
        <f t="shared" si="1"/>
        <v>8.543707803316436E-2</v>
      </c>
      <c r="AZ6">
        <f t="shared" si="1"/>
        <v>4.1002080640088423E-2</v>
      </c>
      <c r="BA6">
        <f t="shared" si="1"/>
        <v>1.7474145883383804E-2</v>
      </c>
      <c r="BB6">
        <f t="shared" si="1"/>
        <v>-0.38044939320192916</v>
      </c>
      <c r="BC6">
        <f t="shared" si="1"/>
        <v>2.4060131455854901E-3</v>
      </c>
      <c r="BD6">
        <f t="shared" si="1"/>
        <v>2.6648093446449615E-2</v>
      </c>
      <c r="BE6">
        <f t="shared" si="1"/>
        <v>-0.21450860600093921</v>
      </c>
      <c r="BF6">
        <f t="shared" si="1"/>
        <v>-0.10709043446000908</v>
      </c>
      <c r="BG6">
        <f t="shared" si="1"/>
        <v>-3.608843539586451E-2</v>
      </c>
      <c r="BH6">
        <f t="shared" si="1"/>
        <v>3.3374048741631662E-2</v>
      </c>
      <c r="BI6">
        <f t="shared" si="1"/>
        <v>3.7660703324886011E-2</v>
      </c>
      <c r="BJ6">
        <f t="shared" si="1"/>
        <v>7.5024334702537776E-2</v>
      </c>
      <c r="BK6">
        <f t="shared" si="1"/>
        <v>7.0203652345939949E-2</v>
      </c>
      <c r="BL6">
        <f t="shared" si="1"/>
        <v>4.1622237351447842E-2</v>
      </c>
      <c r="BM6">
        <f t="shared" si="1"/>
        <v>-4.752474424507898E-3</v>
      </c>
      <c r="BN6">
        <f t="shared" si="1"/>
        <v>-3.1697548943321836E-2</v>
      </c>
      <c r="BO6">
        <f t="shared" si="1"/>
        <v>-3.6479742197902798E-4</v>
      </c>
      <c r="BP6">
        <f t="shared" si="1"/>
        <v>-3.9552686884009342E-2</v>
      </c>
      <c r="BQ6">
        <f t="shared" si="1"/>
        <v>-6.7897846923433303E-3</v>
      </c>
      <c r="BR6">
        <f t="shared" si="1"/>
        <v>2.7709410168622526E-2</v>
      </c>
      <c r="BS6">
        <f t="shared" si="1"/>
        <v>-2.4092971432997677E-2</v>
      </c>
      <c r="BT6">
        <f t="shared" si="1"/>
        <v>2.4940329626447644E-2</v>
      </c>
      <c r="BU6">
        <f t="shared" si="1"/>
        <v>-5.8495218971253713E-3</v>
      </c>
      <c r="BV6">
        <f t="shared" si="1"/>
        <v>1.0451669907502872E-2</v>
      </c>
      <c r="BW6">
        <f t="shared" si="1"/>
        <v>-1.992676558319406E-3</v>
      </c>
      <c r="BX6">
        <f t="shared" si="1"/>
        <v>2.4021642196741043E-2</v>
      </c>
      <c r="BY6">
        <f t="shared" si="1"/>
        <v>3.2981543457235293E-2</v>
      </c>
      <c r="BZ6">
        <f t="shared" si="1"/>
        <v>-0.11140327577536947</v>
      </c>
      <c r="CA6">
        <f t="shared" si="1"/>
        <v>0.83629623427140343</v>
      </c>
      <c r="CB6">
        <f t="shared" si="1"/>
        <v>-0.18889564859880029</v>
      </c>
      <c r="CC6">
        <f t="shared" si="1"/>
        <v>0.12176517837213294</v>
      </c>
      <c r="CD6">
        <f t="shared" si="1"/>
        <v>3.7752344159150426E-3</v>
      </c>
      <c r="CE6">
        <f t="shared" si="1"/>
        <v>1.6900699920149337E-2</v>
      </c>
      <c r="CG6">
        <f t="shared" si="5"/>
        <v>1</v>
      </c>
      <c r="CH6">
        <f t="shared" si="6"/>
        <v>1</v>
      </c>
      <c r="CJ6">
        <f t="shared" si="7"/>
        <v>4.7576378162036061E-2</v>
      </c>
      <c r="CL6">
        <f>SUMPRODUCT(AS6:CE6,Dimorfismo!AS6:CE6)</f>
        <v>-1.5172435547174904E-2</v>
      </c>
      <c r="CM6">
        <f t="shared" si="8"/>
        <v>1.5172435547174904E-2</v>
      </c>
      <c r="CN6">
        <f t="shared" si="9"/>
        <v>1.5173599953726425E-2</v>
      </c>
    </row>
    <row r="7" spans="1:92" x14ac:dyDescent="0.25">
      <c r="A7" t="s">
        <v>8</v>
      </c>
      <c r="B7">
        <v>-2.9930721025319558E-3</v>
      </c>
      <c r="C7">
        <v>-3.8041786178688912E-2</v>
      </c>
      <c r="D7">
        <v>-3.3292100559424116E-2</v>
      </c>
      <c r="E7">
        <v>3.9766467101483224E-3</v>
      </c>
      <c r="F7">
        <v>-5.0246625716993797E-3</v>
      </c>
      <c r="G7">
        <v>-3.6767130309836456E-3</v>
      </c>
      <c r="H7">
        <v>8.5437077884439369E-2</v>
      </c>
      <c r="I7">
        <v>4.1002080568713857E-2</v>
      </c>
      <c r="J7">
        <v>1.7474145852965604E-2</v>
      </c>
      <c r="K7">
        <v>-0.38044939253966009</v>
      </c>
      <c r="L7">
        <v>2.4060131413972115E-3</v>
      </c>
      <c r="M7">
        <v>2.6648093400061822E-2</v>
      </c>
      <c r="N7">
        <v>-0.21450860562753235</v>
      </c>
      <c r="O7">
        <v>-0.10709043427359091</v>
      </c>
      <c r="P7">
        <v>-3.60884353330434E-2</v>
      </c>
      <c r="Q7">
        <v>3.3374048683535634E-2</v>
      </c>
      <c r="R7">
        <v>3.7660703259327966E-2</v>
      </c>
      <c r="S7">
        <v>7.5024334571938814E-2</v>
      </c>
      <c r="T7">
        <v>7.0203652223732621E-2</v>
      </c>
      <c r="U7">
        <v>4.1622237278993737E-2</v>
      </c>
      <c r="V7">
        <v>-4.7524744162350061E-3</v>
      </c>
      <c r="W7">
        <v>-3.1697548888144182E-2</v>
      </c>
      <c r="X7">
        <v>-3.6479742134400519E-4</v>
      </c>
      <c r="Y7">
        <v>-3.955268681515782E-2</v>
      </c>
      <c r="Z7">
        <v>-6.789784680523981E-3</v>
      </c>
      <c r="AA7">
        <v>2.7709410120387242E-2</v>
      </c>
      <c r="AB7">
        <v>-2.4092971391057726E-2</v>
      </c>
      <c r="AC7">
        <v>2.4940329583032651E-2</v>
      </c>
      <c r="AD7">
        <v>-5.8495218869427891E-3</v>
      </c>
      <c r="AE7">
        <v>1.0451669889309078E-2</v>
      </c>
      <c r="AF7">
        <v>-1.9926765548506451E-3</v>
      </c>
      <c r="AG7">
        <v>2.4021642154925256E-2</v>
      </c>
      <c r="AH7">
        <v>3.2981543399822517E-2</v>
      </c>
      <c r="AI7">
        <v>-0.11140327558144371</v>
      </c>
      <c r="AJ7">
        <v>0.83629623281561682</v>
      </c>
      <c r="AK7">
        <v>-0.18889564826997932</v>
      </c>
      <c r="AL7">
        <v>0.12176517816016964</v>
      </c>
      <c r="AM7">
        <v>3.7752344093432855E-3</v>
      </c>
      <c r="AN7">
        <v>1.6900699890729363E-2</v>
      </c>
      <c r="AP7">
        <f t="shared" si="2"/>
        <v>0.99999999651849081</v>
      </c>
      <c r="AQ7">
        <f t="shared" si="3"/>
        <v>0.99999999825924535</v>
      </c>
      <c r="AS7">
        <f t="shared" si="4"/>
        <v>-2.9930721077421601E-3</v>
      </c>
      <c r="AT7">
        <f t="shared" si="1"/>
        <v>-3.8041786244910329E-2</v>
      </c>
      <c r="AU7">
        <f t="shared" si="1"/>
        <v>-3.3292100617377494E-2</v>
      </c>
      <c r="AV7">
        <f t="shared" si="1"/>
        <v>3.9766467170706888E-3</v>
      </c>
      <c r="AW7">
        <f t="shared" si="1"/>
        <v>-5.0246625804460845E-3</v>
      </c>
      <c r="AX7">
        <f t="shared" si="1"/>
        <v>-3.676713037383901E-3</v>
      </c>
      <c r="AY7">
        <f t="shared" si="1"/>
        <v>8.543707803316436E-2</v>
      </c>
      <c r="AZ7">
        <f t="shared" si="1"/>
        <v>4.1002080640088423E-2</v>
      </c>
      <c r="BA7">
        <f t="shared" si="1"/>
        <v>1.7474145883383804E-2</v>
      </c>
      <c r="BB7">
        <f t="shared" si="1"/>
        <v>-0.38044939320192916</v>
      </c>
      <c r="BC7">
        <f t="shared" si="1"/>
        <v>2.4060131455854901E-3</v>
      </c>
      <c r="BD7">
        <f t="shared" si="1"/>
        <v>2.6648093446449615E-2</v>
      </c>
      <c r="BE7">
        <f t="shared" si="1"/>
        <v>-0.21450860600093921</v>
      </c>
      <c r="BF7">
        <f t="shared" si="1"/>
        <v>-0.10709043446000908</v>
      </c>
      <c r="BG7">
        <f t="shared" si="1"/>
        <v>-3.608843539586451E-2</v>
      </c>
      <c r="BH7">
        <f t="shared" si="1"/>
        <v>3.3374048741631662E-2</v>
      </c>
      <c r="BI7">
        <f t="shared" si="1"/>
        <v>3.7660703324886011E-2</v>
      </c>
      <c r="BJ7">
        <f t="shared" si="1"/>
        <v>7.5024334702537776E-2</v>
      </c>
      <c r="BK7">
        <f t="shared" si="1"/>
        <v>7.0203652345939949E-2</v>
      </c>
      <c r="BL7">
        <f t="shared" si="1"/>
        <v>4.1622237351447842E-2</v>
      </c>
      <c r="BM7">
        <f t="shared" si="1"/>
        <v>-4.752474424507898E-3</v>
      </c>
      <c r="BN7">
        <f t="shared" si="1"/>
        <v>-3.1697548943321836E-2</v>
      </c>
      <c r="BO7">
        <f t="shared" si="1"/>
        <v>-3.6479742197902798E-4</v>
      </c>
      <c r="BP7">
        <f t="shared" si="1"/>
        <v>-3.9552686884009342E-2</v>
      </c>
      <c r="BQ7">
        <f t="shared" si="1"/>
        <v>-6.7897846923433303E-3</v>
      </c>
      <c r="BR7">
        <f t="shared" si="1"/>
        <v>2.7709410168622526E-2</v>
      </c>
      <c r="BS7">
        <f t="shared" si="1"/>
        <v>-2.4092971432997677E-2</v>
      </c>
      <c r="BT7">
        <f t="shared" si="1"/>
        <v>2.4940329626447644E-2</v>
      </c>
      <c r="BU7">
        <f t="shared" si="1"/>
        <v>-5.8495218971253713E-3</v>
      </c>
      <c r="BV7">
        <f t="shared" si="1"/>
        <v>1.0451669907502872E-2</v>
      </c>
      <c r="BW7">
        <f t="shared" si="1"/>
        <v>-1.992676558319406E-3</v>
      </c>
      <c r="BX7">
        <f t="shared" si="1"/>
        <v>2.4021642196741043E-2</v>
      </c>
      <c r="BY7">
        <f t="shared" si="1"/>
        <v>3.2981543457235293E-2</v>
      </c>
      <c r="BZ7">
        <f t="shared" si="1"/>
        <v>-0.11140327577536947</v>
      </c>
      <c r="CA7">
        <f t="shared" si="1"/>
        <v>0.83629623427140343</v>
      </c>
      <c r="CB7">
        <f t="shared" si="1"/>
        <v>-0.18889564859880029</v>
      </c>
      <c r="CC7">
        <f t="shared" si="1"/>
        <v>0.12176517837213294</v>
      </c>
      <c r="CD7">
        <f t="shared" si="1"/>
        <v>3.7752344159150426E-3</v>
      </c>
      <c r="CE7">
        <f t="shared" si="1"/>
        <v>1.6900699920149337E-2</v>
      </c>
      <c r="CG7">
        <f t="shared" si="5"/>
        <v>1</v>
      </c>
      <c r="CH7">
        <f t="shared" si="6"/>
        <v>1</v>
      </c>
      <c r="CJ7">
        <f t="shared" si="7"/>
        <v>4.7576378162036061E-2</v>
      </c>
      <c r="CL7">
        <f>SUMPRODUCT(AS7:CE7,Dimorfismo!AS7:CE7)</f>
        <v>-5.8551857603839873E-3</v>
      </c>
      <c r="CM7">
        <f t="shared" si="8"/>
        <v>5.8551857603839873E-3</v>
      </c>
      <c r="CN7">
        <f t="shared" si="9"/>
        <v>5.8552526732623773E-3</v>
      </c>
    </row>
    <row r="8" spans="1:92" x14ac:dyDescent="0.25">
      <c r="A8" t="s">
        <v>9</v>
      </c>
      <c r="B8">
        <v>-2.9930721025319558E-3</v>
      </c>
      <c r="C8">
        <v>-3.8041786178688912E-2</v>
      </c>
      <c r="D8">
        <v>-3.3292100559424116E-2</v>
      </c>
      <c r="E8">
        <v>3.9766467101483224E-3</v>
      </c>
      <c r="F8">
        <v>-5.0246625716993797E-3</v>
      </c>
      <c r="G8">
        <v>-3.6767130309836456E-3</v>
      </c>
      <c r="H8">
        <v>8.5437077884439369E-2</v>
      </c>
      <c r="I8">
        <v>4.1002080568713857E-2</v>
      </c>
      <c r="J8">
        <v>1.7474145852965604E-2</v>
      </c>
      <c r="K8">
        <v>-0.38044939253966009</v>
      </c>
      <c r="L8">
        <v>2.4060131413972115E-3</v>
      </c>
      <c r="M8">
        <v>2.6648093400061822E-2</v>
      </c>
      <c r="N8">
        <v>-0.21450860562753235</v>
      </c>
      <c r="O8">
        <v>-0.10709043427359091</v>
      </c>
      <c r="P8">
        <v>-3.60884353330434E-2</v>
      </c>
      <c r="Q8">
        <v>3.3374048683535634E-2</v>
      </c>
      <c r="R8">
        <v>3.7660703259327966E-2</v>
      </c>
      <c r="S8">
        <v>7.5024334571938814E-2</v>
      </c>
      <c r="T8">
        <v>7.0203652223732621E-2</v>
      </c>
      <c r="U8">
        <v>4.1622237278993737E-2</v>
      </c>
      <c r="V8">
        <v>-4.7524744162350061E-3</v>
      </c>
      <c r="W8">
        <v>-3.1697548888144182E-2</v>
      </c>
      <c r="X8">
        <v>-3.6479742134400519E-4</v>
      </c>
      <c r="Y8">
        <v>-3.955268681515782E-2</v>
      </c>
      <c r="Z8">
        <v>-6.789784680523981E-3</v>
      </c>
      <c r="AA8">
        <v>2.7709410120387242E-2</v>
      </c>
      <c r="AB8">
        <v>-2.4092971391057726E-2</v>
      </c>
      <c r="AC8">
        <v>2.4940329583032651E-2</v>
      </c>
      <c r="AD8">
        <v>-5.8495218869427891E-3</v>
      </c>
      <c r="AE8">
        <v>1.0451669889309078E-2</v>
      </c>
      <c r="AF8">
        <v>-1.9926765548506451E-3</v>
      </c>
      <c r="AG8">
        <v>2.4021642154925256E-2</v>
      </c>
      <c r="AH8">
        <v>3.2981543399822517E-2</v>
      </c>
      <c r="AI8">
        <v>-0.11140327558144371</v>
      </c>
      <c r="AJ8">
        <v>0.83629623281561682</v>
      </c>
      <c r="AK8">
        <v>-0.18889564826997932</v>
      </c>
      <c r="AL8">
        <v>0.12176517816016964</v>
      </c>
      <c r="AM8">
        <v>3.7752344093432855E-3</v>
      </c>
      <c r="AN8">
        <v>1.6900699890729363E-2</v>
      </c>
      <c r="AP8">
        <f t="shared" si="2"/>
        <v>0.99999999651849081</v>
      </c>
      <c r="AQ8">
        <f t="shared" si="3"/>
        <v>0.99999999825924535</v>
      </c>
      <c r="AS8">
        <f t="shared" si="4"/>
        <v>-2.9930721077421601E-3</v>
      </c>
      <c r="AT8">
        <f t="shared" si="1"/>
        <v>-3.8041786244910329E-2</v>
      </c>
      <c r="AU8">
        <f t="shared" si="1"/>
        <v>-3.3292100617377494E-2</v>
      </c>
      <c r="AV8">
        <f t="shared" si="1"/>
        <v>3.9766467170706888E-3</v>
      </c>
      <c r="AW8">
        <f t="shared" si="1"/>
        <v>-5.0246625804460845E-3</v>
      </c>
      <c r="AX8">
        <f t="shared" si="1"/>
        <v>-3.676713037383901E-3</v>
      </c>
      <c r="AY8">
        <f t="shared" si="1"/>
        <v>8.543707803316436E-2</v>
      </c>
      <c r="AZ8">
        <f t="shared" si="1"/>
        <v>4.1002080640088423E-2</v>
      </c>
      <c r="BA8">
        <f t="shared" si="1"/>
        <v>1.7474145883383804E-2</v>
      </c>
      <c r="BB8">
        <f t="shared" si="1"/>
        <v>-0.38044939320192916</v>
      </c>
      <c r="BC8">
        <f t="shared" si="1"/>
        <v>2.4060131455854901E-3</v>
      </c>
      <c r="BD8">
        <f t="shared" si="1"/>
        <v>2.6648093446449615E-2</v>
      </c>
      <c r="BE8">
        <f t="shared" si="1"/>
        <v>-0.21450860600093921</v>
      </c>
      <c r="BF8">
        <f t="shared" si="1"/>
        <v>-0.10709043446000908</v>
      </c>
      <c r="BG8">
        <f t="shared" si="1"/>
        <v>-3.608843539586451E-2</v>
      </c>
      <c r="BH8">
        <f t="shared" si="1"/>
        <v>3.3374048741631662E-2</v>
      </c>
      <c r="BI8">
        <f t="shared" si="1"/>
        <v>3.7660703324886011E-2</v>
      </c>
      <c r="BJ8">
        <f t="shared" si="1"/>
        <v>7.5024334702537776E-2</v>
      </c>
      <c r="BK8">
        <f t="shared" si="1"/>
        <v>7.0203652345939949E-2</v>
      </c>
      <c r="BL8">
        <f t="shared" si="1"/>
        <v>4.1622237351447842E-2</v>
      </c>
      <c r="BM8">
        <f t="shared" si="1"/>
        <v>-4.752474424507898E-3</v>
      </c>
      <c r="BN8">
        <f t="shared" si="1"/>
        <v>-3.1697548943321836E-2</v>
      </c>
      <c r="BO8">
        <f t="shared" si="1"/>
        <v>-3.6479742197902798E-4</v>
      </c>
      <c r="BP8">
        <f t="shared" si="1"/>
        <v>-3.9552686884009342E-2</v>
      </c>
      <c r="BQ8">
        <f t="shared" si="1"/>
        <v>-6.7897846923433303E-3</v>
      </c>
      <c r="BR8">
        <f t="shared" si="1"/>
        <v>2.7709410168622526E-2</v>
      </c>
      <c r="BS8">
        <f t="shared" si="1"/>
        <v>-2.4092971432997677E-2</v>
      </c>
      <c r="BT8">
        <f t="shared" si="1"/>
        <v>2.4940329626447644E-2</v>
      </c>
      <c r="BU8">
        <f t="shared" ref="BU8:CE31" si="10">AD8/$AQ8</f>
        <v>-5.8495218971253713E-3</v>
      </c>
      <c r="BV8">
        <f t="shared" si="10"/>
        <v>1.0451669907502872E-2</v>
      </c>
      <c r="BW8">
        <f t="shared" si="10"/>
        <v>-1.992676558319406E-3</v>
      </c>
      <c r="BX8">
        <f t="shared" si="10"/>
        <v>2.4021642196741043E-2</v>
      </c>
      <c r="BY8">
        <f t="shared" si="10"/>
        <v>3.2981543457235293E-2</v>
      </c>
      <c r="BZ8">
        <f t="shared" si="10"/>
        <v>-0.11140327577536947</v>
      </c>
      <c r="CA8">
        <f t="shared" si="10"/>
        <v>0.83629623427140343</v>
      </c>
      <c r="CB8">
        <f t="shared" si="10"/>
        <v>-0.18889564859880029</v>
      </c>
      <c r="CC8">
        <f t="shared" si="10"/>
        <v>0.12176517837213294</v>
      </c>
      <c r="CD8">
        <f t="shared" si="10"/>
        <v>3.7752344159150426E-3</v>
      </c>
      <c r="CE8">
        <f t="shared" si="10"/>
        <v>1.6900699920149337E-2</v>
      </c>
      <c r="CG8">
        <f t="shared" si="5"/>
        <v>1</v>
      </c>
      <c r="CH8">
        <f t="shared" si="6"/>
        <v>1</v>
      </c>
      <c r="CJ8">
        <f t="shared" si="7"/>
        <v>4.7576378162036061E-2</v>
      </c>
      <c r="CL8">
        <f>SUMPRODUCT(AS8:CE8,Dimorfismo!AS8:CE8)</f>
        <v>-3.8104559089947539E-2</v>
      </c>
      <c r="CM8">
        <f t="shared" si="8"/>
        <v>3.8104559089947539E-2</v>
      </c>
      <c r="CN8">
        <f t="shared" si="9"/>
        <v>3.8123017238698098E-2</v>
      </c>
    </row>
    <row r="9" spans="1:92" x14ac:dyDescent="0.25">
      <c r="A9" t="s">
        <v>10</v>
      </c>
      <c r="B9">
        <v>-2.9930721025319558E-3</v>
      </c>
      <c r="C9">
        <v>-3.8041786178688912E-2</v>
      </c>
      <c r="D9">
        <v>-3.3292100559424116E-2</v>
      </c>
      <c r="E9">
        <v>3.9766467101483224E-3</v>
      </c>
      <c r="F9">
        <v>-5.0246625716993797E-3</v>
      </c>
      <c r="G9">
        <v>-3.6767130309836456E-3</v>
      </c>
      <c r="H9">
        <v>8.5437077884439369E-2</v>
      </c>
      <c r="I9">
        <v>4.1002080568713857E-2</v>
      </c>
      <c r="J9">
        <v>1.7474145852965604E-2</v>
      </c>
      <c r="K9">
        <v>-0.38044939253966009</v>
      </c>
      <c r="L9">
        <v>2.4060131413972115E-3</v>
      </c>
      <c r="M9">
        <v>2.6648093400061822E-2</v>
      </c>
      <c r="N9">
        <v>-0.21450860562753235</v>
      </c>
      <c r="O9">
        <v>-0.10709043427359091</v>
      </c>
      <c r="P9">
        <v>-3.60884353330434E-2</v>
      </c>
      <c r="Q9">
        <v>3.3374048683535634E-2</v>
      </c>
      <c r="R9">
        <v>3.7660703259327966E-2</v>
      </c>
      <c r="S9">
        <v>7.5024334571938814E-2</v>
      </c>
      <c r="T9">
        <v>7.0203652223732621E-2</v>
      </c>
      <c r="U9">
        <v>4.1622237278993737E-2</v>
      </c>
      <c r="V9">
        <v>-4.7524744162350061E-3</v>
      </c>
      <c r="W9">
        <v>-3.1697548888144182E-2</v>
      </c>
      <c r="X9">
        <v>-3.6479742134400519E-4</v>
      </c>
      <c r="Y9">
        <v>-3.955268681515782E-2</v>
      </c>
      <c r="Z9">
        <v>-6.789784680523981E-3</v>
      </c>
      <c r="AA9">
        <v>2.7709410120387242E-2</v>
      </c>
      <c r="AB9">
        <v>-2.4092971391057726E-2</v>
      </c>
      <c r="AC9">
        <v>2.4940329583032651E-2</v>
      </c>
      <c r="AD9">
        <v>-5.8495218869427891E-3</v>
      </c>
      <c r="AE9">
        <v>1.0451669889309078E-2</v>
      </c>
      <c r="AF9">
        <v>-1.9926765548506451E-3</v>
      </c>
      <c r="AG9">
        <v>2.4021642154925256E-2</v>
      </c>
      <c r="AH9">
        <v>3.2981543399822517E-2</v>
      </c>
      <c r="AI9">
        <v>-0.11140327558144371</v>
      </c>
      <c r="AJ9">
        <v>0.83629623281561682</v>
      </c>
      <c r="AK9">
        <v>-0.18889564826997932</v>
      </c>
      <c r="AL9">
        <v>0.12176517816016964</v>
      </c>
      <c r="AM9">
        <v>3.7752344093432855E-3</v>
      </c>
      <c r="AN9">
        <v>1.6900699890729363E-2</v>
      </c>
      <c r="AP9">
        <f t="shared" si="2"/>
        <v>0.99999999651849081</v>
      </c>
      <c r="AQ9">
        <f t="shared" si="3"/>
        <v>0.99999999825924535</v>
      </c>
      <c r="AS9">
        <f t="shared" si="4"/>
        <v>-2.9930721077421601E-3</v>
      </c>
      <c r="AT9">
        <f t="shared" si="4"/>
        <v>-3.8041786244910329E-2</v>
      </c>
      <c r="AU9">
        <f t="shared" si="4"/>
        <v>-3.3292100617377494E-2</v>
      </c>
      <c r="AV9">
        <f t="shared" si="4"/>
        <v>3.9766467170706888E-3</v>
      </c>
      <c r="AW9">
        <f t="shared" si="4"/>
        <v>-5.0246625804460845E-3</v>
      </c>
      <c r="AX9">
        <f t="shared" si="4"/>
        <v>-3.676713037383901E-3</v>
      </c>
      <c r="AY9">
        <f t="shared" si="4"/>
        <v>8.543707803316436E-2</v>
      </c>
      <c r="AZ9">
        <f t="shared" si="4"/>
        <v>4.1002080640088423E-2</v>
      </c>
      <c r="BA9">
        <f t="shared" si="4"/>
        <v>1.7474145883383804E-2</v>
      </c>
      <c r="BB9">
        <f t="shared" si="4"/>
        <v>-0.38044939320192916</v>
      </c>
      <c r="BC9">
        <f t="shared" si="4"/>
        <v>2.4060131455854901E-3</v>
      </c>
      <c r="BD9">
        <f t="shared" si="4"/>
        <v>2.6648093446449615E-2</v>
      </c>
      <c r="BE9">
        <f t="shared" si="4"/>
        <v>-0.21450860600093921</v>
      </c>
      <c r="BF9">
        <f t="shared" si="4"/>
        <v>-0.10709043446000908</v>
      </c>
      <c r="BG9">
        <f t="shared" si="4"/>
        <v>-3.608843539586451E-2</v>
      </c>
      <c r="BH9">
        <f t="shared" si="4"/>
        <v>3.3374048741631662E-2</v>
      </c>
      <c r="BI9">
        <f t="shared" ref="BI9:BT30" si="11">R9/$AQ9</f>
        <v>3.7660703324886011E-2</v>
      </c>
      <c r="BJ9">
        <f t="shared" si="11"/>
        <v>7.5024334702537776E-2</v>
      </c>
      <c r="BK9">
        <f t="shared" si="11"/>
        <v>7.0203652345939949E-2</v>
      </c>
      <c r="BL9">
        <f t="shared" si="11"/>
        <v>4.1622237351447842E-2</v>
      </c>
      <c r="BM9">
        <f t="shared" si="11"/>
        <v>-4.752474424507898E-3</v>
      </c>
      <c r="BN9">
        <f t="shared" si="11"/>
        <v>-3.1697548943321836E-2</v>
      </c>
      <c r="BO9">
        <f t="shared" si="11"/>
        <v>-3.6479742197902798E-4</v>
      </c>
      <c r="BP9">
        <f t="shared" si="11"/>
        <v>-3.9552686884009342E-2</v>
      </c>
      <c r="BQ9">
        <f t="shared" si="11"/>
        <v>-6.7897846923433303E-3</v>
      </c>
      <c r="BR9">
        <f t="shared" si="11"/>
        <v>2.7709410168622526E-2</v>
      </c>
      <c r="BS9">
        <f t="shared" si="11"/>
        <v>-2.4092971432997677E-2</v>
      </c>
      <c r="BT9">
        <f t="shared" si="11"/>
        <v>2.4940329626447644E-2</v>
      </c>
      <c r="BU9">
        <f t="shared" si="10"/>
        <v>-5.8495218971253713E-3</v>
      </c>
      <c r="BV9">
        <f t="shared" si="10"/>
        <v>1.0451669907502872E-2</v>
      </c>
      <c r="BW9">
        <f t="shared" si="10"/>
        <v>-1.992676558319406E-3</v>
      </c>
      <c r="BX9">
        <f t="shared" si="10"/>
        <v>2.4021642196741043E-2</v>
      </c>
      <c r="BY9">
        <f t="shared" si="10"/>
        <v>3.2981543457235293E-2</v>
      </c>
      <c r="BZ9">
        <f t="shared" si="10"/>
        <v>-0.11140327577536947</v>
      </c>
      <c r="CA9">
        <f t="shared" si="10"/>
        <v>0.83629623427140343</v>
      </c>
      <c r="CB9">
        <f t="shared" si="10"/>
        <v>-0.18889564859880029</v>
      </c>
      <c r="CC9">
        <f t="shared" si="10"/>
        <v>0.12176517837213294</v>
      </c>
      <c r="CD9">
        <f t="shared" si="10"/>
        <v>3.7752344159150426E-3</v>
      </c>
      <c r="CE9">
        <f t="shared" si="10"/>
        <v>1.6900699920149337E-2</v>
      </c>
      <c r="CG9">
        <f t="shared" si="5"/>
        <v>1</v>
      </c>
      <c r="CH9">
        <f t="shared" si="6"/>
        <v>1</v>
      </c>
      <c r="CJ9">
        <f t="shared" si="7"/>
        <v>4.7576378162036061E-2</v>
      </c>
      <c r="CL9">
        <f>SUMPRODUCT(AS9:CE9,Dimorfismo!AS9:CE9)</f>
        <v>-8.1674036278964347E-3</v>
      </c>
      <c r="CM9">
        <f t="shared" si="8"/>
        <v>8.1674036278964347E-3</v>
      </c>
      <c r="CN9">
        <f t="shared" si="9"/>
        <v>8.1675852414197763E-3</v>
      </c>
    </row>
    <row r="10" spans="1:92" x14ac:dyDescent="0.25">
      <c r="A10" t="s">
        <v>11</v>
      </c>
      <c r="B10">
        <v>-2.9930721025319558E-3</v>
      </c>
      <c r="C10">
        <v>-3.8041786178688912E-2</v>
      </c>
      <c r="D10">
        <v>-3.3292100559424116E-2</v>
      </c>
      <c r="E10">
        <v>3.9766467101483224E-3</v>
      </c>
      <c r="F10">
        <v>-5.0246625716993797E-3</v>
      </c>
      <c r="G10">
        <v>-3.6767130309836456E-3</v>
      </c>
      <c r="H10">
        <v>8.5437077884439369E-2</v>
      </c>
      <c r="I10">
        <v>4.1002080568713857E-2</v>
      </c>
      <c r="J10">
        <v>1.7474145852965604E-2</v>
      </c>
      <c r="K10">
        <v>-0.38044939253966009</v>
      </c>
      <c r="L10">
        <v>2.4060131413972115E-3</v>
      </c>
      <c r="M10">
        <v>2.6648093400061822E-2</v>
      </c>
      <c r="N10">
        <v>-0.21450860562753235</v>
      </c>
      <c r="O10">
        <v>-0.10709043427359091</v>
      </c>
      <c r="P10">
        <v>-3.60884353330434E-2</v>
      </c>
      <c r="Q10">
        <v>3.3374048683535634E-2</v>
      </c>
      <c r="R10">
        <v>3.7660703259327966E-2</v>
      </c>
      <c r="S10">
        <v>7.5024334571938814E-2</v>
      </c>
      <c r="T10">
        <v>7.0203652223732621E-2</v>
      </c>
      <c r="U10">
        <v>4.1622237278993737E-2</v>
      </c>
      <c r="V10">
        <v>-4.7524744162350061E-3</v>
      </c>
      <c r="W10">
        <v>-3.1697548888144182E-2</v>
      </c>
      <c r="X10">
        <v>-3.6479742134400519E-4</v>
      </c>
      <c r="Y10">
        <v>-3.955268681515782E-2</v>
      </c>
      <c r="Z10">
        <v>-6.789784680523981E-3</v>
      </c>
      <c r="AA10">
        <v>2.7709410120387242E-2</v>
      </c>
      <c r="AB10">
        <v>-2.4092971391057726E-2</v>
      </c>
      <c r="AC10">
        <v>2.4940329583032651E-2</v>
      </c>
      <c r="AD10">
        <v>-5.8495218869427891E-3</v>
      </c>
      <c r="AE10">
        <v>1.0451669889309078E-2</v>
      </c>
      <c r="AF10">
        <v>-1.9926765548506451E-3</v>
      </c>
      <c r="AG10">
        <v>2.4021642154925256E-2</v>
      </c>
      <c r="AH10">
        <v>3.2981543399822517E-2</v>
      </c>
      <c r="AI10">
        <v>-0.11140327558144371</v>
      </c>
      <c r="AJ10">
        <v>0.83629623281561682</v>
      </c>
      <c r="AK10">
        <v>-0.18889564826997932</v>
      </c>
      <c r="AL10">
        <v>0.12176517816016964</v>
      </c>
      <c r="AM10">
        <v>3.7752344093432855E-3</v>
      </c>
      <c r="AN10">
        <v>1.6900699890729363E-2</v>
      </c>
      <c r="AP10">
        <f t="shared" si="2"/>
        <v>0.99999999651849081</v>
      </c>
      <c r="AQ10">
        <f t="shared" si="3"/>
        <v>0.99999999825924535</v>
      </c>
      <c r="AS10">
        <f t="shared" si="4"/>
        <v>-2.9930721077421601E-3</v>
      </c>
      <c r="AT10">
        <f t="shared" si="4"/>
        <v>-3.8041786244910329E-2</v>
      </c>
      <c r="AU10">
        <f t="shared" si="4"/>
        <v>-3.3292100617377494E-2</v>
      </c>
      <c r="AV10">
        <f t="shared" si="4"/>
        <v>3.9766467170706888E-3</v>
      </c>
      <c r="AW10">
        <f t="shared" si="4"/>
        <v>-5.0246625804460845E-3</v>
      </c>
      <c r="AX10">
        <f t="shared" si="4"/>
        <v>-3.676713037383901E-3</v>
      </c>
      <c r="AY10">
        <f t="shared" si="4"/>
        <v>8.543707803316436E-2</v>
      </c>
      <c r="AZ10">
        <f t="shared" si="4"/>
        <v>4.1002080640088423E-2</v>
      </c>
      <c r="BA10">
        <f t="shared" si="4"/>
        <v>1.7474145883383804E-2</v>
      </c>
      <c r="BB10">
        <f t="shared" si="4"/>
        <v>-0.38044939320192916</v>
      </c>
      <c r="BC10">
        <f t="shared" si="4"/>
        <v>2.4060131455854901E-3</v>
      </c>
      <c r="BD10">
        <f t="shared" si="4"/>
        <v>2.6648093446449615E-2</v>
      </c>
      <c r="BE10">
        <f t="shared" si="4"/>
        <v>-0.21450860600093921</v>
      </c>
      <c r="BF10">
        <f t="shared" si="4"/>
        <v>-0.10709043446000908</v>
      </c>
      <c r="BG10">
        <f t="shared" si="4"/>
        <v>-3.608843539586451E-2</v>
      </c>
      <c r="BH10">
        <f t="shared" si="4"/>
        <v>3.3374048741631662E-2</v>
      </c>
      <c r="BI10">
        <f t="shared" si="11"/>
        <v>3.7660703324886011E-2</v>
      </c>
      <c r="BJ10">
        <f t="shared" si="11"/>
        <v>7.5024334702537776E-2</v>
      </c>
      <c r="BK10">
        <f t="shared" si="11"/>
        <v>7.0203652345939949E-2</v>
      </c>
      <c r="BL10">
        <f t="shared" si="11"/>
        <v>4.1622237351447842E-2</v>
      </c>
      <c r="BM10">
        <f t="shared" si="11"/>
        <v>-4.752474424507898E-3</v>
      </c>
      <c r="BN10">
        <f t="shared" si="11"/>
        <v>-3.1697548943321836E-2</v>
      </c>
      <c r="BO10">
        <f t="shared" si="11"/>
        <v>-3.6479742197902798E-4</v>
      </c>
      <c r="BP10">
        <f t="shared" si="11"/>
        <v>-3.9552686884009342E-2</v>
      </c>
      <c r="BQ10">
        <f t="shared" si="11"/>
        <v>-6.7897846923433303E-3</v>
      </c>
      <c r="BR10">
        <f t="shared" si="11"/>
        <v>2.7709410168622526E-2</v>
      </c>
      <c r="BS10">
        <f t="shared" si="11"/>
        <v>-2.4092971432997677E-2</v>
      </c>
      <c r="BT10">
        <f t="shared" si="11"/>
        <v>2.4940329626447644E-2</v>
      </c>
      <c r="BU10">
        <f t="shared" si="10"/>
        <v>-5.8495218971253713E-3</v>
      </c>
      <c r="BV10">
        <f t="shared" si="10"/>
        <v>1.0451669907502872E-2</v>
      </c>
      <c r="BW10">
        <f t="shared" si="10"/>
        <v>-1.992676558319406E-3</v>
      </c>
      <c r="BX10">
        <f t="shared" si="10"/>
        <v>2.4021642196741043E-2</v>
      </c>
      <c r="BY10">
        <f t="shared" si="10"/>
        <v>3.2981543457235293E-2</v>
      </c>
      <c r="BZ10">
        <f t="shared" si="10"/>
        <v>-0.11140327577536947</v>
      </c>
      <c r="CA10">
        <f t="shared" si="10"/>
        <v>0.83629623427140343</v>
      </c>
      <c r="CB10">
        <f t="shared" si="10"/>
        <v>-0.18889564859880029</v>
      </c>
      <c r="CC10">
        <f t="shared" si="10"/>
        <v>0.12176517837213294</v>
      </c>
      <c r="CD10">
        <f t="shared" si="10"/>
        <v>3.7752344159150426E-3</v>
      </c>
      <c r="CE10">
        <f t="shared" si="10"/>
        <v>1.6900699920149337E-2</v>
      </c>
      <c r="CG10">
        <f t="shared" si="5"/>
        <v>1</v>
      </c>
      <c r="CH10">
        <f t="shared" si="6"/>
        <v>1</v>
      </c>
      <c r="CJ10">
        <f t="shared" si="7"/>
        <v>4.7576378162036061E-2</v>
      </c>
      <c r="CL10">
        <f>SUMPRODUCT(AS10:CE10,Dimorfismo!AS10:CE10)</f>
        <v>-3.5380677260113849E-3</v>
      </c>
      <c r="CM10">
        <f t="shared" si="8"/>
        <v>3.5380677260113849E-3</v>
      </c>
      <c r="CN10">
        <f t="shared" si="9"/>
        <v>3.538082489208976E-3</v>
      </c>
    </row>
    <row r="11" spans="1:92" x14ac:dyDescent="0.25">
      <c r="A11" t="s">
        <v>12</v>
      </c>
      <c r="B11">
        <v>-2.9930721025319558E-3</v>
      </c>
      <c r="C11">
        <v>-3.8041786178688912E-2</v>
      </c>
      <c r="D11">
        <v>-3.3292100559424116E-2</v>
      </c>
      <c r="E11">
        <v>3.9766467101483224E-3</v>
      </c>
      <c r="F11">
        <v>-5.0246625716993797E-3</v>
      </c>
      <c r="G11">
        <v>-3.6767130309836456E-3</v>
      </c>
      <c r="H11">
        <v>8.5437077884439369E-2</v>
      </c>
      <c r="I11">
        <v>4.1002080568713857E-2</v>
      </c>
      <c r="J11">
        <v>1.7474145852965604E-2</v>
      </c>
      <c r="K11">
        <v>-0.38044939253966009</v>
      </c>
      <c r="L11">
        <v>2.4060131413972115E-3</v>
      </c>
      <c r="M11">
        <v>2.6648093400061822E-2</v>
      </c>
      <c r="N11">
        <v>-0.21450860562753235</v>
      </c>
      <c r="O11">
        <v>-0.10709043427359091</v>
      </c>
      <c r="P11">
        <v>-3.60884353330434E-2</v>
      </c>
      <c r="Q11">
        <v>3.3374048683535634E-2</v>
      </c>
      <c r="R11">
        <v>3.7660703259327966E-2</v>
      </c>
      <c r="S11">
        <v>7.5024334571938814E-2</v>
      </c>
      <c r="T11">
        <v>7.0203652223732621E-2</v>
      </c>
      <c r="U11">
        <v>4.1622237278993737E-2</v>
      </c>
      <c r="V11">
        <v>-4.7524744162350061E-3</v>
      </c>
      <c r="W11">
        <v>-3.1697548888144182E-2</v>
      </c>
      <c r="X11">
        <v>-3.6479742134400519E-4</v>
      </c>
      <c r="Y11">
        <v>-3.955268681515782E-2</v>
      </c>
      <c r="Z11">
        <v>-6.789784680523981E-3</v>
      </c>
      <c r="AA11">
        <v>2.7709410120387242E-2</v>
      </c>
      <c r="AB11">
        <v>-2.4092971391057726E-2</v>
      </c>
      <c r="AC11">
        <v>2.4940329583032651E-2</v>
      </c>
      <c r="AD11">
        <v>-5.8495218869427891E-3</v>
      </c>
      <c r="AE11">
        <v>1.0451669889309078E-2</v>
      </c>
      <c r="AF11">
        <v>-1.9926765548506451E-3</v>
      </c>
      <c r="AG11">
        <v>2.4021642154925256E-2</v>
      </c>
      <c r="AH11">
        <v>3.2981543399822517E-2</v>
      </c>
      <c r="AI11">
        <v>-0.11140327558144371</v>
      </c>
      <c r="AJ11">
        <v>0.83629623281561682</v>
      </c>
      <c r="AK11">
        <v>-0.18889564826997932</v>
      </c>
      <c r="AL11">
        <v>0.12176517816016964</v>
      </c>
      <c r="AM11">
        <v>3.7752344093432855E-3</v>
      </c>
      <c r="AN11">
        <v>1.6900699890729363E-2</v>
      </c>
      <c r="AP11">
        <f t="shared" si="2"/>
        <v>0.99999999651849081</v>
      </c>
      <c r="AQ11">
        <f t="shared" si="3"/>
        <v>0.99999999825924535</v>
      </c>
      <c r="AS11">
        <f t="shared" si="4"/>
        <v>-2.9930721077421601E-3</v>
      </c>
      <c r="AT11">
        <f t="shared" si="4"/>
        <v>-3.8041786244910329E-2</v>
      </c>
      <c r="AU11">
        <f t="shared" si="4"/>
        <v>-3.3292100617377494E-2</v>
      </c>
      <c r="AV11">
        <f t="shared" si="4"/>
        <v>3.9766467170706888E-3</v>
      </c>
      <c r="AW11">
        <f t="shared" si="4"/>
        <v>-5.0246625804460845E-3</v>
      </c>
      <c r="AX11">
        <f t="shared" si="4"/>
        <v>-3.676713037383901E-3</v>
      </c>
      <c r="AY11">
        <f t="shared" si="4"/>
        <v>8.543707803316436E-2</v>
      </c>
      <c r="AZ11">
        <f t="shared" si="4"/>
        <v>4.1002080640088423E-2</v>
      </c>
      <c r="BA11">
        <f t="shared" si="4"/>
        <v>1.7474145883383804E-2</v>
      </c>
      <c r="BB11">
        <f t="shared" si="4"/>
        <v>-0.38044939320192916</v>
      </c>
      <c r="BC11">
        <f t="shared" si="4"/>
        <v>2.4060131455854901E-3</v>
      </c>
      <c r="BD11">
        <f t="shared" si="4"/>
        <v>2.6648093446449615E-2</v>
      </c>
      <c r="BE11">
        <f t="shared" si="4"/>
        <v>-0.21450860600093921</v>
      </c>
      <c r="BF11">
        <f t="shared" si="4"/>
        <v>-0.10709043446000908</v>
      </c>
      <c r="BG11">
        <f t="shared" si="4"/>
        <v>-3.608843539586451E-2</v>
      </c>
      <c r="BH11">
        <f t="shared" si="4"/>
        <v>3.3374048741631662E-2</v>
      </c>
      <c r="BI11">
        <f t="shared" si="11"/>
        <v>3.7660703324886011E-2</v>
      </c>
      <c r="BJ11">
        <f t="shared" si="11"/>
        <v>7.5024334702537776E-2</v>
      </c>
      <c r="BK11">
        <f t="shared" si="11"/>
        <v>7.0203652345939949E-2</v>
      </c>
      <c r="BL11">
        <f t="shared" si="11"/>
        <v>4.1622237351447842E-2</v>
      </c>
      <c r="BM11">
        <f t="shared" si="11"/>
        <v>-4.752474424507898E-3</v>
      </c>
      <c r="BN11">
        <f t="shared" si="11"/>
        <v>-3.1697548943321836E-2</v>
      </c>
      <c r="BO11">
        <f t="shared" si="11"/>
        <v>-3.6479742197902798E-4</v>
      </c>
      <c r="BP11">
        <f t="shared" si="11"/>
        <v>-3.9552686884009342E-2</v>
      </c>
      <c r="BQ11">
        <f t="shared" si="11"/>
        <v>-6.7897846923433303E-3</v>
      </c>
      <c r="BR11">
        <f t="shared" si="11"/>
        <v>2.7709410168622526E-2</v>
      </c>
      <c r="BS11">
        <f t="shared" si="11"/>
        <v>-2.4092971432997677E-2</v>
      </c>
      <c r="BT11">
        <f t="shared" si="11"/>
        <v>2.4940329626447644E-2</v>
      </c>
      <c r="BU11">
        <f t="shared" si="10"/>
        <v>-5.8495218971253713E-3</v>
      </c>
      <c r="BV11">
        <f t="shared" si="10"/>
        <v>1.0451669907502872E-2</v>
      </c>
      <c r="BW11">
        <f t="shared" si="10"/>
        <v>-1.992676558319406E-3</v>
      </c>
      <c r="BX11">
        <f t="shared" si="10"/>
        <v>2.4021642196741043E-2</v>
      </c>
      <c r="BY11">
        <f t="shared" si="10"/>
        <v>3.2981543457235293E-2</v>
      </c>
      <c r="BZ11">
        <f t="shared" si="10"/>
        <v>-0.11140327577536947</v>
      </c>
      <c r="CA11">
        <f t="shared" si="10"/>
        <v>0.83629623427140343</v>
      </c>
      <c r="CB11">
        <f t="shared" si="10"/>
        <v>-0.18889564859880029</v>
      </c>
      <c r="CC11">
        <f t="shared" si="10"/>
        <v>0.12176517837213294</v>
      </c>
      <c r="CD11">
        <f t="shared" si="10"/>
        <v>3.7752344159150426E-3</v>
      </c>
      <c r="CE11">
        <f t="shared" si="10"/>
        <v>1.6900699920149337E-2</v>
      </c>
      <c r="CG11">
        <f t="shared" si="5"/>
        <v>1</v>
      </c>
      <c r="CH11">
        <f t="shared" si="6"/>
        <v>1</v>
      </c>
      <c r="CJ11">
        <f t="shared" si="7"/>
        <v>4.7576378162036061E-2</v>
      </c>
      <c r="CL11">
        <f>SUMPRODUCT(AS11:CE11,Dimorfismo!AS11:CE11)</f>
        <v>-1.2712147283788416E-2</v>
      </c>
      <c r="CM11">
        <f t="shared" si="8"/>
        <v>1.2712147283788416E-2</v>
      </c>
      <c r="CN11">
        <f t="shared" si="9"/>
        <v>1.2712832105632734E-2</v>
      </c>
    </row>
    <row r="12" spans="1:92" x14ac:dyDescent="0.25">
      <c r="A12" t="s">
        <v>13</v>
      </c>
      <c r="B12">
        <v>-2.9930721025319558E-3</v>
      </c>
      <c r="C12">
        <v>-3.8041786178688912E-2</v>
      </c>
      <c r="D12">
        <v>-3.3292100559424116E-2</v>
      </c>
      <c r="E12">
        <v>3.9766467101483224E-3</v>
      </c>
      <c r="F12">
        <v>-5.0246625716993797E-3</v>
      </c>
      <c r="G12">
        <v>-3.6767130309836456E-3</v>
      </c>
      <c r="H12">
        <v>8.5437077884439369E-2</v>
      </c>
      <c r="I12">
        <v>4.1002080568713857E-2</v>
      </c>
      <c r="J12">
        <v>1.7474145852965604E-2</v>
      </c>
      <c r="K12">
        <v>-0.38044939253966009</v>
      </c>
      <c r="L12">
        <v>2.4060131413972115E-3</v>
      </c>
      <c r="M12">
        <v>2.6648093400061822E-2</v>
      </c>
      <c r="N12">
        <v>-0.21450860562753235</v>
      </c>
      <c r="O12">
        <v>-0.10709043427359091</v>
      </c>
      <c r="P12">
        <v>-3.60884353330434E-2</v>
      </c>
      <c r="Q12">
        <v>3.3374048683535634E-2</v>
      </c>
      <c r="R12">
        <v>3.7660703259327966E-2</v>
      </c>
      <c r="S12">
        <v>7.5024334571938814E-2</v>
      </c>
      <c r="T12">
        <v>7.0203652223732621E-2</v>
      </c>
      <c r="U12">
        <v>4.1622237278993737E-2</v>
      </c>
      <c r="V12">
        <v>-4.7524744162350061E-3</v>
      </c>
      <c r="W12">
        <v>-3.1697548888144182E-2</v>
      </c>
      <c r="X12">
        <v>-3.6479742134400519E-4</v>
      </c>
      <c r="Y12">
        <v>-3.955268681515782E-2</v>
      </c>
      <c r="Z12">
        <v>-6.789784680523981E-3</v>
      </c>
      <c r="AA12">
        <v>2.7709410120387242E-2</v>
      </c>
      <c r="AB12">
        <v>-2.4092971391057726E-2</v>
      </c>
      <c r="AC12">
        <v>2.4940329583032651E-2</v>
      </c>
      <c r="AD12">
        <v>-5.8495218869427891E-3</v>
      </c>
      <c r="AE12">
        <v>1.0451669889309078E-2</v>
      </c>
      <c r="AF12">
        <v>-1.9926765548506451E-3</v>
      </c>
      <c r="AG12">
        <v>2.4021642154925256E-2</v>
      </c>
      <c r="AH12">
        <v>3.2981543399822517E-2</v>
      </c>
      <c r="AI12">
        <v>-0.11140327558144371</v>
      </c>
      <c r="AJ12">
        <v>0.83629623281561682</v>
      </c>
      <c r="AK12">
        <v>-0.18889564826997932</v>
      </c>
      <c r="AL12">
        <v>0.12176517816016964</v>
      </c>
      <c r="AM12">
        <v>3.7752344093432855E-3</v>
      </c>
      <c r="AN12">
        <v>1.6900699890729363E-2</v>
      </c>
      <c r="AP12">
        <f t="shared" si="2"/>
        <v>0.99999999651849081</v>
      </c>
      <c r="AQ12">
        <f t="shared" si="3"/>
        <v>0.99999999825924535</v>
      </c>
      <c r="AS12">
        <f t="shared" si="4"/>
        <v>-2.9930721077421601E-3</v>
      </c>
      <c r="AT12">
        <f t="shared" si="4"/>
        <v>-3.8041786244910329E-2</v>
      </c>
      <c r="AU12">
        <f t="shared" si="4"/>
        <v>-3.3292100617377494E-2</v>
      </c>
      <c r="AV12">
        <f t="shared" si="4"/>
        <v>3.9766467170706888E-3</v>
      </c>
      <c r="AW12">
        <f t="shared" si="4"/>
        <v>-5.0246625804460845E-3</v>
      </c>
      <c r="AX12">
        <f t="shared" si="4"/>
        <v>-3.676713037383901E-3</v>
      </c>
      <c r="AY12">
        <f t="shared" si="4"/>
        <v>8.543707803316436E-2</v>
      </c>
      <c r="AZ12">
        <f t="shared" si="4"/>
        <v>4.1002080640088423E-2</v>
      </c>
      <c r="BA12">
        <f t="shared" si="4"/>
        <v>1.7474145883383804E-2</v>
      </c>
      <c r="BB12">
        <f t="shared" si="4"/>
        <v>-0.38044939320192916</v>
      </c>
      <c r="BC12">
        <f t="shared" si="4"/>
        <v>2.4060131455854901E-3</v>
      </c>
      <c r="BD12">
        <f t="shared" si="4"/>
        <v>2.6648093446449615E-2</v>
      </c>
      <c r="BE12">
        <f t="shared" si="4"/>
        <v>-0.21450860600093921</v>
      </c>
      <c r="BF12">
        <f t="shared" si="4"/>
        <v>-0.10709043446000908</v>
      </c>
      <c r="BG12">
        <f t="shared" si="4"/>
        <v>-3.608843539586451E-2</v>
      </c>
      <c r="BH12">
        <f t="shared" si="4"/>
        <v>3.3374048741631662E-2</v>
      </c>
      <c r="BI12">
        <f t="shared" si="11"/>
        <v>3.7660703324886011E-2</v>
      </c>
      <c r="BJ12">
        <f t="shared" si="11"/>
        <v>7.5024334702537776E-2</v>
      </c>
      <c r="BK12">
        <f t="shared" si="11"/>
        <v>7.0203652345939949E-2</v>
      </c>
      <c r="BL12">
        <f t="shared" si="11"/>
        <v>4.1622237351447842E-2</v>
      </c>
      <c r="BM12">
        <f t="shared" si="11"/>
        <v>-4.752474424507898E-3</v>
      </c>
      <c r="BN12">
        <f t="shared" si="11"/>
        <v>-3.1697548943321836E-2</v>
      </c>
      <c r="BO12">
        <f t="shared" si="11"/>
        <v>-3.6479742197902798E-4</v>
      </c>
      <c r="BP12">
        <f t="shared" si="11"/>
        <v>-3.9552686884009342E-2</v>
      </c>
      <c r="BQ12">
        <f t="shared" si="11"/>
        <v>-6.7897846923433303E-3</v>
      </c>
      <c r="BR12">
        <f t="shared" si="11"/>
        <v>2.7709410168622526E-2</v>
      </c>
      <c r="BS12">
        <f t="shared" si="11"/>
        <v>-2.4092971432997677E-2</v>
      </c>
      <c r="BT12">
        <f t="shared" si="11"/>
        <v>2.4940329626447644E-2</v>
      </c>
      <c r="BU12">
        <f t="shared" si="10"/>
        <v>-5.8495218971253713E-3</v>
      </c>
      <c r="BV12">
        <f t="shared" si="10"/>
        <v>1.0451669907502872E-2</v>
      </c>
      <c r="BW12">
        <f t="shared" si="10"/>
        <v>-1.992676558319406E-3</v>
      </c>
      <c r="BX12">
        <f t="shared" si="10"/>
        <v>2.4021642196741043E-2</v>
      </c>
      <c r="BY12">
        <f t="shared" si="10"/>
        <v>3.2981543457235293E-2</v>
      </c>
      <c r="BZ12">
        <f t="shared" si="10"/>
        <v>-0.11140327577536947</v>
      </c>
      <c r="CA12">
        <f t="shared" si="10"/>
        <v>0.83629623427140343</v>
      </c>
      <c r="CB12">
        <f t="shared" si="10"/>
        <v>-0.18889564859880029</v>
      </c>
      <c r="CC12">
        <f t="shared" si="10"/>
        <v>0.12176517837213294</v>
      </c>
      <c r="CD12">
        <f t="shared" si="10"/>
        <v>3.7752344159150426E-3</v>
      </c>
      <c r="CE12">
        <f t="shared" si="10"/>
        <v>1.6900699920149337E-2</v>
      </c>
      <c r="CG12">
        <f t="shared" si="5"/>
        <v>1</v>
      </c>
      <c r="CH12">
        <f t="shared" si="6"/>
        <v>1</v>
      </c>
      <c r="CJ12">
        <f t="shared" si="7"/>
        <v>4.7576378162036061E-2</v>
      </c>
      <c r="CL12">
        <f>SUMPRODUCT(AS12:CE12,Dimorfismo!AS12:CE12)</f>
        <v>-0.11029652607047127</v>
      </c>
      <c r="CM12">
        <f t="shared" si="8"/>
        <v>0.11029652607047127</v>
      </c>
      <c r="CN12">
        <f t="shared" si="9"/>
        <v>0.11074708369192322</v>
      </c>
    </row>
    <row r="13" spans="1:92" x14ac:dyDescent="0.25">
      <c r="A13" t="s">
        <v>14</v>
      </c>
      <c r="B13">
        <v>-2.9930721025319558E-3</v>
      </c>
      <c r="C13">
        <v>-3.8041786178688912E-2</v>
      </c>
      <c r="D13">
        <v>-3.3292100559424116E-2</v>
      </c>
      <c r="E13">
        <v>3.9766467101483224E-3</v>
      </c>
      <c r="F13">
        <v>-5.0246625716993797E-3</v>
      </c>
      <c r="G13">
        <v>-3.6767130309836456E-3</v>
      </c>
      <c r="H13">
        <v>8.5437077884439369E-2</v>
      </c>
      <c r="I13">
        <v>4.1002080568713857E-2</v>
      </c>
      <c r="J13">
        <v>1.7474145852965604E-2</v>
      </c>
      <c r="K13">
        <v>-0.38044939253966009</v>
      </c>
      <c r="L13">
        <v>2.4060131413972115E-3</v>
      </c>
      <c r="M13">
        <v>2.6648093400061822E-2</v>
      </c>
      <c r="N13">
        <v>-0.21450860562753235</v>
      </c>
      <c r="O13">
        <v>-0.10709043427359091</v>
      </c>
      <c r="P13">
        <v>-3.60884353330434E-2</v>
      </c>
      <c r="Q13">
        <v>3.3374048683535634E-2</v>
      </c>
      <c r="R13">
        <v>3.7660703259327966E-2</v>
      </c>
      <c r="S13">
        <v>7.5024334571938814E-2</v>
      </c>
      <c r="T13">
        <v>7.0203652223732621E-2</v>
      </c>
      <c r="U13">
        <v>4.1622237278993737E-2</v>
      </c>
      <c r="V13">
        <v>-4.7524744162350061E-3</v>
      </c>
      <c r="W13">
        <v>-3.1697548888144182E-2</v>
      </c>
      <c r="X13">
        <v>-3.6479742134400519E-4</v>
      </c>
      <c r="Y13">
        <v>-3.955268681515782E-2</v>
      </c>
      <c r="Z13">
        <v>-6.789784680523981E-3</v>
      </c>
      <c r="AA13">
        <v>2.7709410120387242E-2</v>
      </c>
      <c r="AB13">
        <v>-2.4092971391057726E-2</v>
      </c>
      <c r="AC13">
        <v>2.4940329583032651E-2</v>
      </c>
      <c r="AD13">
        <v>-5.8495218869427891E-3</v>
      </c>
      <c r="AE13">
        <v>1.0451669889309078E-2</v>
      </c>
      <c r="AF13">
        <v>-1.9926765548506451E-3</v>
      </c>
      <c r="AG13">
        <v>2.4021642154925256E-2</v>
      </c>
      <c r="AH13">
        <v>3.2981543399822517E-2</v>
      </c>
      <c r="AI13">
        <v>-0.11140327558144371</v>
      </c>
      <c r="AJ13">
        <v>0.83629623281561682</v>
      </c>
      <c r="AK13">
        <v>-0.18889564826997932</v>
      </c>
      <c r="AL13">
        <v>0.12176517816016964</v>
      </c>
      <c r="AM13">
        <v>3.7752344093432855E-3</v>
      </c>
      <c r="AN13">
        <v>1.6900699890729363E-2</v>
      </c>
      <c r="AP13">
        <f t="shared" si="2"/>
        <v>0.99999999651849081</v>
      </c>
      <c r="AQ13">
        <f t="shared" si="3"/>
        <v>0.99999999825924535</v>
      </c>
      <c r="AS13">
        <f t="shared" si="4"/>
        <v>-2.9930721077421601E-3</v>
      </c>
      <c r="AT13">
        <f t="shared" si="4"/>
        <v>-3.8041786244910329E-2</v>
      </c>
      <c r="AU13">
        <f t="shared" si="4"/>
        <v>-3.3292100617377494E-2</v>
      </c>
      <c r="AV13">
        <f t="shared" si="4"/>
        <v>3.9766467170706888E-3</v>
      </c>
      <c r="AW13">
        <f t="shared" si="4"/>
        <v>-5.0246625804460845E-3</v>
      </c>
      <c r="AX13">
        <f t="shared" si="4"/>
        <v>-3.676713037383901E-3</v>
      </c>
      <c r="AY13">
        <f t="shared" si="4"/>
        <v>8.543707803316436E-2</v>
      </c>
      <c r="AZ13">
        <f t="shared" si="4"/>
        <v>4.1002080640088423E-2</v>
      </c>
      <c r="BA13">
        <f t="shared" si="4"/>
        <v>1.7474145883383804E-2</v>
      </c>
      <c r="BB13">
        <f t="shared" si="4"/>
        <v>-0.38044939320192916</v>
      </c>
      <c r="BC13">
        <f t="shared" si="4"/>
        <v>2.4060131455854901E-3</v>
      </c>
      <c r="BD13">
        <f t="shared" si="4"/>
        <v>2.6648093446449615E-2</v>
      </c>
      <c r="BE13">
        <f t="shared" si="4"/>
        <v>-0.21450860600093921</v>
      </c>
      <c r="BF13">
        <f t="shared" si="4"/>
        <v>-0.10709043446000908</v>
      </c>
      <c r="BG13">
        <f t="shared" si="4"/>
        <v>-3.608843539586451E-2</v>
      </c>
      <c r="BH13">
        <f t="shared" si="4"/>
        <v>3.3374048741631662E-2</v>
      </c>
      <c r="BI13">
        <f t="shared" si="11"/>
        <v>3.7660703324886011E-2</v>
      </c>
      <c r="BJ13">
        <f t="shared" si="11"/>
        <v>7.5024334702537776E-2</v>
      </c>
      <c r="BK13">
        <f t="shared" si="11"/>
        <v>7.0203652345939949E-2</v>
      </c>
      <c r="BL13">
        <f t="shared" si="11"/>
        <v>4.1622237351447842E-2</v>
      </c>
      <c r="BM13">
        <f t="shared" si="11"/>
        <v>-4.752474424507898E-3</v>
      </c>
      <c r="BN13">
        <f t="shared" si="11"/>
        <v>-3.1697548943321836E-2</v>
      </c>
      <c r="BO13">
        <f t="shared" si="11"/>
        <v>-3.6479742197902798E-4</v>
      </c>
      <c r="BP13">
        <f t="shared" si="11"/>
        <v>-3.9552686884009342E-2</v>
      </c>
      <c r="BQ13">
        <f t="shared" si="11"/>
        <v>-6.7897846923433303E-3</v>
      </c>
      <c r="BR13">
        <f t="shared" si="11"/>
        <v>2.7709410168622526E-2</v>
      </c>
      <c r="BS13">
        <f t="shared" si="11"/>
        <v>-2.4092971432997677E-2</v>
      </c>
      <c r="BT13">
        <f t="shared" si="11"/>
        <v>2.4940329626447644E-2</v>
      </c>
      <c r="BU13">
        <f t="shared" si="10"/>
        <v>-5.8495218971253713E-3</v>
      </c>
      <c r="BV13">
        <f t="shared" si="10"/>
        <v>1.0451669907502872E-2</v>
      </c>
      <c r="BW13">
        <f t="shared" si="10"/>
        <v>-1.992676558319406E-3</v>
      </c>
      <c r="BX13">
        <f t="shared" si="10"/>
        <v>2.4021642196741043E-2</v>
      </c>
      <c r="BY13">
        <f t="shared" si="10"/>
        <v>3.2981543457235293E-2</v>
      </c>
      <c r="BZ13">
        <f t="shared" si="10"/>
        <v>-0.11140327577536947</v>
      </c>
      <c r="CA13">
        <f t="shared" si="10"/>
        <v>0.83629623427140343</v>
      </c>
      <c r="CB13">
        <f t="shared" si="10"/>
        <v>-0.18889564859880029</v>
      </c>
      <c r="CC13">
        <f t="shared" si="10"/>
        <v>0.12176517837213294</v>
      </c>
      <c r="CD13">
        <f t="shared" si="10"/>
        <v>3.7752344159150426E-3</v>
      </c>
      <c r="CE13">
        <f t="shared" si="10"/>
        <v>1.6900699920149337E-2</v>
      </c>
      <c r="CG13">
        <f t="shared" si="5"/>
        <v>1</v>
      </c>
      <c r="CH13">
        <f t="shared" si="6"/>
        <v>1</v>
      </c>
      <c r="CJ13">
        <f t="shared" si="7"/>
        <v>4.7576378162036061E-2</v>
      </c>
      <c r="CL13">
        <f>SUMPRODUCT(AS13:CE13,Dimorfismo!AS13:CE13)</f>
        <v>-5.1057242629755022E-2</v>
      </c>
      <c r="CM13">
        <f t="shared" si="8"/>
        <v>5.1057242629755022E-2</v>
      </c>
      <c r="CN13">
        <f t="shared" si="9"/>
        <v>5.1101678207663315E-2</v>
      </c>
    </row>
    <row r="14" spans="1:92" x14ac:dyDescent="0.25">
      <c r="A14" t="s">
        <v>15</v>
      </c>
      <c r="B14">
        <v>-2.9930721025319558E-3</v>
      </c>
      <c r="C14">
        <v>-3.8041786178688912E-2</v>
      </c>
      <c r="D14">
        <v>-3.3292100559424116E-2</v>
      </c>
      <c r="E14">
        <v>3.9766467101483224E-3</v>
      </c>
      <c r="F14">
        <v>-5.0246625716993797E-3</v>
      </c>
      <c r="G14">
        <v>-3.6767130309836456E-3</v>
      </c>
      <c r="H14">
        <v>8.5437077884439369E-2</v>
      </c>
      <c r="I14">
        <v>4.1002080568713857E-2</v>
      </c>
      <c r="J14">
        <v>1.7474145852965604E-2</v>
      </c>
      <c r="K14">
        <v>-0.38044939253966009</v>
      </c>
      <c r="L14">
        <v>2.4060131413972115E-3</v>
      </c>
      <c r="M14">
        <v>2.6648093400061822E-2</v>
      </c>
      <c r="N14">
        <v>-0.21450860562753235</v>
      </c>
      <c r="O14">
        <v>-0.10709043427359091</v>
      </c>
      <c r="P14">
        <v>-3.60884353330434E-2</v>
      </c>
      <c r="Q14">
        <v>3.3374048683535634E-2</v>
      </c>
      <c r="R14">
        <v>3.7660703259327966E-2</v>
      </c>
      <c r="S14">
        <v>7.5024334571938814E-2</v>
      </c>
      <c r="T14">
        <v>7.0203652223732621E-2</v>
      </c>
      <c r="U14">
        <v>4.1622237278993737E-2</v>
      </c>
      <c r="V14">
        <v>-4.7524744162350061E-3</v>
      </c>
      <c r="W14">
        <v>-3.1697548888144182E-2</v>
      </c>
      <c r="X14">
        <v>-3.6479742134400519E-4</v>
      </c>
      <c r="Y14">
        <v>-3.955268681515782E-2</v>
      </c>
      <c r="Z14">
        <v>-6.789784680523981E-3</v>
      </c>
      <c r="AA14">
        <v>2.7709410120387242E-2</v>
      </c>
      <c r="AB14">
        <v>-2.4092971391057726E-2</v>
      </c>
      <c r="AC14">
        <v>2.4940329583032651E-2</v>
      </c>
      <c r="AD14">
        <v>-5.8495218869427891E-3</v>
      </c>
      <c r="AE14">
        <v>1.0451669889309078E-2</v>
      </c>
      <c r="AF14">
        <v>-1.9926765548506451E-3</v>
      </c>
      <c r="AG14">
        <v>2.4021642154925256E-2</v>
      </c>
      <c r="AH14">
        <v>3.2981543399822517E-2</v>
      </c>
      <c r="AI14">
        <v>-0.11140327558144371</v>
      </c>
      <c r="AJ14">
        <v>0.83629623281561682</v>
      </c>
      <c r="AK14">
        <v>-0.18889564826997932</v>
      </c>
      <c r="AL14">
        <v>0.12176517816016964</v>
      </c>
      <c r="AM14">
        <v>3.7752344093432855E-3</v>
      </c>
      <c r="AN14">
        <v>1.6900699890729363E-2</v>
      </c>
      <c r="AP14">
        <f t="shared" si="2"/>
        <v>0.99999999651849081</v>
      </c>
      <c r="AQ14">
        <f t="shared" si="3"/>
        <v>0.99999999825924535</v>
      </c>
      <c r="AS14">
        <f t="shared" si="4"/>
        <v>-2.9930721077421601E-3</v>
      </c>
      <c r="AT14">
        <f t="shared" si="4"/>
        <v>-3.8041786244910329E-2</v>
      </c>
      <c r="AU14">
        <f t="shared" si="4"/>
        <v>-3.3292100617377494E-2</v>
      </c>
      <c r="AV14">
        <f t="shared" si="4"/>
        <v>3.9766467170706888E-3</v>
      </c>
      <c r="AW14">
        <f t="shared" si="4"/>
        <v>-5.0246625804460845E-3</v>
      </c>
      <c r="AX14">
        <f t="shared" si="4"/>
        <v>-3.676713037383901E-3</v>
      </c>
      <c r="AY14">
        <f t="shared" si="4"/>
        <v>8.543707803316436E-2</v>
      </c>
      <c r="AZ14">
        <f t="shared" si="4"/>
        <v>4.1002080640088423E-2</v>
      </c>
      <c r="BA14">
        <f t="shared" si="4"/>
        <v>1.7474145883383804E-2</v>
      </c>
      <c r="BB14">
        <f t="shared" si="4"/>
        <v>-0.38044939320192916</v>
      </c>
      <c r="BC14">
        <f t="shared" si="4"/>
        <v>2.4060131455854901E-3</v>
      </c>
      <c r="BD14">
        <f t="shared" si="4"/>
        <v>2.6648093446449615E-2</v>
      </c>
      <c r="BE14">
        <f t="shared" si="4"/>
        <v>-0.21450860600093921</v>
      </c>
      <c r="BF14">
        <f t="shared" si="4"/>
        <v>-0.10709043446000908</v>
      </c>
      <c r="BG14">
        <f t="shared" si="4"/>
        <v>-3.608843539586451E-2</v>
      </c>
      <c r="BH14">
        <f t="shared" si="4"/>
        <v>3.3374048741631662E-2</v>
      </c>
      <c r="BI14">
        <f t="shared" si="11"/>
        <v>3.7660703324886011E-2</v>
      </c>
      <c r="BJ14">
        <f t="shared" si="11"/>
        <v>7.5024334702537776E-2</v>
      </c>
      <c r="BK14">
        <f t="shared" si="11"/>
        <v>7.0203652345939949E-2</v>
      </c>
      <c r="BL14">
        <f t="shared" si="11"/>
        <v>4.1622237351447842E-2</v>
      </c>
      <c r="BM14">
        <f t="shared" si="11"/>
        <v>-4.752474424507898E-3</v>
      </c>
      <c r="BN14">
        <f t="shared" si="11"/>
        <v>-3.1697548943321836E-2</v>
      </c>
      <c r="BO14">
        <f t="shared" si="11"/>
        <v>-3.6479742197902798E-4</v>
      </c>
      <c r="BP14">
        <f t="shared" si="11"/>
        <v>-3.9552686884009342E-2</v>
      </c>
      <c r="BQ14">
        <f t="shared" si="11"/>
        <v>-6.7897846923433303E-3</v>
      </c>
      <c r="BR14">
        <f t="shared" si="11"/>
        <v>2.7709410168622526E-2</v>
      </c>
      <c r="BS14">
        <f t="shared" si="11"/>
        <v>-2.4092971432997677E-2</v>
      </c>
      <c r="BT14">
        <f t="shared" si="11"/>
        <v>2.4940329626447644E-2</v>
      </c>
      <c r="BU14">
        <f t="shared" si="10"/>
        <v>-5.8495218971253713E-3</v>
      </c>
      <c r="BV14">
        <f t="shared" si="10"/>
        <v>1.0451669907502872E-2</v>
      </c>
      <c r="BW14">
        <f t="shared" si="10"/>
        <v>-1.992676558319406E-3</v>
      </c>
      <c r="BX14">
        <f t="shared" si="10"/>
        <v>2.4021642196741043E-2</v>
      </c>
      <c r="BY14">
        <f t="shared" si="10"/>
        <v>3.2981543457235293E-2</v>
      </c>
      <c r="BZ14">
        <f t="shared" si="10"/>
        <v>-0.11140327577536947</v>
      </c>
      <c r="CA14">
        <f t="shared" si="10"/>
        <v>0.83629623427140343</v>
      </c>
      <c r="CB14">
        <f t="shared" si="10"/>
        <v>-0.18889564859880029</v>
      </c>
      <c r="CC14">
        <f t="shared" si="10"/>
        <v>0.12176517837213294</v>
      </c>
      <c r="CD14">
        <f t="shared" si="10"/>
        <v>3.7752344159150426E-3</v>
      </c>
      <c r="CE14">
        <f t="shared" si="10"/>
        <v>1.6900699920149337E-2</v>
      </c>
      <c r="CG14">
        <f t="shared" si="5"/>
        <v>1</v>
      </c>
      <c r="CH14">
        <f t="shared" si="6"/>
        <v>1</v>
      </c>
      <c r="CJ14">
        <f t="shared" si="7"/>
        <v>4.7576378162036061E-2</v>
      </c>
      <c r="CL14">
        <f>SUMPRODUCT(AS14:CE14,Dimorfismo!AS14:CE14)</f>
        <v>1.2391400430268328E-2</v>
      </c>
      <c r="CM14">
        <f t="shared" si="8"/>
        <v>1.2391400430268328E-2</v>
      </c>
      <c r="CN14">
        <f t="shared" si="9"/>
        <v>1.239203470868454E-2</v>
      </c>
    </row>
    <row r="15" spans="1:92" x14ac:dyDescent="0.25">
      <c r="A15" t="s">
        <v>16</v>
      </c>
      <c r="B15">
        <v>-2.9930721025319558E-3</v>
      </c>
      <c r="C15">
        <v>-3.8041786178688912E-2</v>
      </c>
      <c r="D15">
        <v>-3.3292100559424116E-2</v>
      </c>
      <c r="E15">
        <v>3.9766467101483224E-3</v>
      </c>
      <c r="F15">
        <v>-5.0246625716993797E-3</v>
      </c>
      <c r="G15">
        <v>-3.6767130309836456E-3</v>
      </c>
      <c r="H15">
        <v>8.5437077884439369E-2</v>
      </c>
      <c r="I15">
        <v>4.1002080568713857E-2</v>
      </c>
      <c r="J15">
        <v>1.7474145852965604E-2</v>
      </c>
      <c r="K15">
        <v>-0.38044939253966009</v>
      </c>
      <c r="L15">
        <v>2.4060131413972115E-3</v>
      </c>
      <c r="M15">
        <v>2.6648093400061822E-2</v>
      </c>
      <c r="N15">
        <v>-0.21450860562753235</v>
      </c>
      <c r="O15">
        <v>-0.10709043427359091</v>
      </c>
      <c r="P15">
        <v>-3.60884353330434E-2</v>
      </c>
      <c r="Q15">
        <v>3.3374048683535634E-2</v>
      </c>
      <c r="R15">
        <v>3.7660703259327966E-2</v>
      </c>
      <c r="S15">
        <v>7.5024334571938814E-2</v>
      </c>
      <c r="T15">
        <v>7.0203652223732621E-2</v>
      </c>
      <c r="U15">
        <v>4.1622237278993737E-2</v>
      </c>
      <c r="V15">
        <v>-4.7524744162350061E-3</v>
      </c>
      <c r="W15">
        <v>-3.1697548888144182E-2</v>
      </c>
      <c r="X15">
        <v>-3.6479742134400519E-4</v>
      </c>
      <c r="Y15">
        <v>-3.955268681515782E-2</v>
      </c>
      <c r="Z15">
        <v>-6.789784680523981E-3</v>
      </c>
      <c r="AA15">
        <v>2.7709410120387242E-2</v>
      </c>
      <c r="AB15">
        <v>-2.4092971391057726E-2</v>
      </c>
      <c r="AC15">
        <v>2.4940329583032651E-2</v>
      </c>
      <c r="AD15">
        <v>-5.8495218869427891E-3</v>
      </c>
      <c r="AE15">
        <v>1.0451669889309078E-2</v>
      </c>
      <c r="AF15">
        <v>-1.9926765548506451E-3</v>
      </c>
      <c r="AG15">
        <v>2.4021642154925256E-2</v>
      </c>
      <c r="AH15">
        <v>3.2981543399822517E-2</v>
      </c>
      <c r="AI15">
        <v>-0.11140327558144371</v>
      </c>
      <c r="AJ15">
        <v>0.83629623281561682</v>
      </c>
      <c r="AK15">
        <v>-0.18889564826997932</v>
      </c>
      <c r="AL15">
        <v>0.12176517816016964</v>
      </c>
      <c r="AM15">
        <v>3.7752344093432855E-3</v>
      </c>
      <c r="AN15">
        <v>1.6900699890729363E-2</v>
      </c>
      <c r="AP15">
        <f t="shared" si="2"/>
        <v>0.99999999651849081</v>
      </c>
      <c r="AQ15">
        <f t="shared" si="3"/>
        <v>0.99999999825924535</v>
      </c>
      <c r="AS15">
        <f t="shared" si="4"/>
        <v>-2.9930721077421601E-3</v>
      </c>
      <c r="AT15">
        <f t="shared" si="4"/>
        <v>-3.8041786244910329E-2</v>
      </c>
      <c r="AU15">
        <f t="shared" si="4"/>
        <v>-3.3292100617377494E-2</v>
      </c>
      <c r="AV15">
        <f t="shared" si="4"/>
        <v>3.9766467170706888E-3</v>
      </c>
      <c r="AW15">
        <f t="shared" si="4"/>
        <v>-5.0246625804460845E-3</v>
      </c>
      <c r="AX15">
        <f t="shared" si="4"/>
        <v>-3.676713037383901E-3</v>
      </c>
      <c r="AY15">
        <f t="shared" si="4"/>
        <v>8.543707803316436E-2</v>
      </c>
      <c r="AZ15">
        <f t="shared" si="4"/>
        <v>4.1002080640088423E-2</v>
      </c>
      <c r="BA15">
        <f t="shared" si="4"/>
        <v>1.7474145883383804E-2</v>
      </c>
      <c r="BB15">
        <f t="shared" si="4"/>
        <v>-0.38044939320192916</v>
      </c>
      <c r="BC15">
        <f t="shared" si="4"/>
        <v>2.4060131455854901E-3</v>
      </c>
      <c r="BD15">
        <f t="shared" si="4"/>
        <v>2.6648093446449615E-2</v>
      </c>
      <c r="BE15">
        <f t="shared" si="4"/>
        <v>-0.21450860600093921</v>
      </c>
      <c r="BF15">
        <f t="shared" si="4"/>
        <v>-0.10709043446000908</v>
      </c>
      <c r="BG15">
        <f t="shared" si="4"/>
        <v>-3.608843539586451E-2</v>
      </c>
      <c r="BH15">
        <f t="shared" si="4"/>
        <v>3.3374048741631662E-2</v>
      </c>
      <c r="BI15">
        <f t="shared" si="11"/>
        <v>3.7660703324886011E-2</v>
      </c>
      <c r="BJ15">
        <f t="shared" si="11"/>
        <v>7.5024334702537776E-2</v>
      </c>
      <c r="BK15">
        <f t="shared" si="11"/>
        <v>7.0203652345939949E-2</v>
      </c>
      <c r="BL15">
        <f t="shared" si="11"/>
        <v>4.1622237351447842E-2</v>
      </c>
      <c r="BM15">
        <f t="shared" si="11"/>
        <v>-4.752474424507898E-3</v>
      </c>
      <c r="BN15">
        <f t="shared" si="11"/>
        <v>-3.1697548943321836E-2</v>
      </c>
      <c r="BO15">
        <f t="shared" si="11"/>
        <v>-3.6479742197902798E-4</v>
      </c>
      <c r="BP15">
        <f t="shared" si="11"/>
        <v>-3.9552686884009342E-2</v>
      </c>
      <c r="BQ15">
        <f t="shared" si="11"/>
        <v>-6.7897846923433303E-3</v>
      </c>
      <c r="BR15">
        <f t="shared" si="11"/>
        <v>2.7709410168622526E-2</v>
      </c>
      <c r="BS15">
        <f t="shared" si="11"/>
        <v>-2.4092971432997677E-2</v>
      </c>
      <c r="BT15">
        <f t="shared" si="11"/>
        <v>2.4940329626447644E-2</v>
      </c>
      <c r="BU15">
        <f t="shared" si="10"/>
        <v>-5.8495218971253713E-3</v>
      </c>
      <c r="BV15">
        <f t="shared" si="10"/>
        <v>1.0451669907502872E-2</v>
      </c>
      <c r="BW15">
        <f t="shared" si="10"/>
        <v>-1.992676558319406E-3</v>
      </c>
      <c r="BX15">
        <f t="shared" si="10"/>
        <v>2.4021642196741043E-2</v>
      </c>
      <c r="BY15">
        <f t="shared" si="10"/>
        <v>3.2981543457235293E-2</v>
      </c>
      <c r="BZ15">
        <f t="shared" si="10"/>
        <v>-0.11140327577536947</v>
      </c>
      <c r="CA15">
        <f t="shared" si="10"/>
        <v>0.83629623427140343</v>
      </c>
      <c r="CB15">
        <f t="shared" si="10"/>
        <v>-0.18889564859880029</v>
      </c>
      <c r="CC15">
        <f t="shared" si="10"/>
        <v>0.12176517837213294</v>
      </c>
      <c r="CD15">
        <f t="shared" si="10"/>
        <v>3.7752344159150426E-3</v>
      </c>
      <c r="CE15">
        <f t="shared" si="10"/>
        <v>1.6900699920149337E-2</v>
      </c>
      <c r="CG15">
        <f t="shared" si="5"/>
        <v>1</v>
      </c>
      <c r="CH15">
        <f t="shared" si="6"/>
        <v>1</v>
      </c>
      <c r="CJ15">
        <f t="shared" si="7"/>
        <v>4.7576378162036061E-2</v>
      </c>
      <c r="CL15">
        <f>SUMPRODUCT(AS15:CE15,Dimorfismo!AS15:CE15)</f>
        <v>1.1174760528011767E-2</v>
      </c>
      <c r="CM15">
        <f t="shared" si="8"/>
        <v>1.1174760528011767E-2</v>
      </c>
      <c r="CN15">
        <f t="shared" si="9"/>
        <v>1.1175225713289735E-2</v>
      </c>
    </row>
    <row r="16" spans="1:92" x14ac:dyDescent="0.25">
      <c r="A16" t="s">
        <v>17</v>
      </c>
      <c r="B16">
        <v>-2.9930721025319558E-3</v>
      </c>
      <c r="C16">
        <v>-3.8041786178688912E-2</v>
      </c>
      <c r="D16">
        <v>-3.3292100559424116E-2</v>
      </c>
      <c r="E16">
        <v>3.9766467101483224E-3</v>
      </c>
      <c r="F16">
        <v>-5.0246625716993797E-3</v>
      </c>
      <c r="G16">
        <v>-3.6767130309836456E-3</v>
      </c>
      <c r="H16">
        <v>8.5437077884439369E-2</v>
      </c>
      <c r="I16">
        <v>4.1002080568713857E-2</v>
      </c>
      <c r="J16">
        <v>1.7474145852965604E-2</v>
      </c>
      <c r="K16">
        <v>-0.38044939253966009</v>
      </c>
      <c r="L16">
        <v>2.4060131413972115E-3</v>
      </c>
      <c r="M16">
        <v>2.6648093400061822E-2</v>
      </c>
      <c r="N16">
        <v>-0.21450860562753235</v>
      </c>
      <c r="O16">
        <v>-0.10709043427359091</v>
      </c>
      <c r="P16">
        <v>-3.60884353330434E-2</v>
      </c>
      <c r="Q16">
        <v>3.3374048683535634E-2</v>
      </c>
      <c r="R16">
        <v>3.7660703259327966E-2</v>
      </c>
      <c r="S16">
        <v>7.5024334571938814E-2</v>
      </c>
      <c r="T16">
        <v>7.0203652223732621E-2</v>
      </c>
      <c r="U16">
        <v>4.1622237278993737E-2</v>
      </c>
      <c r="V16">
        <v>-4.7524744162350061E-3</v>
      </c>
      <c r="W16">
        <v>-3.1697548888144182E-2</v>
      </c>
      <c r="X16">
        <v>-3.6479742134400519E-4</v>
      </c>
      <c r="Y16">
        <v>-3.955268681515782E-2</v>
      </c>
      <c r="Z16">
        <v>-6.789784680523981E-3</v>
      </c>
      <c r="AA16">
        <v>2.7709410120387242E-2</v>
      </c>
      <c r="AB16">
        <v>-2.4092971391057726E-2</v>
      </c>
      <c r="AC16">
        <v>2.4940329583032651E-2</v>
      </c>
      <c r="AD16">
        <v>-5.8495218869427891E-3</v>
      </c>
      <c r="AE16">
        <v>1.0451669889309078E-2</v>
      </c>
      <c r="AF16">
        <v>-1.9926765548506451E-3</v>
      </c>
      <c r="AG16">
        <v>2.4021642154925256E-2</v>
      </c>
      <c r="AH16">
        <v>3.2981543399822517E-2</v>
      </c>
      <c r="AI16">
        <v>-0.11140327558144371</v>
      </c>
      <c r="AJ16">
        <v>0.83629623281561682</v>
      </c>
      <c r="AK16">
        <v>-0.18889564826997932</v>
      </c>
      <c r="AL16">
        <v>0.12176517816016964</v>
      </c>
      <c r="AM16">
        <v>3.7752344093432855E-3</v>
      </c>
      <c r="AN16">
        <v>1.6900699890729363E-2</v>
      </c>
      <c r="AP16">
        <f t="shared" si="2"/>
        <v>0.99999999651849081</v>
      </c>
      <c r="AQ16">
        <f t="shared" si="3"/>
        <v>0.99999999825924535</v>
      </c>
      <c r="AS16">
        <f t="shared" si="4"/>
        <v>-2.9930721077421601E-3</v>
      </c>
      <c r="AT16">
        <f t="shared" si="4"/>
        <v>-3.8041786244910329E-2</v>
      </c>
      <c r="AU16">
        <f t="shared" si="4"/>
        <v>-3.3292100617377494E-2</v>
      </c>
      <c r="AV16">
        <f t="shared" si="4"/>
        <v>3.9766467170706888E-3</v>
      </c>
      <c r="AW16">
        <f t="shared" si="4"/>
        <v>-5.0246625804460845E-3</v>
      </c>
      <c r="AX16">
        <f t="shared" si="4"/>
        <v>-3.676713037383901E-3</v>
      </c>
      <c r="AY16">
        <f t="shared" si="4"/>
        <v>8.543707803316436E-2</v>
      </c>
      <c r="AZ16">
        <f t="shared" si="4"/>
        <v>4.1002080640088423E-2</v>
      </c>
      <c r="BA16">
        <f t="shared" si="4"/>
        <v>1.7474145883383804E-2</v>
      </c>
      <c r="BB16">
        <f t="shared" si="4"/>
        <v>-0.38044939320192916</v>
      </c>
      <c r="BC16">
        <f t="shared" si="4"/>
        <v>2.4060131455854901E-3</v>
      </c>
      <c r="BD16">
        <f t="shared" si="4"/>
        <v>2.6648093446449615E-2</v>
      </c>
      <c r="BE16">
        <f t="shared" si="4"/>
        <v>-0.21450860600093921</v>
      </c>
      <c r="BF16">
        <f t="shared" si="4"/>
        <v>-0.10709043446000908</v>
      </c>
      <c r="BG16">
        <f t="shared" si="4"/>
        <v>-3.608843539586451E-2</v>
      </c>
      <c r="BH16">
        <f t="shared" si="4"/>
        <v>3.3374048741631662E-2</v>
      </c>
      <c r="BI16">
        <f t="shared" si="11"/>
        <v>3.7660703324886011E-2</v>
      </c>
      <c r="BJ16">
        <f t="shared" si="11"/>
        <v>7.5024334702537776E-2</v>
      </c>
      <c r="BK16">
        <f t="shared" si="11"/>
        <v>7.0203652345939949E-2</v>
      </c>
      <c r="BL16">
        <f t="shared" si="11"/>
        <v>4.1622237351447842E-2</v>
      </c>
      <c r="BM16">
        <f t="shared" si="11"/>
        <v>-4.752474424507898E-3</v>
      </c>
      <c r="BN16">
        <f t="shared" si="11"/>
        <v>-3.1697548943321836E-2</v>
      </c>
      <c r="BO16">
        <f t="shared" si="11"/>
        <v>-3.6479742197902798E-4</v>
      </c>
      <c r="BP16">
        <f t="shared" si="11"/>
        <v>-3.9552686884009342E-2</v>
      </c>
      <c r="BQ16">
        <f t="shared" si="11"/>
        <v>-6.7897846923433303E-3</v>
      </c>
      <c r="BR16">
        <f t="shared" si="11"/>
        <v>2.7709410168622526E-2</v>
      </c>
      <c r="BS16">
        <f t="shared" si="11"/>
        <v>-2.4092971432997677E-2</v>
      </c>
      <c r="BT16">
        <f t="shared" si="11"/>
        <v>2.4940329626447644E-2</v>
      </c>
      <c r="BU16">
        <f t="shared" si="10"/>
        <v>-5.8495218971253713E-3</v>
      </c>
      <c r="BV16">
        <f t="shared" si="10"/>
        <v>1.0451669907502872E-2</v>
      </c>
      <c r="BW16">
        <f t="shared" si="10"/>
        <v>-1.992676558319406E-3</v>
      </c>
      <c r="BX16">
        <f t="shared" si="10"/>
        <v>2.4021642196741043E-2</v>
      </c>
      <c r="BY16">
        <f t="shared" si="10"/>
        <v>3.2981543457235293E-2</v>
      </c>
      <c r="BZ16">
        <f t="shared" si="10"/>
        <v>-0.11140327577536947</v>
      </c>
      <c r="CA16">
        <f t="shared" si="10"/>
        <v>0.83629623427140343</v>
      </c>
      <c r="CB16">
        <f t="shared" si="10"/>
        <v>-0.18889564859880029</v>
      </c>
      <c r="CC16">
        <f t="shared" si="10"/>
        <v>0.12176517837213294</v>
      </c>
      <c r="CD16">
        <f t="shared" si="10"/>
        <v>3.7752344159150426E-3</v>
      </c>
      <c r="CE16">
        <f t="shared" si="10"/>
        <v>1.6900699920149337E-2</v>
      </c>
      <c r="CG16">
        <f t="shared" si="5"/>
        <v>1</v>
      </c>
      <c r="CH16">
        <f t="shared" si="6"/>
        <v>1</v>
      </c>
      <c r="CJ16">
        <f t="shared" si="7"/>
        <v>4.7576378162036061E-2</v>
      </c>
      <c r="CL16">
        <f>SUMPRODUCT(AS16:CE16,Dimorfismo!AS16:CE16)</f>
        <v>0.40478177917103769</v>
      </c>
      <c r="CM16">
        <f t="shared" si="8"/>
        <v>0.40478177917103769</v>
      </c>
      <c r="CN16">
        <f t="shared" si="9"/>
        <v>0.42935457819333728</v>
      </c>
    </row>
    <row r="17" spans="1:92" x14ac:dyDescent="0.25">
      <c r="A17" t="s">
        <v>18</v>
      </c>
      <c r="B17">
        <v>-2.9930721025319558E-3</v>
      </c>
      <c r="C17">
        <v>-3.8041786178688912E-2</v>
      </c>
      <c r="D17">
        <v>-3.3292100559424116E-2</v>
      </c>
      <c r="E17">
        <v>3.9766467101483224E-3</v>
      </c>
      <c r="F17">
        <v>-5.0246625716993797E-3</v>
      </c>
      <c r="G17">
        <v>-3.6767130309836456E-3</v>
      </c>
      <c r="H17">
        <v>8.5437077884439369E-2</v>
      </c>
      <c r="I17">
        <v>4.1002080568713857E-2</v>
      </c>
      <c r="J17">
        <v>1.7474145852965604E-2</v>
      </c>
      <c r="K17">
        <v>-0.38044939253966009</v>
      </c>
      <c r="L17">
        <v>2.4060131413972115E-3</v>
      </c>
      <c r="M17">
        <v>2.6648093400061822E-2</v>
      </c>
      <c r="N17">
        <v>-0.21450860562753235</v>
      </c>
      <c r="O17">
        <v>-0.10709043427359091</v>
      </c>
      <c r="P17">
        <v>-3.60884353330434E-2</v>
      </c>
      <c r="Q17">
        <v>3.3374048683535634E-2</v>
      </c>
      <c r="R17">
        <v>3.7660703259327966E-2</v>
      </c>
      <c r="S17">
        <v>7.5024334571938814E-2</v>
      </c>
      <c r="T17">
        <v>7.0203652223732621E-2</v>
      </c>
      <c r="U17">
        <v>4.1622237278993737E-2</v>
      </c>
      <c r="V17">
        <v>-4.7524744162350061E-3</v>
      </c>
      <c r="W17">
        <v>-3.1697548888144182E-2</v>
      </c>
      <c r="X17">
        <v>-3.6479742134400519E-4</v>
      </c>
      <c r="Y17">
        <v>-3.955268681515782E-2</v>
      </c>
      <c r="Z17">
        <v>-6.789784680523981E-3</v>
      </c>
      <c r="AA17">
        <v>2.7709410120387242E-2</v>
      </c>
      <c r="AB17">
        <v>-2.4092971391057726E-2</v>
      </c>
      <c r="AC17">
        <v>2.4940329583032651E-2</v>
      </c>
      <c r="AD17">
        <v>-5.8495218869427891E-3</v>
      </c>
      <c r="AE17">
        <v>1.0451669889309078E-2</v>
      </c>
      <c r="AF17">
        <v>-1.9926765548506451E-3</v>
      </c>
      <c r="AG17">
        <v>2.4021642154925256E-2</v>
      </c>
      <c r="AH17">
        <v>3.2981543399822517E-2</v>
      </c>
      <c r="AI17">
        <v>-0.11140327558144371</v>
      </c>
      <c r="AJ17">
        <v>0.83629623281561682</v>
      </c>
      <c r="AK17">
        <v>-0.18889564826997932</v>
      </c>
      <c r="AL17">
        <v>0.12176517816016964</v>
      </c>
      <c r="AM17">
        <v>3.7752344093432855E-3</v>
      </c>
      <c r="AN17">
        <v>1.6900699890729363E-2</v>
      </c>
      <c r="AP17">
        <f t="shared" si="2"/>
        <v>0.99999999651849081</v>
      </c>
      <c r="AQ17">
        <f t="shared" si="3"/>
        <v>0.99999999825924535</v>
      </c>
      <c r="AS17">
        <f t="shared" si="4"/>
        <v>-2.9930721077421601E-3</v>
      </c>
      <c r="AT17">
        <f t="shared" si="4"/>
        <v>-3.8041786244910329E-2</v>
      </c>
      <c r="AU17">
        <f t="shared" si="4"/>
        <v>-3.3292100617377494E-2</v>
      </c>
      <c r="AV17">
        <f t="shared" si="4"/>
        <v>3.9766467170706888E-3</v>
      </c>
      <c r="AW17">
        <f t="shared" si="4"/>
        <v>-5.0246625804460845E-3</v>
      </c>
      <c r="AX17">
        <f t="shared" si="4"/>
        <v>-3.676713037383901E-3</v>
      </c>
      <c r="AY17">
        <f t="shared" si="4"/>
        <v>8.543707803316436E-2</v>
      </c>
      <c r="AZ17">
        <f t="shared" si="4"/>
        <v>4.1002080640088423E-2</v>
      </c>
      <c r="BA17">
        <f t="shared" si="4"/>
        <v>1.7474145883383804E-2</v>
      </c>
      <c r="BB17">
        <f t="shared" si="4"/>
        <v>-0.38044939320192916</v>
      </c>
      <c r="BC17">
        <f t="shared" si="4"/>
        <v>2.4060131455854901E-3</v>
      </c>
      <c r="BD17">
        <f t="shared" si="4"/>
        <v>2.6648093446449615E-2</v>
      </c>
      <c r="BE17">
        <f t="shared" si="4"/>
        <v>-0.21450860600093921</v>
      </c>
      <c r="BF17">
        <f t="shared" si="4"/>
        <v>-0.10709043446000908</v>
      </c>
      <c r="BG17">
        <f t="shared" si="4"/>
        <v>-3.608843539586451E-2</v>
      </c>
      <c r="BH17">
        <f t="shared" si="4"/>
        <v>3.3374048741631662E-2</v>
      </c>
      <c r="BI17">
        <f t="shared" si="11"/>
        <v>3.7660703324886011E-2</v>
      </c>
      <c r="BJ17">
        <f t="shared" si="11"/>
        <v>7.5024334702537776E-2</v>
      </c>
      <c r="BK17">
        <f t="shared" si="11"/>
        <v>7.0203652345939949E-2</v>
      </c>
      <c r="BL17">
        <f t="shared" si="11"/>
        <v>4.1622237351447842E-2</v>
      </c>
      <c r="BM17">
        <f t="shared" si="11"/>
        <v>-4.752474424507898E-3</v>
      </c>
      <c r="BN17">
        <f t="shared" si="11"/>
        <v>-3.1697548943321836E-2</v>
      </c>
      <c r="BO17">
        <f t="shared" si="11"/>
        <v>-3.6479742197902798E-4</v>
      </c>
      <c r="BP17">
        <f t="shared" si="11"/>
        <v>-3.9552686884009342E-2</v>
      </c>
      <c r="BQ17">
        <f t="shared" si="11"/>
        <v>-6.7897846923433303E-3</v>
      </c>
      <c r="BR17">
        <f t="shared" si="11"/>
        <v>2.7709410168622526E-2</v>
      </c>
      <c r="BS17">
        <f t="shared" si="11"/>
        <v>-2.4092971432997677E-2</v>
      </c>
      <c r="BT17">
        <f t="shared" si="11"/>
        <v>2.4940329626447644E-2</v>
      </c>
      <c r="BU17">
        <f t="shared" si="10"/>
        <v>-5.8495218971253713E-3</v>
      </c>
      <c r="BV17">
        <f t="shared" si="10"/>
        <v>1.0451669907502872E-2</v>
      </c>
      <c r="BW17">
        <f t="shared" si="10"/>
        <v>-1.992676558319406E-3</v>
      </c>
      <c r="BX17">
        <f t="shared" si="10"/>
        <v>2.4021642196741043E-2</v>
      </c>
      <c r="BY17">
        <f t="shared" si="10"/>
        <v>3.2981543457235293E-2</v>
      </c>
      <c r="BZ17">
        <f t="shared" si="10"/>
        <v>-0.11140327577536947</v>
      </c>
      <c r="CA17">
        <f t="shared" si="10"/>
        <v>0.83629623427140343</v>
      </c>
      <c r="CB17">
        <f t="shared" si="10"/>
        <v>-0.18889564859880029</v>
      </c>
      <c r="CC17">
        <f t="shared" si="10"/>
        <v>0.12176517837213294</v>
      </c>
      <c r="CD17">
        <f t="shared" si="10"/>
        <v>3.7752344159150426E-3</v>
      </c>
      <c r="CE17">
        <f t="shared" si="10"/>
        <v>1.6900699920149337E-2</v>
      </c>
      <c r="CG17">
        <f t="shared" si="5"/>
        <v>1</v>
      </c>
      <c r="CH17">
        <f t="shared" si="6"/>
        <v>1</v>
      </c>
      <c r="CJ17">
        <f t="shared" si="7"/>
        <v>4.7576378162036061E-2</v>
      </c>
      <c r="CL17">
        <f>SUMPRODUCT(AS17:CE17,Dimorfismo!AS17:CE17)</f>
        <v>0.2819051467887933</v>
      </c>
      <c r="CM17">
        <f t="shared" si="8"/>
        <v>0.2819051467887933</v>
      </c>
      <c r="CN17">
        <f t="shared" si="9"/>
        <v>0.28975048920988117</v>
      </c>
    </row>
    <row r="18" spans="1:92" x14ac:dyDescent="0.25">
      <c r="A18" t="s">
        <v>19</v>
      </c>
      <c r="B18">
        <v>-2.9930721025319558E-3</v>
      </c>
      <c r="C18">
        <v>-3.8041786178688912E-2</v>
      </c>
      <c r="D18">
        <v>-3.3292100559424116E-2</v>
      </c>
      <c r="E18">
        <v>3.9766467101483224E-3</v>
      </c>
      <c r="F18">
        <v>-5.0246625716993797E-3</v>
      </c>
      <c r="G18">
        <v>-3.6767130309836456E-3</v>
      </c>
      <c r="H18">
        <v>8.5437077884439369E-2</v>
      </c>
      <c r="I18">
        <v>4.1002080568713857E-2</v>
      </c>
      <c r="J18">
        <v>1.7474145852965604E-2</v>
      </c>
      <c r="K18">
        <v>-0.38044939253966009</v>
      </c>
      <c r="L18">
        <v>2.4060131413972115E-3</v>
      </c>
      <c r="M18">
        <v>2.6648093400061822E-2</v>
      </c>
      <c r="N18">
        <v>-0.21450860562753235</v>
      </c>
      <c r="O18">
        <v>-0.10709043427359091</v>
      </c>
      <c r="P18">
        <v>-3.60884353330434E-2</v>
      </c>
      <c r="Q18">
        <v>3.3374048683535634E-2</v>
      </c>
      <c r="R18">
        <v>3.7660703259327966E-2</v>
      </c>
      <c r="S18">
        <v>7.5024334571938814E-2</v>
      </c>
      <c r="T18">
        <v>7.0203652223732621E-2</v>
      </c>
      <c r="U18">
        <v>4.1622237278993737E-2</v>
      </c>
      <c r="V18">
        <v>-4.7524744162350061E-3</v>
      </c>
      <c r="W18">
        <v>-3.1697548888144182E-2</v>
      </c>
      <c r="X18">
        <v>-3.6479742134400519E-4</v>
      </c>
      <c r="Y18">
        <v>-3.955268681515782E-2</v>
      </c>
      <c r="Z18">
        <v>-6.789784680523981E-3</v>
      </c>
      <c r="AA18">
        <v>2.7709410120387242E-2</v>
      </c>
      <c r="AB18">
        <v>-2.4092971391057726E-2</v>
      </c>
      <c r="AC18">
        <v>2.4940329583032651E-2</v>
      </c>
      <c r="AD18">
        <v>-5.8495218869427891E-3</v>
      </c>
      <c r="AE18">
        <v>1.0451669889309078E-2</v>
      </c>
      <c r="AF18">
        <v>-1.9926765548506451E-3</v>
      </c>
      <c r="AG18">
        <v>2.4021642154925256E-2</v>
      </c>
      <c r="AH18">
        <v>3.2981543399822517E-2</v>
      </c>
      <c r="AI18">
        <v>-0.11140327558144371</v>
      </c>
      <c r="AJ18">
        <v>0.83629623281561682</v>
      </c>
      <c r="AK18">
        <v>-0.18889564826997932</v>
      </c>
      <c r="AL18">
        <v>0.12176517816016964</v>
      </c>
      <c r="AM18">
        <v>3.7752344093432855E-3</v>
      </c>
      <c r="AN18">
        <v>1.6900699890729363E-2</v>
      </c>
      <c r="AP18">
        <f t="shared" si="2"/>
        <v>0.99999999651849081</v>
      </c>
      <c r="AQ18">
        <f t="shared" si="3"/>
        <v>0.99999999825924535</v>
      </c>
      <c r="AS18">
        <f t="shared" si="4"/>
        <v>-2.9930721077421601E-3</v>
      </c>
      <c r="AT18">
        <f t="shared" si="4"/>
        <v>-3.8041786244910329E-2</v>
      </c>
      <c r="AU18">
        <f t="shared" si="4"/>
        <v>-3.3292100617377494E-2</v>
      </c>
      <c r="AV18">
        <f t="shared" si="4"/>
        <v>3.9766467170706888E-3</v>
      </c>
      <c r="AW18">
        <f t="shared" si="4"/>
        <v>-5.0246625804460845E-3</v>
      </c>
      <c r="AX18">
        <f t="shared" si="4"/>
        <v>-3.676713037383901E-3</v>
      </c>
      <c r="AY18">
        <f t="shared" si="4"/>
        <v>8.543707803316436E-2</v>
      </c>
      <c r="AZ18">
        <f t="shared" si="4"/>
        <v>4.1002080640088423E-2</v>
      </c>
      <c r="BA18">
        <f t="shared" si="4"/>
        <v>1.7474145883383804E-2</v>
      </c>
      <c r="BB18">
        <f t="shared" si="4"/>
        <v>-0.38044939320192916</v>
      </c>
      <c r="BC18">
        <f t="shared" si="4"/>
        <v>2.4060131455854901E-3</v>
      </c>
      <c r="BD18">
        <f t="shared" si="4"/>
        <v>2.6648093446449615E-2</v>
      </c>
      <c r="BE18">
        <f t="shared" si="4"/>
        <v>-0.21450860600093921</v>
      </c>
      <c r="BF18">
        <f t="shared" si="4"/>
        <v>-0.10709043446000908</v>
      </c>
      <c r="BG18">
        <f t="shared" si="4"/>
        <v>-3.608843539586451E-2</v>
      </c>
      <c r="BH18">
        <f t="shared" si="4"/>
        <v>3.3374048741631662E-2</v>
      </c>
      <c r="BI18">
        <f t="shared" si="11"/>
        <v>3.7660703324886011E-2</v>
      </c>
      <c r="BJ18">
        <f t="shared" si="11"/>
        <v>7.5024334702537776E-2</v>
      </c>
      <c r="BK18">
        <f t="shared" si="11"/>
        <v>7.0203652345939949E-2</v>
      </c>
      <c r="BL18">
        <f t="shared" si="11"/>
        <v>4.1622237351447842E-2</v>
      </c>
      <c r="BM18">
        <f t="shared" si="11"/>
        <v>-4.752474424507898E-3</v>
      </c>
      <c r="BN18">
        <f t="shared" si="11"/>
        <v>-3.1697548943321836E-2</v>
      </c>
      <c r="BO18">
        <f t="shared" si="11"/>
        <v>-3.6479742197902798E-4</v>
      </c>
      <c r="BP18">
        <f t="shared" si="11"/>
        <v>-3.9552686884009342E-2</v>
      </c>
      <c r="BQ18">
        <f t="shared" si="11"/>
        <v>-6.7897846923433303E-3</v>
      </c>
      <c r="BR18">
        <f t="shared" si="11"/>
        <v>2.7709410168622526E-2</v>
      </c>
      <c r="BS18">
        <f t="shared" si="11"/>
        <v>-2.4092971432997677E-2</v>
      </c>
      <c r="BT18">
        <f t="shared" si="11"/>
        <v>2.4940329626447644E-2</v>
      </c>
      <c r="BU18">
        <f t="shared" si="10"/>
        <v>-5.8495218971253713E-3</v>
      </c>
      <c r="BV18">
        <f t="shared" si="10"/>
        <v>1.0451669907502872E-2</v>
      </c>
      <c r="BW18">
        <f t="shared" si="10"/>
        <v>-1.992676558319406E-3</v>
      </c>
      <c r="BX18">
        <f t="shared" si="10"/>
        <v>2.4021642196741043E-2</v>
      </c>
      <c r="BY18">
        <f t="shared" si="10"/>
        <v>3.2981543457235293E-2</v>
      </c>
      <c r="BZ18">
        <f t="shared" si="10"/>
        <v>-0.11140327577536947</v>
      </c>
      <c r="CA18">
        <f t="shared" si="10"/>
        <v>0.83629623427140343</v>
      </c>
      <c r="CB18">
        <f t="shared" si="10"/>
        <v>-0.18889564859880029</v>
      </c>
      <c r="CC18">
        <f t="shared" si="10"/>
        <v>0.12176517837213294</v>
      </c>
      <c r="CD18">
        <f t="shared" si="10"/>
        <v>3.7752344159150426E-3</v>
      </c>
      <c r="CE18">
        <f t="shared" si="10"/>
        <v>1.6900699920149337E-2</v>
      </c>
      <c r="CG18">
        <f t="shared" si="5"/>
        <v>1</v>
      </c>
      <c r="CH18">
        <f t="shared" si="6"/>
        <v>1</v>
      </c>
      <c r="CJ18">
        <f t="shared" si="7"/>
        <v>4.7576378162036061E-2</v>
      </c>
      <c r="CL18">
        <f>SUMPRODUCT(AS18:CE18,Dimorfismo!AS18:CE18)</f>
        <v>-8.4012844958220326E-2</v>
      </c>
      <c r="CM18">
        <f t="shared" si="8"/>
        <v>8.4012844958220326E-2</v>
      </c>
      <c r="CN18">
        <f t="shared" si="9"/>
        <v>8.4211344913092123E-2</v>
      </c>
    </row>
    <row r="19" spans="1:92" x14ac:dyDescent="0.25">
      <c r="A19" t="s">
        <v>20</v>
      </c>
      <c r="B19">
        <v>-2.9930721025319558E-3</v>
      </c>
      <c r="C19">
        <v>-3.8041786178688912E-2</v>
      </c>
      <c r="D19">
        <v>-3.3292100559424116E-2</v>
      </c>
      <c r="E19">
        <v>3.9766467101483224E-3</v>
      </c>
      <c r="F19">
        <v>-5.0246625716993797E-3</v>
      </c>
      <c r="G19">
        <v>-3.6767130309836456E-3</v>
      </c>
      <c r="H19">
        <v>8.5437077884439369E-2</v>
      </c>
      <c r="I19">
        <v>4.1002080568713857E-2</v>
      </c>
      <c r="J19">
        <v>1.7474145852965604E-2</v>
      </c>
      <c r="K19">
        <v>-0.38044939253966009</v>
      </c>
      <c r="L19">
        <v>2.4060131413972115E-3</v>
      </c>
      <c r="M19">
        <v>2.6648093400061822E-2</v>
      </c>
      <c r="N19">
        <v>-0.21450860562753235</v>
      </c>
      <c r="O19">
        <v>-0.10709043427359091</v>
      </c>
      <c r="P19">
        <v>-3.60884353330434E-2</v>
      </c>
      <c r="Q19">
        <v>3.3374048683535634E-2</v>
      </c>
      <c r="R19">
        <v>3.7660703259327966E-2</v>
      </c>
      <c r="S19">
        <v>7.5024334571938814E-2</v>
      </c>
      <c r="T19">
        <v>7.0203652223732621E-2</v>
      </c>
      <c r="U19">
        <v>4.1622237278993737E-2</v>
      </c>
      <c r="V19">
        <v>-4.7524744162350061E-3</v>
      </c>
      <c r="W19">
        <v>-3.1697548888144182E-2</v>
      </c>
      <c r="X19">
        <v>-3.6479742134400519E-4</v>
      </c>
      <c r="Y19">
        <v>-3.955268681515782E-2</v>
      </c>
      <c r="Z19">
        <v>-6.789784680523981E-3</v>
      </c>
      <c r="AA19">
        <v>2.7709410120387242E-2</v>
      </c>
      <c r="AB19">
        <v>-2.4092971391057726E-2</v>
      </c>
      <c r="AC19">
        <v>2.4940329583032651E-2</v>
      </c>
      <c r="AD19">
        <v>-5.8495218869427891E-3</v>
      </c>
      <c r="AE19">
        <v>1.0451669889309078E-2</v>
      </c>
      <c r="AF19">
        <v>-1.9926765548506451E-3</v>
      </c>
      <c r="AG19">
        <v>2.4021642154925256E-2</v>
      </c>
      <c r="AH19">
        <v>3.2981543399822517E-2</v>
      </c>
      <c r="AI19">
        <v>-0.11140327558144371</v>
      </c>
      <c r="AJ19">
        <v>0.83629623281561682</v>
      </c>
      <c r="AK19">
        <v>-0.18889564826997932</v>
      </c>
      <c r="AL19">
        <v>0.12176517816016964</v>
      </c>
      <c r="AM19">
        <v>3.7752344093432855E-3</v>
      </c>
      <c r="AN19">
        <v>1.6900699890729363E-2</v>
      </c>
      <c r="AP19">
        <f t="shared" si="2"/>
        <v>0.99999999651849081</v>
      </c>
      <c r="AQ19">
        <f t="shared" si="3"/>
        <v>0.99999999825924535</v>
      </c>
      <c r="AS19">
        <f t="shared" si="4"/>
        <v>-2.9930721077421601E-3</v>
      </c>
      <c r="AT19">
        <f t="shared" si="4"/>
        <v>-3.8041786244910329E-2</v>
      </c>
      <c r="AU19">
        <f t="shared" si="4"/>
        <v>-3.3292100617377494E-2</v>
      </c>
      <c r="AV19">
        <f t="shared" si="4"/>
        <v>3.9766467170706888E-3</v>
      </c>
      <c r="AW19">
        <f t="shared" si="4"/>
        <v>-5.0246625804460845E-3</v>
      </c>
      <c r="AX19">
        <f t="shared" si="4"/>
        <v>-3.676713037383901E-3</v>
      </c>
      <c r="AY19">
        <f t="shared" si="4"/>
        <v>8.543707803316436E-2</v>
      </c>
      <c r="AZ19">
        <f t="shared" si="4"/>
        <v>4.1002080640088423E-2</v>
      </c>
      <c r="BA19">
        <f t="shared" si="4"/>
        <v>1.7474145883383804E-2</v>
      </c>
      <c r="BB19">
        <f t="shared" si="4"/>
        <v>-0.38044939320192916</v>
      </c>
      <c r="BC19">
        <f t="shared" si="4"/>
        <v>2.4060131455854901E-3</v>
      </c>
      <c r="BD19">
        <f t="shared" si="4"/>
        <v>2.6648093446449615E-2</v>
      </c>
      <c r="BE19">
        <f t="shared" si="4"/>
        <v>-0.21450860600093921</v>
      </c>
      <c r="BF19">
        <f t="shared" si="4"/>
        <v>-0.10709043446000908</v>
      </c>
      <c r="BG19">
        <f t="shared" si="4"/>
        <v>-3.608843539586451E-2</v>
      </c>
      <c r="BH19">
        <f t="shared" si="4"/>
        <v>3.3374048741631662E-2</v>
      </c>
      <c r="BI19">
        <f t="shared" si="11"/>
        <v>3.7660703324886011E-2</v>
      </c>
      <c r="BJ19">
        <f t="shared" si="11"/>
        <v>7.5024334702537776E-2</v>
      </c>
      <c r="BK19">
        <f t="shared" si="11"/>
        <v>7.0203652345939949E-2</v>
      </c>
      <c r="BL19">
        <f t="shared" si="11"/>
        <v>4.1622237351447842E-2</v>
      </c>
      <c r="BM19">
        <f t="shared" si="11"/>
        <v>-4.752474424507898E-3</v>
      </c>
      <c r="BN19">
        <f t="shared" si="11"/>
        <v>-3.1697548943321836E-2</v>
      </c>
      <c r="BO19">
        <f t="shared" si="11"/>
        <v>-3.6479742197902798E-4</v>
      </c>
      <c r="BP19">
        <f t="shared" si="11"/>
        <v>-3.9552686884009342E-2</v>
      </c>
      <c r="BQ19">
        <f t="shared" si="11"/>
        <v>-6.7897846923433303E-3</v>
      </c>
      <c r="BR19">
        <f t="shared" si="11"/>
        <v>2.7709410168622526E-2</v>
      </c>
      <c r="BS19">
        <f t="shared" si="11"/>
        <v>-2.4092971432997677E-2</v>
      </c>
      <c r="BT19">
        <f t="shared" si="11"/>
        <v>2.4940329626447644E-2</v>
      </c>
      <c r="BU19">
        <f t="shared" si="10"/>
        <v>-5.8495218971253713E-3</v>
      </c>
      <c r="BV19">
        <f t="shared" si="10"/>
        <v>1.0451669907502872E-2</v>
      </c>
      <c r="BW19">
        <f t="shared" si="10"/>
        <v>-1.992676558319406E-3</v>
      </c>
      <c r="BX19">
        <f t="shared" si="10"/>
        <v>2.4021642196741043E-2</v>
      </c>
      <c r="BY19">
        <f t="shared" si="10"/>
        <v>3.2981543457235293E-2</v>
      </c>
      <c r="BZ19">
        <f t="shared" si="10"/>
        <v>-0.11140327577536947</v>
      </c>
      <c r="CA19">
        <f t="shared" si="10"/>
        <v>0.83629623427140343</v>
      </c>
      <c r="CB19">
        <f t="shared" si="10"/>
        <v>-0.18889564859880029</v>
      </c>
      <c r="CC19">
        <f t="shared" si="10"/>
        <v>0.12176517837213294</v>
      </c>
      <c r="CD19">
        <f t="shared" si="10"/>
        <v>3.7752344159150426E-3</v>
      </c>
      <c r="CE19">
        <f t="shared" si="10"/>
        <v>1.6900699920149337E-2</v>
      </c>
      <c r="CG19">
        <f t="shared" si="5"/>
        <v>1</v>
      </c>
      <c r="CH19">
        <f t="shared" si="6"/>
        <v>1</v>
      </c>
      <c r="CJ19">
        <f t="shared" si="7"/>
        <v>4.7576378162036061E-2</v>
      </c>
      <c r="CL19">
        <f>SUMPRODUCT(AS19:CE19,Dimorfismo!AS19:CE19)</f>
        <v>-3.9384776781464993E-2</v>
      </c>
      <c r="CM19">
        <f t="shared" si="8"/>
        <v>3.9384776781464993E-2</v>
      </c>
      <c r="CN19">
        <f t="shared" si="9"/>
        <v>3.9405159793773972E-2</v>
      </c>
    </row>
    <row r="20" spans="1:92" x14ac:dyDescent="0.25">
      <c r="A20" t="s">
        <v>21</v>
      </c>
      <c r="B20">
        <v>-2.9930721025319558E-3</v>
      </c>
      <c r="C20">
        <v>-3.8041786178688912E-2</v>
      </c>
      <c r="D20">
        <v>-3.3292100559424116E-2</v>
      </c>
      <c r="E20">
        <v>3.9766467101483224E-3</v>
      </c>
      <c r="F20">
        <v>-5.0246625716993797E-3</v>
      </c>
      <c r="G20">
        <v>-3.6767130309836456E-3</v>
      </c>
      <c r="H20">
        <v>8.5437077884439369E-2</v>
      </c>
      <c r="I20">
        <v>4.1002080568713857E-2</v>
      </c>
      <c r="J20">
        <v>1.7474145852965604E-2</v>
      </c>
      <c r="K20">
        <v>-0.38044939253966009</v>
      </c>
      <c r="L20">
        <v>2.4060131413972115E-3</v>
      </c>
      <c r="M20">
        <v>2.6648093400061822E-2</v>
      </c>
      <c r="N20">
        <v>-0.21450860562753235</v>
      </c>
      <c r="O20">
        <v>-0.10709043427359091</v>
      </c>
      <c r="P20">
        <v>-3.60884353330434E-2</v>
      </c>
      <c r="Q20">
        <v>3.3374048683535634E-2</v>
      </c>
      <c r="R20">
        <v>3.7660703259327966E-2</v>
      </c>
      <c r="S20">
        <v>7.5024334571938814E-2</v>
      </c>
      <c r="T20">
        <v>7.0203652223732621E-2</v>
      </c>
      <c r="U20">
        <v>4.1622237278993737E-2</v>
      </c>
      <c r="V20">
        <v>-4.7524744162350061E-3</v>
      </c>
      <c r="W20">
        <v>-3.1697548888144182E-2</v>
      </c>
      <c r="X20">
        <v>-3.6479742134400519E-4</v>
      </c>
      <c r="Y20">
        <v>-3.955268681515782E-2</v>
      </c>
      <c r="Z20">
        <v>-6.789784680523981E-3</v>
      </c>
      <c r="AA20">
        <v>2.7709410120387242E-2</v>
      </c>
      <c r="AB20">
        <v>-2.4092971391057726E-2</v>
      </c>
      <c r="AC20">
        <v>2.4940329583032651E-2</v>
      </c>
      <c r="AD20">
        <v>-5.8495218869427891E-3</v>
      </c>
      <c r="AE20">
        <v>1.0451669889309078E-2</v>
      </c>
      <c r="AF20">
        <v>-1.9926765548506451E-3</v>
      </c>
      <c r="AG20">
        <v>2.4021642154925256E-2</v>
      </c>
      <c r="AH20">
        <v>3.2981543399822517E-2</v>
      </c>
      <c r="AI20">
        <v>-0.11140327558144371</v>
      </c>
      <c r="AJ20">
        <v>0.83629623281561682</v>
      </c>
      <c r="AK20">
        <v>-0.18889564826997932</v>
      </c>
      <c r="AL20">
        <v>0.12176517816016964</v>
      </c>
      <c r="AM20">
        <v>3.7752344093432855E-3</v>
      </c>
      <c r="AN20">
        <v>1.6900699890729363E-2</v>
      </c>
      <c r="AP20">
        <f t="shared" si="2"/>
        <v>0.99999999651849081</v>
      </c>
      <c r="AQ20">
        <f t="shared" si="3"/>
        <v>0.99999999825924535</v>
      </c>
      <c r="AS20">
        <f t="shared" si="4"/>
        <v>-2.9930721077421601E-3</v>
      </c>
      <c r="AT20">
        <f t="shared" si="4"/>
        <v>-3.8041786244910329E-2</v>
      </c>
      <c r="AU20">
        <f t="shared" si="4"/>
        <v>-3.3292100617377494E-2</v>
      </c>
      <c r="AV20">
        <f t="shared" si="4"/>
        <v>3.9766467170706888E-3</v>
      </c>
      <c r="AW20">
        <f t="shared" si="4"/>
        <v>-5.0246625804460845E-3</v>
      </c>
      <c r="AX20">
        <f t="shared" si="4"/>
        <v>-3.676713037383901E-3</v>
      </c>
      <c r="AY20">
        <f t="shared" si="4"/>
        <v>8.543707803316436E-2</v>
      </c>
      <c r="AZ20">
        <f t="shared" si="4"/>
        <v>4.1002080640088423E-2</v>
      </c>
      <c r="BA20">
        <f t="shared" si="4"/>
        <v>1.7474145883383804E-2</v>
      </c>
      <c r="BB20">
        <f t="shared" si="4"/>
        <v>-0.38044939320192916</v>
      </c>
      <c r="BC20">
        <f t="shared" si="4"/>
        <v>2.4060131455854901E-3</v>
      </c>
      <c r="BD20">
        <f t="shared" si="4"/>
        <v>2.6648093446449615E-2</v>
      </c>
      <c r="BE20">
        <f t="shared" si="4"/>
        <v>-0.21450860600093921</v>
      </c>
      <c r="BF20">
        <f t="shared" si="4"/>
        <v>-0.10709043446000908</v>
      </c>
      <c r="BG20">
        <f t="shared" si="4"/>
        <v>-3.608843539586451E-2</v>
      </c>
      <c r="BH20">
        <f t="shared" si="4"/>
        <v>3.3374048741631662E-2</v>
      </c>
      <c r="BI20">
        <f t="shared" si="11"/>
        <v>3.7660703324886011E-2</v>
      </c>
      <c r="BJ20">
        <f t="shared" si="11"/>
        <v>7.5024334702537776E-2</v>
      </c>
      <c r="BK20">
        <f t="shared" si="11"/>
        <v>7.0203652345939949E-2</v>
      </c>
      <c r="BL20">
        <f t="shared" si="11"/>
        <v>4.1622237351447842E-2</v>
      </c>
      <c r="BM20">
        <f t="shared" si="11"/>
        <v>-4.752474424507898E-3</v>
      </c>
      <c r="BN20">
        <f t="shared" si="11"/>
        <v>-3.1697548943321836E-2</v>
      </c>
      <c r="BO20">
        <f t="shared" si="11"/>
        <v>-3.6479742197902798E-4</v>
      </c>
      <c r="BP20">
        <f t="shared" si="11"/>
        <v>-3.9552686884009342E-2</v>
      </c>
      <c r="BQ20">
        <f t="shared" si="11"/>
        <v>-6.7897846923433303E-3</v>
      </c>
      <c r="BR20">
        <f t="shared" si="11"/>
        <v>2.7709410168622526E-2</v>
      </c>
      <c r="BS20">
        <f t="shared" si="11"/>
        <v>-2.4092971432997677E-2</v>
      </c>
      <c r="BT20">
        <f t="shared" si="11"/>
        <v>2.4940329626447644E-2</v>
      </c>
      <c r="BU20">
        <f t="shared" si="10"/>
        <v>-5.8495218971253713E-3</v>
      </c>
      <c r="BV20">
        <f t="shared" si="10"/>
        <v>1.0451669907502872E-2</v>
      </c>
      <c r="BW20">
        <f t="shared" si="10"/>
        <v>-1.992676558319406E-3</v>
      </c>
      <c r="BX20">
        <f t="shared" si="10"/>
        <v>2.4021642196741043E-2</v>
      </c>
      <c r="BY20">
        <f t="shared" si="10"/>
        <v>3.2981543457235293E-2</v>
      </c>
      <c r="BZ20">
        <f t="shared" si="10"/>
        <v>-0.11140327577536947</v>
      </c>
      <c r="CA20">
        <f t="shared" si="10"/>
        <v>0.83629623427140343</v>
      </c>
      <c r="CB20">
        <f t="shared" si="10"/>
        <v>-0.18889564859880029</v>
      </c>
      <c r="CC20">
        <f t="shared" si="10"/>
        <v>0.12176517837213294</v>
      </c>
      <c r="CD20">
        <f t="shared" si="10"/>
        <v>3.7752344159150426E-3</v>
      </c>
      <c r="CE20">
        <f t="shared" si="10"/>
        <v>1.6900699920149337E-2</v>
      </c>
      <c r="CG20">
        <f t="shared" si="5"/>
        <v>1</v>
      </c>
      <c r="CH20">
        <f t="shared" si="6"/>
        <v>1</v>
      </c>
      <c r="CJ20">
        <f t="shared" si="7"/>
        <v>4.7576378162036061E-2</v>
      </c>
      <c r="CL20">
        <f>SUMPRODUCT(AS20:CE20,Dimorfismo!AS20:CE20)</f>
        <v>-5.6603804191907275E-2</v>
      </c>
      <c r="CM20">
        <f t="shared" si="8"/>
        <v>5.6603804191907275E-2</v>
      </c>
      <c r="CN20">
        <f t="shared" si="9"/>
        <v>5.6664373358882879E-2</v>
      </c>
    </row>
    <row r="21" spans="1:92" x14ac:dyDescent="0.25">
      <c r="A21" t="s">
        <v>22</v>
      </c>
      <c r="B21">
        <v>-2.9930721025319558E-3</v>
      </c>
      <c r="C21">
        <v>-3.8041786178688912E-2</v>
      </c>
      <c r="D21">
        <v>-3.3292100559424116E-2</v>
      </c>
      <c r="E21">
        <v>3.9766467101483224E-3</v>
      </c>
      <c r="F21">
        <v>-5.0246625716993797E-3</v>
      </c>
      <c r="G21">
        <v>-3.6767130309836456E-3</v>
      </c>
      <c r="H21">
        <v>8.5437077884439369E-2</v>
      </c>
      <c r="I21">
        <v>4.1002080568713857E-2</v>
      </c>
      <c r="J21">
        <v>1.7474145852965604E-2</v>
      </c>
      <c r="K21">
        <v>-0.38044939253966009</v>
      </c>
      <c r="L21">
        <v>2.4060131413972115E-3</v>
      </c>
      <c r="M21">
        <v>2.6648093400061822E-2</v>
      </c>
      <c r="N21">
        <v>-0.21450860562753235</v>
      </c>
      <c r="O21">
        <v>-0.10709043427359091</v>
      </c>
      <c r="P21">
        <v>-3.60884353330434E-2</v>
      </c>
      <c r="Q21">
        <v>3.3374048683535634E-2</v>
      </c>
      <c r="R21">
        <v>3.7660703259327966E-2</v>
      </c>
      <c r="S21">
        <v>7.5024334571938814E-2</v>
      </c>
      <c r="T21">
        <v>7.0203652223732621E-2</v>
      </c>
      <c r="U21">
        <v>4.1622237278993737E-2</v>
      </c>
      <c r="V21">
        <v>-4.7524744162350061E-3</v>
      </c>
      <c r="W21">
        <v>-3.1697548888144182E-2</v>
      </c>
      <c r="X21">
        <v>-3.6479742134400519E-4</v>
      </c>
      <c r="Y21">
        <v>-3.955268681515782E-2</v>
      </c>
      <c r="Z21">
        <v>-6.789784680523981E-3</v>
      </c>
      <c r="AA21">
        <v>2.7709410120387242E-2</v>
      </c>
      <c r="AB21">
        <v>-2.4092971391057726E-2</v>
      </c>
      <c r="AC21">
        <v>2.4940329583032651E-2</v>
      </c>
      <c r="AD21">
        <v>-5.8495218869427891E-3</v>
      </c>
      <c r="AE21">
        <v>1.0451669889309078E-2</v>
      </c>
      <c r="AF21">
        <v>-1.9926765548506451E-3</v>
      </c>
      <c r="AG21">
        <v>2.4021642154925256E-2</v>
      </c>
      <c r="AH21">
        <v>3.2981543399822517E-2</v>
      </c>
      <c r="AI21">
        <v>-0.11140327558144371</v>
      </c>
      <c r="AJ21">
        <v>0.83629623281561682</v>
      </c>
      <c r="AK21">
        <v>-0.18889564826997932</v>
      </c>
      <c r="AL21">
        <v>0.12176517816016964</v>
      </c>
      <c r="AM21">
        <v>3.7752344093432855E-3</v>
      </c>
      <c r="AN21">
        <v>1.6900699890729363E-2</v>
      </c>
      <c r="AP21">
        <f t="shared" si="2"/>
        <v>0.99999999651849081</v>
      </c>
      <c r="AQ21">
        <f t="shared" si="3"/>
        <v>0.99999999825924535</v>
      </c>
      <c r="AS21">
        <f t="shared" si="4"/>
        <v>-2.9930721077421601E-3</v>
      </c>
      <c r="AT21">
        <f t="shared" si="4"/>
        <v>-3.8041786244910329E-2</v>
      </c>
      <c r="AU21">
        <f t="shared" si="4"/>
        <v>-3.3292100617377494E-2</v>
      </c>
      <c r="AV21">
        <f t="shared" si="4"/>
        <v>3.9766467170706888E-3</v>
      </c>
      <c r="AW21">
        <f t="shared" si="4"/>
        <v>-5.0246625804460845E-3</v>
      </c>
      <c r="AX21">
        <f t="shared" si="4"/>
        <v>-3.676713037383901E-3</v>
      </c>
      <c r="AY21">
        <f t="shared" si="4"/>
        <v>8.543707803316436E-2</v>
      </c>
      <c r="AZ21">
        <f t="shared" si="4"/>
        <v>4.1002080640088423E-2</v>
      </c>
      <c r="BA21">
        <f t="shared" si="4"/>
        <v>1.7474145883383804E-2</v>
      </c>
      <c r="BB21">
        <f t="shared" si="4"/>
        <v>-0.38044939320192916</v>
      </c>
      <c r="BC21">
        <f t="shared" si="4"/>
        <v>2.4060131455854901E-3</v>
      </c>
      <c r="BD21">
        <f t="shared" si="4"/>
        <v>2.6648093446449615E-2</v>
      </c>
      <c r="BE21">
        <f t="shared" si="4"/>
        <v>-0.21450860600093921</v>
      </c>
      <c r="BF21">
        <f t="shared" si="4"/>
        <v>-0.10709043446000908</v>
      </c>
      <c r="BG21">
        <f t="shared" si="4"/>
        <v>-3.608843539586451E-2</v>
      </c>
      <c r="BH21">
        <f t="shared" si="4"/>
        <v>3.3374048741631662E-2</v>
      </c>
      <c r="BI21">
        <f t="shared" si="11"/>
        <v>3.7660703324886011E-2</v>
      </c>
      <c r="BJ21">
        <f t="shared" si="11"/>
        <v>7.5024334702537776E-2</v>
      </c>
      <c r="BK21">
        <f t="shared" si="11"/>
        <v>7.0203652345939949E-2</v>
      </c>
      <c r="BL21">
        <f t="shared" si="11"/>
        <v>4.1622237351447842E-2</v>
      </c>
      <c r="BM21">
        <f t="shared" si="11"/>
        <v>-4.752474424507898E-3</v>
      </c>
      <c r="BN21">
        <f t="shared" si="11"/>
        <v>-3.1697548943321836E-2</v>
      </c>
      <c r="BO21">
        <f t="shared" si="11"/>
        <v>-3.6479742197902798E-4</v>
      </c>
      <c r="BP21">
        <f t="shared" si="11"/>
        <v>-3.9552686884009342E-2</v>
      </c>
      <c r="BQ21">
        <f t="shared" si="11"/>
        <v>-6.7897846923433303E-3</v>
      </c>
      <c r="BR21">
        <f t="shared" si="11"/>
        <v>2.7709410168622526E-2</v>
      </c>
      <c r="BS21">
        <f t="shared" si="11"/>
        <v>-2.4092971432997677E-2</v>
      </c>
      <c r="BT21">
        <f t="shared" si="11"/>
        <v>2.4940329626447644E-2</v>
      </c>
      <c r="BU21">
        <f t="shared" si="10"/>
        <v>-5.8495218971253713E-3</v>
      </c>
      <c r="BV21">
        <f t="shared" si="10"/>
        <v>1.0451669907502872E-2</v>
      </c>
      <c r="BW21">
        <f t="shared" si="10"/>
        <v>-1.992676558319406E-3</v>
      </c>
      <c r="BX21">
        <f t="shared" si="10"/>
        <v>2.4021642196741043E-2</v>
      </c>
      <c r="BY21">
        <f t="shared" si="10"/>
        <v>3.2981543457235293E-2</v>
      </c>
      <c r="BZ21">
        <f t="shared" si="10"/>
        <v>-0.11140327577536947</v>
      </c>
      <c r="CA21">
        <f t="shared" si="10"/>
        <v>0.83629623427140343</v>
      </c>
      <c r="CB21">
        <f t="shared" si="10"/>
        <v>-0.18889564859880029</v>
      </c>
      <c r="CC21">
        <f t="shared" si="10"/>
        <v>0.12176517837213294</v>
      </c>
      <c r="CD21">
        <f t="shared" si="10"/>
        <v>3.7752344159150426E-3</v>
      </c>
      <c r="CE21">
        <f t="shared" si="10"/>
        <v>1.6900699920149337E-2</v>
      </c>
      <c r="CG21">
        <f t="shared" si="5"/>
        <v>1</v>
      </c>
      <c r="CH21">
        <f t="shared" si="6"/>
        <v>1</v>
      </c>
      <c r="CJ21">
        <f t="shared" si="7"/>
        <v>4.7576378162036061E-2</v>
      </c>
      <c r="CL21">
        <f>SUMPRODUCT(AS21:CE21,Dimorfismo!AS21:CE21)</f>
        <v>5.8487489347910371E-3</v>
      </c>
      <c r="CM21">
        <f t="shared" si="8"/>
        <v>5.8487489347910371E-3</v>
      </c>
      <c r="CN21">
        <f t="shared" si="9"/>
        <v>5.8488156272294518E-3</v>
      </c>
    </row>
    <row r="22" spans="1:92" x14ac:dyDescent="0.25">
      <c r="A22" t="s">
        <v>23</v>
      </c>
      <c r="B22">
        <v>-2.9930721025319558E-3</v>
      </c>
      <c r="C22">
        <v>-3.8041786178688912E-2</v>
      </c>
      <c r="D22">
        <v>-3.3292100559424116E-2</v>
      </c>
      <c r="E22">
        <v>3.9766467101483224E-3</v>
      </c>
      <c r="F22">
        <v>-5.0246625716993797E-3</v>
      </c>
      <c r="G22">
        <v>-3.6767130309836456E-3</v>
      </c>
      <c r="H22">
        <v>8.5437077884439369E-2</v>
      </c>
      <c r="I22">
        <v>4.1002080568713857E-2</v>
      </c>
      <c r="J22">
        <v>1.7474145852965604E-2</v>
      </c>
      <c r="K22">
        <v>-0.38044939253966009</v>
      </c>
      <c r="L22">
        <v>2.4060131413972115E-3</v>
      </c>
      <c r="M22">
        <v>2.6648093400061822E-2</v>
      </c>
      <c r="N22">
        <v>-0.21450860562753235</v>
      </c>
      <c r="O22">
        <v>-0.10709043427359091</v>
      </c>
      <c r="P22">
        <v>-3.60884353330434E-2</v>
      </c>
      <c r="Q22">
        <v>3.3374048683535634E-2</v>
      </c>
      <c r="R22">
        <v>3.7660703259327966E-2</v>
      </c>
      <c r="S22">
        <v>7.5024334571938814E-2</v>
      </c>
      <c r="T22">
        <v>7.0203652223732621E-2</v>
      </c>
      <c r="U22">
        <v>4.1622237278993737E-2</v>
      </c>
      <c r="V22">
        <v>-4.7524744162350061E-3</v>
      </c>
      <c r="W22">
        <v>-3.1697548888144182E-2</v>
      </c>
      <c r="X22">
        <v>-3.6479742134400519E-4</v>
      </c>
      <c r="Y22">
        <v>-3.955268681515782E-2</v>
      </c>
      <c r="Z22">
        <v>-6.789784680523981E-3</v>
      </c>
      <c r="AA22">
        <v>2.7709410120387242E-2</v>
      </c>
      <c r="AB22">
        <v>-2.4092971391057726E-2</v>
      </c>
      <c r="AC22">
        <v>2.4940329583032651E-2</v>
      </c>
      <c r="AD22">
        <v>-5.8495218869427891E-3</v>
      </c>
      <c r="AE22">
        <v>1.0451669889309078E-2</v>
      </c>
      <c r="AF22">
        <v>-1.9926765548506451E-3</v>
      </c>
      <c r="AG22">
        <v>2.4021642154925256E-2</v>
      </c>
      <c r="AH22">
        <v>3.2981543399822517E-2</v>
      </c>
      <c r="AI22">
        <v>-0.11140327558144371</v>
      </c>
      <c r="AJ22">
        <v>0.83629623281561682</v>
      </c>
      <c r="AK22">
        <v>-0.18889564826997932</v>
      </c>
      <c r="AL22">
        <v>0.12176517816016964</v>
      </c>
      <c r="AM22">
        <v>3.7752344093432855E-3</v>
      </c>
      <c r="AN22">
        <v>1.6900699890729363E-2</v>
      </c>
      <c r="AP22">
        <f t="shared" si="2"/>
        <v>0.99999999651849081</v>
      </c>
      <c r="AQ22">
        <f t="shared" si="3"/>
        <v>0.99999999825924535</v>
      </c>
      <c r="AS22">
        <f t="shared" si="4"/>
        <v>-2.9930721077421601E-3</v>
      </c>
      <c r="AT22">
        <f t="shared" si="4"/>
        <v>-3.8041786244910329E-2</v>
      </c>
      <c r="AU22">
        <f t="shared" si="4"/>
        <v>-3.3292100617377494E-2</v>
      </c>
      <c r="AV22">
        <f t="shared" si="4"/>
        <v>3.9766467170706888E-3</v>
      </c>
      <c r="AW22">
        <f t="shared" si="4"/>
        <v>-5.0246625804460845E-3</v>
      </c>
      <c r="AX22">
        <f t="shared" si="4"/>
        <v>-3.676713037383901E-3</v>
      </c>
      <c r="AY22">
        <f t="shared" si="4"/>
        <v>8.543707803316436E-2</v>
      </c>
      <c r="AZ22">
        <f t="shared" si="4"/>
        <v>4.1002080640088423E-2</v>
      </c>
      <c r="BA22">
        <f t="shared" si="4"/>
        <v>1.7474145883383804E-2</v>
      </c>
      <c r="BB22">
        <f t="shared" si="4"/>
        <v>-0.38044939320192916</v>
      </c>
      <c r="BC22">
        <f t="shared" si="4"/>
        <v>2.4060131455854901E-3</v>
      </c>
      <c r="BD22">
        <f t="shared" si="4"/>
        <v>2.6648093446449615E-2</v>
      </c>
      <c r="BE22">
        <f t="shared" si="4"/>
        <v>-0.21450860600093921</v>
      </c>
      <c r="BF22">
        <f t="shared" si="4"/>
        <v>-0.10709043446000908</v>
      </c>
      <c r="BG22">
        <f t="shared" si="4"/>
        <v>-3.608843539586451E-2</v>
      </c>
      <c r="BH22">
        <f t="shared" si="4"/>
        <v>3.3374048741631662E-2</v>
      </c>
      <c r="BI22">
        <f t="shared" si="11"/>
        <v>3.7660703324886011E-2</v>
      </c>
      <c r="BJ22">
        <f t="shared" si="11"/>
        <v>7.5024334702537776E-2</v>
      </c>
      <c r="BK22">
        <f t="shared" si="11"/>
        <v>7.0203652345939949E-2</v>
      </c>
      <c r="BL22">
        <f t="shared" si="11"/>
        <v>4.1622237351447842E-2</v>
      </c>
      <c r="BM22">
        <f t="shared" si="11"/>
        <v>-4.752474424507898E-3</v>
      </c>
      <c r="BN22">
        <f t="shared" si="11"/>
        <v>-3.1697548943321836E-2</v>
      </c>
      <c r="BO22">
        <f t="shared" si="11"/>
        <v>-3.6479742197902798E-4</v>
      </c>
      <c r="BP22">
        <f t="shared" si="11"/>
        <v>-3.9552686884009342E-2</v>
      </c>
      <c r="BQ22">
        <f t="shared" si="11"/>
        <v>-6.7897846923433303E-3</v>
      </c>
      <c r="BR22">
        <f t="shared" si="11"/>
        <v>2.7709410168622526E-2</v>
      </c>
      <c r="BS22">
        <f t="shared" si="11"/>
        <v>-2.4092971432997677E-2</v>
      </c>
      <c r="BT22">
        <f t="shared" si="11"/>
        <v>2.4940329626447644E-2</v>
      </c>
      <c r="BU22">
        <f t="shared" si="10"/>
        <v>-5.8495218971253713E-3</v>
      </c>
      <c r="BV22">
        <f t="shared" si="10"/>
        <v>1.0451669907502872E-2</v>
      </c>
      <c r="BW22">
        <f t="shared" si="10"/>
        <v>-1.992676558319406E-3</v>
      </c>
      <c r="BX22">
        <f t="shared" si="10"/>
        <v>2.4021642196741043E-2</v>
      </c>
      <c r="BY22">
        <f t="shared" si="10"/>
        <v>3.2981543457235293E-2</v>
      </c>
      <c r="BZ22">
        <f t="shared" si="10"/>
        <v>-0.11140327577536947</v>
      </c>
      <c r="CA22">
        <f t="shared" si="10"/>
        <v>0.83629623427140343</v>
      </c>
      <c r="CB22">
        <f t="shared" si="10"/>
        <v>-0.18889564859880029</v>
      </c>
      <c r="CC22">
        <f t="shared" si="10"/>
        <v>0.12176517837213294</v>
      </c>
      <c r="CD22">
        <f t="shared" si="10"/>
        <v>3.7752344159150426E-3</v>
      </c>
      <c r="CE22">
        <f t="shared" si="10"/>
        <v>1.6900699920149337E-2</v>
      </c>
      <c r="CG22">
        <f t="shared" si="5"/>
        <v>1</v>
      </c>
      <c r="CH22">
        <f t="shared" si="6"/>
        <v>1</v>
      </c>
      <c r="CJ22">
        <f t="shared" si="7"/>
        <v>4.7576378162036061E-2</v>
      </c>
      <c r="CL22">
        <f>SUMPRODUCT(AS22:CE22,Dimorfismo!AS22:CE22)</f>
        <v>5.8342137532670013E-3</v>
      </c>
      <c r="CM22">
        <f t="shared" si="8"/>
        <v>5.8342137532670013E-3</v>
      </c>
      <c r="CN22">
        <f t="shared" si="9"/>
        <v>5.8342799497056374E-3</v>
      </c>
    </row>
    <row r="23" spans="1:92" x14ac:dyDescent="0.25">
      <c r="A23" t="s">
        <v>24</v>
      </c>
      <c r="B23">
        <v>-2.9930721025319558E-3</v>
      </c>
      <c r="C23">
        <v>-3.8041786178688912E-2</v>
      </c>
      <c r="D23">
        <v>-3.3292100559424116E-2</v>
      </c>
      <c r="E23">
        <v>3.9766467101483224E-3</v>
      </c>
      <c r="F23">
        <v>-5.0246625716993797E-3</v>
      </c>
      <c r="G23">
        <v>-3.6767130309836456E-3</v>
      </c>
      <c r="H23">
        <v>8.5437077884439369E-2</v>
      </c>
      <c r="I23">
        <v>4.1002080568713857E-2</v>
      </c>
      <c r="J23">
        <v>1.7474145852965604E-2</v>
      </c>
      <c r="K23">
        <v>-0.38044939253966009</v>
      </c>
      <c r="L23">
        <v>2.4060131413972115E-3</v>
      </c>
      <c r="M23">
        <v>2.6648093400061822E-2</v>
      </c>
      <c r="N23">
        <v>-0.21450860562753235</v>
      </c>
      <c r="O23">
        <v>-0.10709043427359091</v>
      </c>
      <c r="P23">
        <v>-3.60884353330434E-2</v>
      </c>
      <c r="Q23">
        <v>3.3374048683535634E-2</v>
      </c>
      <c r="R23">
        <v>3.7660703259327966E-2</v>
      </c>
      <c r="S23">
        <v>7.5024334571938814E-2</v>
      </c>
      <c r="T23">
        <v>7.0203652223732621E-2</v>
      </c>
      <c r="U23">
        <v>4.1622237278993737E-2</v>
      </c>
      <c r="V23">
        <v>-4.7524744162350061E-3</v>
      </c>
      <c r="W23">
        <v>-3.1697548888144182E-2</v>
      </c>
      <c r="X23">
        <v>-3.6479742134400519E-4</v>
      </c>
      <c r="Y23">
        <v>-3.955268681515782E-2</v>
      </c>
      <c r="Z23">
        <v>-6.789784680523981E-3</v>
      </c>
      <c r="AA23">
        <v>2.7709410120387242E-2</v>
      </c>
      <c r="AB23">
        <v>-2.4092971391057726E-2</v>
      </c>
      <c r="AC23">
        <v>2.4940329583032651E-2</v>
      </c>
      <c r="AD23">
        <v>-5.8495218869427891E-3</v>
      </c>
      <c r="AE23">
        <v>1.0451669889309078E-2</v>
      </c>
      <c r="AF23">
        <v>-1.9926765548506451E-3</v>
      </c>
      <c r="AG23">
        <v>2.4021642154925256E-2</v>
      </c>
      <c r="AH23">
        <v>3.2981543399822517E-2</v>
      </c>
      <c r="AI23">
        <v>-0.11140327558144371</v>
      </c>
      <c r="AJ23">
        <v>0.83629623281561682</v>
      </c>
      <c r="AK23">
        <v>-0.18889564826997932</v>
      </c>
      <c r="AL23">
        <v>0.12176517816016964</v>
      </c>
      <c r="AM23">
        <v>3.7752344093432855E-3</v>
      </c>
      <c r="AN23">
        <v>1.6900699890729363E-2</v>
      </c>
      <c r="AP23">
        <f t="shared" si="2"/>
        <v>0.99999999651849081</v>
      </c>
      <c r="AQ23">
        <f t="shared" si="3"/>
        <v>0.99999999825924535</v>
      </c>
      <c r="AS23">
        <f t="shared" si="4"/>
        <v>-2.9930721077421601E-3</v>
      </c>
      <c r="AT23">
        <f t="shared" si="4"/>
        <v>-3.8041786244910329E-2</v>
      </c>
      <c r="AU23">
        <f t="shared" si="4"/>
        <v>-3.3292100617377494E-2</v>
      </c>
      <c r="AV23">
        <f t="shared" si="4"/>
        <v>3.9766467170706888E-3</v>
      </c>
      <c r="AW23">
        <f t="shared" si="4"/>
        <v>-5.0246625804460845E-3</v>
      </c>
      <c r="AX23">
        <f t="shared" si="4"/>
        <v>-3.676713037383901E-3</v>
      </c>
      <c r="AY23">
        <f t="shared" si="4"/>
        <v>8.543707803316436E-2</v>
      </c>
      <c r="AZ23">
        <f t="shared" si="4"/>
        <v>4.1002080640088423E-2</v>
      </c>
      <c r="BA23">
        <f t="shared" si="4"/>
        <v>1.7474145883383804E-2</v>
      </c>
      <c r="BB23">
        <f t="shared" si="4"/>
        <v>-0.38044939320192916</v>
      </c>
      <c r="BC23">
        <f t="shared" si="4"/>
        <v>2.4060131455854901E-3</v>
      </c>
      <c r="BD23">
        <f t="shared" si="4"/>
        <v>2.6648093446449615E-2</v>
      </c>
      <c r="BE23">
        <f t="shared" si="4"/>
        <v>-0.21450860600093921</v>
      </c>
      <c r="BF23">
        <f t="shared" si="4"/>
        <v>-0.10709043446000908</v>
      </c>
      <c r="BG23">
        <f t="shared" si="4"/>
        <v>-3.608843539586451E-2</v>
      </c>
      <c r="BH23">
        <f t="shared" si="4"/>
        <v>3.3374048741631662E-2</v>
      </c>
      <c r="BI23">
        <f t="shared" si="11"/>
        <v>3.7660703324886011E-2</v>
      </c>
      <c r="BJ23">
        <f t="shared" si="11"/>
        <v>7.5024334702537776E-2</v>
      </c>
      <c r="BK23">
        <f t="shared" si="11"/>
        <v>7.0203652345939949E-2</v>
      </c>
      <c r="BL23">
        <f t="shared" si="11"/>
        <v>4.1622237351447842E-2</v>
      </c>
      <c r="BM23">
        <f t="shared" si="11"/>
        <v>-4.752474424507898E-3</v>
      </c>
      <c r="BN23">
        <f t="shared" si="11"/>
        <v>-3.1697548943321836E-2</v>
      </c>
      <c r="BO23">
        <f t="shared" si="11"/>
        <v>-3.6479742197902798E-4</v>
      </c>
      <c r="BP23">
        <f t="shared" si="11"/>
        <v>-3.9552686884009342E-2</v>
      </c>
      <c r="BQ23">
        <f t="shared" si="11"/>
        <v>-6.7897846923433303E-3</v>
      </c>
      <c r="BR23">
        <f t="shared" si="11"/>
        <v>2.7709410168622526E-2</v>
      </c>
      <c r="BS23">
        <f t="shared" si="11"/>
        <v>-2.4092971432997677E-2</v>
      </c>
      <c r="BT23">
        <f t="shared" si="11"/>
        <v>2.4940329626447644E-2</v>
      </c>
      <c r="BU23">
        <f t="shared" si="10"/>
        <v>-5.8495218971253713E-3</v>
      </c>
      <c r="BV23">
        <f t="shared" si="10"/>
        <v>1.0451669907502872E-2</v>
      </c>
      <c r="BW23">
        <f t="shared" si="10"/>
        <v>-1.992676558319406E-3</v>
      </c>
      <c r="BX23">
        <f t="shared" si="10"/>
        <v>2.4021642196741043E-2</v>
      </c>
      <c r="BY23">
        <f t="shared" si="10"/>
        <v>3.2981543457235293E-2</v>
      </c>
      <c r="BZ23">
        <f t="shared" si="10"/>
        <v>-0.11140327577536947</v>
      </c>
      <c r="CA23">
        <f t="shared" si="10"/>
        <v>0.83629623427140343</v>
      </c>
      <c r="CB23">
        <f t="shared" si="10"/>
        <v>-0.18889564859880029</v>
      </c>
      <c r="CC23">
        <f t="shared" si="10"/>
        <v>0.12176517837213294</v>
      </c>
      <c r="CD23">
        <f t="shared" si="10"/>
        <v>3.7752344159150426E-3</v>
      </c>
      <c r="CE23">
        <f t="shared" si="10"/>
        <v>1.6900699920149337E-2</v>
      </c>
      <c r="CG23">
        <f t="shared" si="5"/>
        <v>1</v>
      </c>
      <c r="CH23">
        <f t="shared" si="6"/>
        <v>1</v>
      </c>
      <c r="CJ23">
        <f t="shared" si="7"/>
        <v>4.7576378162036061E-2</v>
      </c>
      <c r="CL23">
        <f>SUMPRODUCT(AS23:CE23,Dimorfismo!AS23:CE23)</f>
        <v>-4.5837012150731167E-2</v>
      </c>
      <c r="CM23">
        <f t="shared" si="8"/>
        <v>4.5837012150731167E-2</v>
      </c>
      <c r="CN23">
        <f t="shared" si="9"/>
        <v>4.5869154351132729E-2</v>
      </c>
    </row>
    <row r="24" spans="1:92" x14ac:dyDescent="0.25">
      <c r="A24" t="s">
        <v>25</v>
      </c>
      <c r="B24">
        <v>-2.9930721025319558E-3</v>
      </c>
      <c r="C24">
        <v>-3.8041786178688912E-2</v>
      </c>
      <c r="D24">
        <v>-3.3292100559424116E-2</v>
      </c>
      <c r="E24">
        <v>3.9766467101483224E-3</v>
      </c>
      <c r="F24">
        <v>-5.0246625716993797E-3</v>
      </c>
      <c r="G24">
        <v>-3.6767130309836456E-3</v>
      </c>
      <c r="H24">
        <v>8.5437077884439369E-2</v>
      </c>
      <c r="I24">
        <v>4.1002080568713857E-2</v>
      </c>
      <c r="J24">
        <v>1.7474145852965604E-2</v>
      </c>
      <c r="K24">
        <v>-0.38044939253966009</v>
      </c>
      <c r="L24">
        <v>2.4060131413972115E-3</v>
      </c>
      <c r="M24">
        <v>2.6648093400061822E-2</v>
      </c>
      <c r="N24">
        <v>-0.21450860562753235</v>
      </c>
      <c r="O24">
        <v>-0.10709043427359091</v>
      </c>
      <c r="P24">
        <v>-3.60884353330434E-2</v>
      </c>
      <c r="Q24">
        <v>3.3374048683535634E-2</v>
      </c>
      <c r="R24">
        <v>3.7660703259327966E-2</v>
      </c>
      <c r="S24">
        <v>7.5024334571938814E-2</v>
      </c>
      <c r="T24">
        <v>7.0203652223732621E-2</v>
      </c>
      <c r="U24">
        <v>4.1622237278993737E-2</v>
      </c>
      <c r="V24">
        <v>-4.7524744162350061E-3</v>
      </c>
      <c r="W24">
        <v>-3.1697548888144182E-2</v>
      </c>
      <c r="X24">
        <v>-3.6479742134400519E-4</v>
      </c>
      <c r="Y24">
        <v>-3.955268681515782E-2</v>
      </c>
      <c r="Z24">
        <v>-6.789784680523981E-3</v>
      </c>
      <c r="AA24">
        <v>2.7709410120387242E-2</v>
      </c>
      <c r="AB24">
        <v>-2.4092971391057726E-2</v>
      </c>
      <c r="AC24">
        <v>2.4940329583032651E-2</v>
      </c>
      <c r="AD24">
        <v>-5.8495218869427891E-3</v>
      </c>
      <c r="AE24">
        <v>1.0451669889309078E-2</v>
      </c>
      <c r="AF24">
        <v>-1.9926765548506451E-3</v>
      </c>
      <c r="AG24">
        <v>2.4021642154925256E-2</v>
      </c>
      <c r="AH24">
        <v>3.2981543399822517E-2</v>
      </c>
      <c r="AI24">
        <v>-0.11140327558144371</v>
      </c>
      <c r="AJ24">
        <v>0.83629623281561682</v>
      </c>
      <c r="AK24">
        <v>-0.18889564826997932</v>
      </c>
      <c r="AL24">
        <v>0.12176517816016964</v>
      </c>
      <c r="AM24">
        <v>3.7752344093432855E-3</v>
      </c>
      <c r="AN24">
        <v>1.6900699890729363E-2</v>
      </c>
      <c r="AP24">
        <f t="shared" si="2"/>
        <v>0.99999999651849081</v>
      </c>
      <c r="AQ24">
        <f t="shared" si="3"/>
        <v>0.99999999825924535</v>
      </c>
      <c r="AS24">
        <f t="shared" si="4"/>
        <v>-2.9930721077421601E-3</v>
      </c>
      <c r="AT24">
        <f t="shared" si="4"/>
        <v>-3.8041786244910329E-2</v>
      </c>
      <c r="AU24">
        <f t="shared" si="4"/>
        <v>-3.3292100617377494E-2</v>
      </c>
      <c r="AV24">
        <f t="shared" si="4"/>
        <v>3.9766467170706888E-3</v>
      </c>
      <c r="AW24">
        <f t="shared" si="4"/>
        <v>-5.0246625804460845E-3</v>
      </c>
      <c r="AX24">
        <f t="shared" si="4"/>
        <v>-3.676713037383901E-3</v>
      </c>
      <c r="AY24">
        <f t="shared" si="4"/>
        <v>8.543707803316436E-2</v>
      </c>
      <c r="AZ24">
        <f t="shared" si="4"/>
        <v>4.1002080640088423E-2</v>
      </c>
      <c r="BA24">
        <f t="shared" si="4"/>
        <v>1.7474145883383804E-2</v>
      </c>
      <c r="BB24">
        <f t="shared" ref="BB24:BK51" si="12">K24/$AQ24</f>
        <v>-0.38044939320192916</v>
      </c>
      <c r="BC24">
        <f t="shared" si="12"/>
        <v>2.4060131455854901E-3</v>
      </c>
      <c r="BD24">
        <f t="shared" si="12"/>
        <v>2.6648093446449615E-2</v>
      </c>
      <c r="BE24">
        <f t="shared" si="12"/>
        <v>-0.21450860600093921</v>
      </c>
      <c r="BF24">
        <f t="shared" si="12"/>
        <v>-0.10709043446000908</v>
      </c>
      <c r="BG24">
        <f t="shared" si="12"/>
        <v>-3.608843539586451E-2</v>
      </c>
      <c r="BH24">
        <f t="shared" si="12"/>
        <v>3.3374048741631662E-2</v>
      </c>
      <c r="BI24">
        <f t="shared" si="11"/>
        <v>3.7660703324886011E-2</v>
      </c>
      <c r="BJ24">
        <f t="shared" si="11"/>
        <v>7.5024334702537776E-2</v>
      </c>
      <c r="BK24">
        <f t="shared" si="11"/>
        <v>7.0203652345939949E-2</v>
      </c>
      <c r="BL24">
        <f t="shared" si="11"/>
        <v>4.1622237351447842E-2</v>
      </c>
      <c r="BM24">
        <f t="shared" si="11"/>
        <v>-4.752474424507898E-3</v>
      </c>
      <c r="BN24">
        <f t="shared" si="11"/>
        <v>-3.1697548943321836E-2</v>
      </c>
      <c r="BO24">
        <f t="shared" si="11"/>
        <v>-3.6479742197902798E-4</v>
      </c>
      <c r="BP24">
        <f t="shared" si="11"/>
        <v>-3.9552686884009342E-2</v>
      </c>
      <c r="BQ24">
        <f t="shared" si="11"/>
        <v>-6.7897846923433303E-3</v>
      </c>
      <c r="BR24">
        <f t="shared" si="11"/>
        <v>2.7709410168622526E-2</v>
      </c>
      <c r="BS24">
        <f t="shared" si="11"/>
        <v>-2.4092971432997677E-2</v>
      </c>
      <c r="BT24">
        <f t="shared" si="11"/>
        <v>2.4940329626447644E-2</v>
      </c>
      <c r="BU24">
        <f t="shared" si="10"/>
        <v>-5.8495218971253713E-3</v>
      </c>
      <c r="BV24">
        <f t="shared" si="10"/>
        <v>1.0451669907502872E-2</v>
      </c>
      <c r="BW24">
        <f t="shared" si="10"/>
        <v>-1.992676558319406E-3</v>
      </c>
      <c r="BX24">
        <f t="shared" si="10"/>
        <v>2.4021642196741043E-2</v>
      </c>
      <c r="BY24">
        <f t="shared" si="10"/>
        <v>3.2981543457235293E-2</v>
      </c>
      <c r="BZ24">
        <f t="shared" si="10"/>
        <v>-0.11140327577536947</v>
      </c>
      <c r="CA24">
        <f t="shared" si="10"/>
        <v>0.83629623427140343</v>
      </c>
      <c r="CB24">
        <f t="shared" si="10"/>
        <v>-0.18889564859880029</v>
      </c>
      <c r="CC24">
        <f t="shared" si="10"/>
        <v>0.12176517837213294</v>
      </c>
      <c r="CD24">
        <f t="shared" si="10"/>
        <v>3.7752344159150426E-3</v>
      </c>
      <c r="CE24">
        <f t="shared" si="10"/>
        <v>1.6900699920149337E-2</v>
      </c>
      <c r="CG24">
        <f t="shared" si="5"/>
        <v>1</v>
      </c>
      <c r="CH24">
        <f t="shared" si="6"/>
        <v>1</v>
      </c>
      <c r="CJ24">
        <f t="shared" si="7"/>
        <v>4.7576378162036061E-2</v>
      </c>
      <c r="CL24">
        <f>SUMPRODUCT(AS24:CE24,Dimorfismo!AS24:CE24)</f>
        <v>-2.5321022869322713E-2</v>
      </c>
      <c r="CM24">
        <f t="shared" si="8"/>
        <v>2.5321022869322713E-2</v>
      </c>
      <c r="CN24">
        <f t="shared" si="9"/>
        <v>2.5326436512109755E-2</v>
      </c>
    </row>
    <row r="25" spans="1:92" x14ac:dyDescent="0.25">
      <c r="A25" t="s">
        <v>26</v>
      </c>
      <c r="B25">
        <v>-2.9930721025319558E-3</v>
      </c>
      <c r="C25">
        <v>-3.8041786178688912E-2</v>
      </c>
      <c r="D25">
        <v>-3.3292100559424116E-2</v>
      </c>
      <c r="E25">
        <v>3.9766467101483224E-3</v>
      </c>
      <c r="F25">
        <v>-5.0246625716993797E-3</v>
      </c>
      <c r="G25">
        <v>-3.6767130309836456E-3</v>
      </c>
      <c r="H25">
        <v>8.5437077884439369E-2</v>
      </c>
      <c r="I25">
        <v>4.1002080568713857E-2</v>
      </c>
      <c r="J25">
        <v>1.7474145852965604E-2</v>
      </c>
      <c r="K25">
        <v>-0.38044939253966009</v>
      </c>
      <c r="L25">
        <v>2.4060131413972115E-3</v>
      </c>
      <c r="M25">
        <v>2.6648093400061822E-2</v>
      </c>
      <c r="N25">
        <v>-0.21450860562753235</v>
      </c>
      <c r="O25">
        <v>-0.10709043427359091</v>
      </c>
      <c r="P25">
        <v>-3.60884353330434E-2</v>
      </c>
      <c r="Q25">
        <v>3.3374048683535634E-2</v>
      </c>
      <c r="R25">
        <v>3.7660703259327966E-2</v>
      </c>
      <c r="S25">
        <v>7.5024334571938814E-2</v>
      </c>
      <c r="T25">
        <v>7.0203652223732621E-2</v>
      </c>
      <c r="U25">
        <v>4.1622237278993737E-2</v>
      </c>
      <c r="V25">
        <v>-4.7524744162350061E-3</v>
      </c>
      <c r="W25">
        <v>-3.1697548888144182E-2</v>
      </c>
      <c r="X25">
        <v>-3.6479742134400519E-4</v>
      </c>
      <c r="Y25">
        <v>-3.955268681515782E-2</v>
      </c>
      <c r="Z25">
        <v>-6.789784680523981E-3</v>
      </c>
      <c r="AA25">
        <v>2.7709410120387242E-2</v>
      </c>
      <c r="AB25">
        <v>-2.4092971391057726E-2</v>
      </c>
      <c r="AC25">
        <v>2.4940329583032651E-2</v>
      </c>
      <c r="AD25">
        <v>-5.8495218869427891E-3</v>
      </c>
      <c r="AE25">
        <v>1.0451669889309078E-2</v>
      </c>
      <c r="AF25">
        <v>-1.9926765548506451E-3</v>
      </c>
      <c r="AG25">
        <v>2.4021642154925256E-2</v>
      </c>
      <c r="AH25">
        <v>3.2981543399822517E-2</v>
      </c>
      <c r="AI25">
        <v>-0.11140327558144371</v>
      </c>
      <c r="AJ25">
        <v>0.83629623281561682</v>
      </c>
      <c r="AK25">
        <v>-0.18889564826997932</v>
      </c>
      <c r="AL25">
        <v>0.12176517816016964</v>
      </c>
      <c r="AM25">
        <v>3.7752344093432855E-3</v>
      </c>
      <c r="AN25">
        <v>1.6900699890729363E-2</v>
      </c>
      <c r="AP25">
        <f t="shared" si="2"/>
        <v>0.99999999651849081</v>
      </c>
      <c r="AQ25">
        <f t="shared" si="3"/>
        <v>0.99999999825924535</v>
      </c>
      <c r="AS25">
        <f t="shared" ref="AS25:BD52" si="13">B25/$AQ25</f>
        <v>-2.9930721077421601E-3</v>
      </c>
      <c r="AT25">
        <f t="shared" si="13"/>
        <v>-3.8041786244910329E-2</v>
      </c>
      <c r="AU25">
        <f t="shared" si="13"/>
        <v>-3.3292100617377494E-2</v>
      </c>
      <c r="AV25">
        <f t="shared" si="13"/>
        <v>3.9766467170706888E-3</v>
      </c>
      <c r="AW25">
        <f t="shared" si="13"/>
        <v>-5.0246625804460845E-3</v>
      </c>
      <c r="AX25">
        <f t="shared" si="13"/>
        <v>-3.676713037383901E-3</v>
      </c>
      <c r="AY25">
        <f t="shared" si="13"/>
        <v>8.543707803316436E-2</v>
      </c>
      <c r="AZ25">
        <f t="shared" si="13"/>
        <v>4.1002080640088423E-2</v>
      </c>
      <c r="BA25">
        <f t="shared" si="13"/>
        <v>1.7474145883383804E-2</v>
      </c>
      <c r="BB25">
        <f t="shared" si="12"/>
        <v>-0.38044939320192916</v>
      </c>
      <c r="BC25">
        <f t="shared" si="12"/>
        <v>2.4060131455854901E-3</v>
      </c>
      <c r="BD25">
        <f t="shared" si="12"/>
        <v>2.6648093446449615E-2</v>
      </c>
      <c r="BE25">
        <f t="shared" si="12"/>
        <v>-0.21450860600093921</v>
      </c>
      <c r="BF25">
        <f t="shared" si="12"/>
        <v>-0.10709043446000908</v>
      </c>
      <c r="BG25">
        <f t="shared" si="12"/>
        <v>-3.608843539586451E-2</v>
      </c>
      <c r="BH25">
        <f t="shared" si="12"/>
        <v>3.3374048741631662E-2</v>
      </c>
      <c r="BI25">
        <f t="shared" si="11"/>
        <v>3.7660703324886011E-2</v>
      </c>
      <c r="BJ25">
        <f t="shared" si="11"/>
        <v>7.5024334702537776E-2</v>
      </c>
      <c r="BK25">
        <f t="shared" si="11"/>
        <v>7.0203652345939949E-2</v>
      </c>
      <c r="BL25">
        <f t="shared" si="11"/>
        <v>4.1622237351447842E-2</v>
      </c>
      <c r="BM25">
        <f t="shared" si="11"/>
        <v>-4.752474424507898E-3</v>
      </c>
      <c r="BN25">
        <f t="shared" si="11"/>
        <v>-3.1697548943321836E-2</v>
      </c>
      <c r="BO25">
        <f t="shared" si="11"/>
        <v>-3.6479742197902798E-4</v>
      </c>
      <c r="BP25">
        <f t="shared" si="11"/>
        <v>-3.9552686884009342E-2</v>
      </c>
      <c r="BQ25">
        <f t="shared" si="11"/>
        <v>-6.7897846923433303E-3</v>
      </c>
      <c r="BR25">
        <f t="shared" si="11"/>
        <v>2.7709410168622526E-2</v>
      </c>
      <c r="BS25">
        <f t="shared" si="11"/>
        <v>-2.4092971432997677E-2</v>
      </c>
      <c r="BT25">
        <f t="shared" si="11"/>
        <v>2.4940329626447644E-2</v>
      </c>
      <c r="BU25">
        <f t="shared" si="10"/>
        <v>-5.8495218971253713E-3</v>
      </c>
      <c r="BV25">
        <f t="shared" si="10"/>
        <v>1.0451669907502872E-2</v>
      </c>
      <c r="BW25">
        <f t="shared" si="10"/>
        <v>-1.992676558319406E-3</v>
      </c>
      <c r="BX25">
        <f t="shared" si="10"/>
        <v>2.4021642196741043E-2</v>
      </c>
      <c r="BY25">
        <f t="shared" si="10"/>
        <v>3.2981543457235293E-2</v>
      </c>
      <c r="BZ25">
        <f t="shared" si="10"/>
        <v>-0.11140327577536947</v>
      </c>
      <c r="CA25">
        <f t="shared" si="10"/>
        <v>0.83629623427140343</v>
      </c>
      <c r="CB25">
        <f t="shared" si="10"/>
        <v>-0.18889564859880029</v>
      </c>
      <c r="CC25">
        <f t="shared" si="10"/>
        <v>0.12176517837213294</v>
      </c>
      <c r="CD25">
        <f t="shared" si="10"/>
        <v>3.7752344159150426E-3</v>
      </c>
      <c r="CE25">
        <f t="shared" si="10"/>
        <v>1.6900699920149337E-2</v>
      </c>
      <c r="CG25">
        <f t="shared" si="5"/>
        <v>1</v>
      </c>
      <c r="CH25">
        <f t="shared" si="6"/>
        <v>1</v>
      </c>
      <c r="CJ25">
        <f t="shared" si="7"/>
        <v>4.7576378162036061E-2</v>
      </c>
      <c r="CL25">
        <f>SUMPRODUCT(AS25:CE25,Dimorfismo!AS25:CE25)</f>
        <v>-3.9962628673339724E-2</v>
      </c>
      <c r="CM25">
        <f t="shared" si="8"/>
        <v>3.9962628673339724E-2</v>
      </c>
      <c r="CN25">
        <f t="shared" si="9"/>
        <v>3.9983922676187653E-2</v>
      </c>
    </row>
    <row r="26" spans="1:92" x14ac:dyDescent="0.25">
      <c r="A26" t="s">
        <v>27</v>
      </c>
      <c r="B26">
        <v>-2.9930721025319558E-3</v>
      </c>
      <c r="C26">
        <v>-3.8041786178688912E-2</v>
      </c>
      <c r="D26">
        <v>-3.3292100559424116E-2</v>
      </c>
      <c r="E26">
        <v>3.9766467101483224E-3</v>
      </c>
      <c r="F26">
        <v>-5.0246625716993797E-3</v>
      </c>
      <c r="G26">
        <v>-3.6767130309836456E-3</v>
      </c>
      <c r="H26">
        <v>8.5437077884439369E-2</v>
      </c>
      <c r="I26">
        <v>4.1002080568713857E-2</v>
      </c>
      <c r="J26">
        <v>1.7474145852965604E-2</v>
      </c>
      <c r="K26">
        <v>-0.38044939253966009</v>
      </c>
      <c r="L26">
        <v>2.4060131413972115E-3</v>
      </c>
      <c r="M26">
        <v>2.6648093400061822E-2</v>
      </c>
      <c r="N26">
        <v>-0.21450860562753235</v>
      </c>
      <c r="O26">
        <v>-0.10709043427359091</v>
      </c>
      <c r="P26">
        <v>-3.60884353330434E-2</v>
      </c>
      <c r="Q26">
        <v>3.3374048683535634E-2</v>
      </c>
      <c r="R26">
        <v>3.7660703259327966E-2</v>
      </c>
      <c r="S26">
        <v>7.5024334571938814E-2</v>
      </c>
      <c r="T26">
        <v>7.0203652223732621E-2</v>
      </c>
      <c r="U26">
        <v>4.1622237278993737E-2</v>
      </c>
      <c r="V26">
        <v>-4.7524744162350061E-3</v>
      </c>
      <c r="W26">
        <v>-3.1697548888144182E-2</v>
      </c>
      <c r="X26">
        <v>-3.6479742134400519E-4</v>
      </c>
      <c r="Y26">
        <v>-3.955268681515782E-2</v>
      </c>
      <c r="Z26">
        <v>-6.789784680523981E-3</v>
      </c>
      <c r="AA26">
        <v>2.7709410120387242E-2</v>
      </c>
      <c r="AB26">
        <v>-2.4092971391057726E-2</v>
      </c>
      <c r="AC26">
        <v>2.4940329583032651E-2</v>
      </c>
      <c r="AD26">
        <v>-5.8495218869427891E-3</v>
      </c>
      <c r="AE26">
        <v>1.0451669889309078E-2</v>
      </c>
      <c r="AF26">
        <v>-1.9926765548506451E-3</v>
      </c>
      <c r="AG26">
        <v>2.4021642154925256E-2</v>
      </c>
      <c r="AH26">
        <v>3.2981543399822517E-2</v>
      </c>
      <c r="AI26">
        <v>-0.11140327558144371</v>
      </c>
      <c r="AJ26">
        <v>0.83629623281561682</v>
      </c>
      <c r="AK26">
        <v>-0.18889564826997932</v>
      </c>
      <c r="AL26">
        <v>0.12176517816016964</v>
      </c>
      <c r="AM26">
        <v>3.7752344093432855E-3</v>
      </c>
      <c r="AN26">
        <v>1.6900699890729363E-2</v>
      </c>
      <c r="AP26">
        <f t="shared" si="2"/>
        <v>0.99999999651849081</v>
      </c>
      <c r="AQ26">
        <f t="shared" si="3"/>
        <v>0.99999999825924535</v>
      </c>
      <c r="AS26">
        <f t="shared" si="13"/>
        <v>-2.9930721077421601E-3</v>
      </c>
      <c r="AT26">
        <f t="shared" si="13"/>
        <v>-3.8041786244910329E-2</v>
      </c>
      <c r="AU26">
        <f t="shared" si="13"/>
        <v>-3.3292100617377494E-2</v>
      </c>
      <c r="AV26">
        <f t="shared" si="13"/>
        <v>3.9766467170706888E-3</v>
      </c>
      <c r="AW26">
        <f t="shared" si="13"/>
        <v>-5.0246625804460845E-3</v>
      </c>
      <c r="AX26">
        <f t="shared" si="13"/>
        <v>-3.676713037383901E-3</v>
      </c>
      <c r="AY26">
        <f t="shared" si="13"/>
        <v>8.543707803316436E-2</v>
      </c>
      <c r="AZ26">
        <f t="shared" si="13"/>
        <v>4.1002080640088423E-2</v>
      </c>
      <c r="BA26">
        <f t="shared" si="13"/>
        <v>1.7474145883383804E-2</v>
      </c>
      <c r="BB26">
        <f t="shared" si="12"/>
        <v>-0.38044939320192916</v>
      </c>
      <c r="BC26">
        <f t="shared" si="12"/>
        <v>2.4060131455854901E-3</v>
      </c>
      <c r="BD26">
        <f t="shared" si="12"/>
        <v>2.6648093446449615E-2</v>
      </c>
      <c r="BE26">
        <f t="shared" si="12"/>
        <v>-0.21450860600093921</v>
      </c>
      <c r="BF26">
        <f t="shared" si="12"/>
        <v>-0.10709043446000908</v>
      </c>
      <c r="BG26">
        <f t="shared" si="12"/>
        <v>-3.608843539586451E-2</v>
      </c>
      <c r="BH26">
        <f t="shared" si="12"/>
        <v>3.3374048741631662E-2</v>
      </c>
      <c r="BI26">
        <f t="shared" si="11"/>
        <v>3.7660703324886011E-2</v>
      </c>
      <c r="BJ26">
        <f t="shared" si="11"/>
        <v>7.5024334702537776E-2</v>
      </c>
      <c r="BK26">
        <f t="shared" si="11"/>
        <v>7.0203652345939949E-2</v>
      </c>
      <c r="BL26">
        <f t="shared" si="11"/>
        <v>4.1622237351447842E-2</v>
      </c>
      <c r="BM26">
        <f t="shared" si="11"/>
        <v>-4.752474424507898E-3</v>
      </c>
      <c r="BN26">
        <f t="shared" si="11"/>
        <v>-3.1697548943321836E-2</v>
      </c>
      <c r="BO26">
        <f t="shared" si="11"/>
        <v>-3.6479742197902798E-4</v>
      </c>
      <c r="BP26">
        <f t="shared" si="11"/>
        <v>-3.9552686884009342E-2</v>
      </c>
      <c r="BQ26">
        <f t="shared" si="11"/>
        <v>-6.7897846923433303E-3</v>
      </c>
      <c r="BR26">
        <f t="shared" si="11"/>
        <v>2.7709410168622526E-2</v>
      </c>
      <c r="BS26">
        <f t="shared" si="11"/>
        <v>-2.4092971432997677E-2</v>
      </c>
      <c r="BT26">
        <f t="shared" si="11"/>
        <v>2.4940329626447644E-2</v>
      </c>
      <c r="BU26">
        <f t="shared" si="10"/>
        <v>-5.8495218971253713E-3</v>
      </c>
      <c r="BV26">
        <f t="shared" si="10"/>
        <v>1.0451669907502872E-2</v>
      </c>
      <c r="BW26">
        <f t="shared" si="10"/>
        <v>-1.992676558319406E-3</v>
      </c>
      <c r="BX26">
        <f t="shared" si="10"/>
        <v>2.4021642196741043E-2</v>
      </c>
      <c r="BY26">
        <f t="shared" si="10"/>
        <v>3.2981543457235293E-2</v>
      </c>
      <c r="BZ26">
        <f t="shared" si="10"/>
        <v>-0.11140327577536947</v>
      </c>
      <c r="CA26">
        <f t="shared" si="10"/>
        <v>0.83629623427140343</v>
      </c>
      <c r="CB26">
        <f t="shared" si="10"/>
        <v>-0.18889564859880029</v>
      </c>
      <c r="CC26">
        <f t="shared" si="10"/>
        <v>0.12176517837213294</v>
      </c>
      <c r="CD26">
        <f t="shared" si="10"/>
        <v>3.7752344159150426E-3</v>
      </c>
      <c r="CE26">
        <f t="shared" si="10"/>
        <v>1.6900699920149337E-2</v>
      </c>
      <c r="CG26">
        <f t="shared" si="5"/>
        <v>1</v>
      </c>
      <c r="CH26">
        <f t="shared" si="6"/>
        <v>1</v>
      </c>
      <c r="CJ26">
        <f t="shared" si="7"/>
        <v>4.7576378162036061E-2</v>
      </c>
      <c r="CL26">
        <f>SUMPRODUCT(AS26:CE26,Dimorfismo!AS26:CE26)</f>
        <v>-0.14595493659571759</v>
      </c>
      <c r="CM26">
        <f t="shared" si="8"/>
        <v>0.14595493659571759</v>
      </c>
      <c r="CN26">
        <f t="shared" si="9"/>
        <v>0.14700480715524872</v>
      </c>
    </row>
    <row r="27" spans="1:92" x14ac:dyDescent="0.25">
      <c r="A27" t="s">
        <v>28</v>
      </c>
      <c r="B27">
        <v>-2.9930721025319558E-3</v>
      </c>
      <c r="C27">
        <v>-3.8041786178688912E-2</v>
      </c>
      <c r="D27">
        <v>-3.3292100559424116E-2</v>
      </c>
      <c r="E27">
        <v>3.9766467101483224E-3</v>
      </c>
      <c r="F27">
        <v>-5.0246625716993797E-3</v>
      </c>
      <c r="G27">
        <v>-3.6767130309836456E-3</v>
      </c>
      <c r="H27">
        <v>8.5437077884439369E-2</v>
      </c>
      <c r="I27">
        <v>4.1002080568713857E-2</v>
      </c>
      <c r="J27">
        <v>1.7474145852965604E-2</v>
      </c>
      <c r="K27">
        <v>-0.38044939253966009</v>
      </c>
      <c r="L27">
        <v>2.4060131413972115E-3</v>
      </c>
      <c r="M27">
        <v>2.6648093400061822E-2</v>
      </c>
      <c r="N27">
        <v>-0.21450860562753235</v>
      </c>
      <c r="O27">
        <v>-0.10709043427359091</v>
      </c>
      <c r="P27">
        <v>-3.60884353330434E-2</v>
      </c>
      <c r="Q27">
        <v>3.3374048683535634E-2</v>
      </c>
      <c r="R27">
        <v>3.7660703259327966E-2</v>
      </c>
      <c r="S27">
        <v>7.5024334571938814E-2</v>
      </c>
      <c r="T27">
        <v>7.0203652223732621E-2</v>
      </c>
      <c r="U27">
        <v>4.1622237278993737E-2</v>
      </c>
      <c r="V27">
        <v>-4.7524744162350061E-3</v>
      </c>
      <c r="W27">
        <v>-3.1697548888144182E-2</v>
      </c>
      <c r="X27">
        <v>-3.6479742134400519E-4</v>
      </c>
      <c r="Y27">
        <v>-3.955268681515782E-2</v>
      </c>
      <c r="Z27">
        <v>-6.789784680523981E-3</v>
      </c>
      <c r="AA27">
        <v>2.7709410120387242E-2</v>
      </c>
      <c r="AB27">
        <v>-2.4092971391057726E-2</v>
      </c>
      <c r="AC27">
        <v>2.4940329583032651E-2</v>
      </c>
      <c r="AD27">
        <v>-5.8495218869427891E-3</v>
      </c>
      <c r="AE27">
        <v>1.0451669889309078E-2</v>
      </c>
      <c r="AF27">
        <v>-1.9926765548506451E-3</v>
      </c>
      <c r="AG27">
        <v>2.4021642154925256E-2</v>
      </c>
      <c r="AH27">
        <v>3.2981543399822517E-2</v>
      </c>
      <c r="AI27">
        <v>-0.11140327558144371</v>
      </c>
      <c r="AJ27">
        <v>0.83629623281561682</v>
      </c>
      <c r="AK27">
        <v>-0.18889564826997932</v>
      </c>
      <c r="AL27">
        <v>0.12176517816016964</v>
      </c>
      <c r="AM27">
        <v>3.7752344093432855E-3</v>
      </c>
      <c r="AN27">
        <v>1.6900699890729363E-2</v>
      </c>
      <c r="AP27">
        <f t="shared" si="2"/>
        <v>0.99999999651849081</v>
      </c>
      <c r="AQ27">
        <f t="shared" si="3"/>
        <v>0.99999999825924535</v>
      </c>
      <c r="AS27">
        <f t="shared" si="13"/>
        <v>-2.9930721077421601E-3</v>
      </c>
      <c r="AT27">
        <f t="shared" si="13"/>
        <v>-3.8041786244910329E-2</v>
      </c>
      <c r="AU27">
        <f t="shared" si="13"/>
        <v>-3.3292100617377494E-2</v>
      </c>
      <c r="AV27">
        <f t="shared" si="13"/>
        <v>3.9766467170706888E-3</v>
      </c>
      <c r="AW27">
        <f t="shared" si="13"/>
        <v>-5.0246625804460845E-3</v>
      </c>
      <c r="AX27">
        <f t="shared" si="13"/>
        <v>-3.676713037383901E-3</v>
      </c>
      <c r="AY27">
        <f t="shared" si="13"/>
        <v>8.543707803316436E-2</v>
      </c>
      <c r="AZ27">
        <f t="shared" si="13"/>
        <v>4.1002080640088423E-2</v>
      </c>
      <c r="BA27">
        <f t="shared" si="13"/>
        <v>1.7474145883383804E-2</v>
      </c>
      <c r="BB27">
        <f t="shared" si="12"/>
        <v>-0.38044939320192916</v>
      </c>
      <c r="BC27">
        <f t="shared" si="12"/>
        <v>2.4060131455854901E-3</v>
      </c>
      <c r="BD27">
        <f t="shared" si="12"/>
        <v>2.6648093446449615E-2</v>
      </c>
      <c r="BE27">
        <f t="shared" si="12"/>
        <v>-0.21450860600093921</v>
      </c>
      <c r="BF27">
        <f t="shared" si="12"/>
        <v>-0.10709043446000908</v>
      </c>
      <c r="BG27">
        <f t="shared" si="12"/>
        <v>-3.608843539586451E-2</v>
      </c>
      <c r="BH27">
        <f t="shared" si="12"/>
        <v>3.3374048741631662E-2</v>
      </c>
      <c r="BI27">
        <f t="shared" si="11"/>
        <v>3.7660703324886011E-2</v>
      </c>
      <c r="BJ27">
        <f t="shared" si="11"/>
        <v>7.5024334702537776E-2</v>
      </c>
      <c r="BK27">
        <f t="shared" si="11"/>
        <v>7.0203652345939949E-2</v>
      </c>
      <c r="BL27">
        <f t="shared" si="11"/>
        <v>4.1622237351447842E-2</v>
      </c>
      <c r="BM27">
        <f t="shared" si="11"/>
        <v>-4.752474424507898E-3</v>
      </c>
      <c r="BN27">
        <f t="shared" si="11"/>
        <v>-3.1697548943321836E-2</v>
      </c>
      <c r="BO27">
        <f t="shared" si="11"/>
        <v>-3.6479742197902798E-4</v>
      </c>
      <c r="BP27">
        <f t="shared" si="11"/>
        <v>-3.9552686884009342E-2</v>
      </c>
      <c r="BQ27">
        <f t="shared" si="11"/>
        <v>-6.7897846923433303E-3</v>
      </c>
      <c r="BR27">
        <f t="shared" si="11"/>
        <v>2.7709410168622526E-2</v>
      </c>
      <c r="BS27">
        <f t="shared" si="11"/>
        <v>-2.4092971432997677E-2</v>
      </c>
      <c r="BT27">
        <f t="shared" si="11"/>
        <v>2.4940329626447644E-2</v>
      </c>
      <c r="BU27">
        <f t="shared" si="10"/>
        <v>-5.8495218971253713E-3</v>
      </c>
      <c r="BV27">
        <f t="shared" si="10"/>
        <v>1.0451669907502872E-2</v>
      </c>
      <c r="BW27">
        <f t="shared" si="10"/>
        <v>-1.992676558319406E-3</v>
      </c>
      <c r="BX27">
        <f t="shared" si="10"/>
        <v>2.4021642196741043E-2</v>
      </c>
      <c r="BY27">
        <f t="shared" si="10"/>
        <v>3.2981543457235293E-2</v>
      </c>
      <c r="BZ27">
        <f t="shared" si="10"/>
        <v>-0.11140327577536947</v>
      </c>
      <c r="CA27">
        <f t="shared" si="10"/>
        <v>0.83629623427140343</v>
      </c>
      <c r="CB27">
        <f t="shared" si="10"/>
        <v>-0.18889564859880029</v>
      </c>
      <c r="CC27">
        <f t="shared" si="10"/>
        <v>0.12176517837213294</v>
      </c>
      <c r="CD27">
        <f t="shared" si="10"/>
        <v>3.7752344159150426E-3</v>
      </c>
      <c r="CE27">
        <f t="shared" si="10"/>
        <v>1.6900699920149337E-2</v>
      </c>
      <c r="CG27">
        <f t="shared" si="5"/>
        <v>1</v>
      </c>
      <c r="CH27">
        <f t="shared" si="6"/>
        <v>1</v>
      </c>
      <c r="CJ27">
        <f t="shared" si="7"/>
        <v>4.7576378162036061E-2</v>
      </c>
      <c r="CL27">
        <f>SUMPRODUCT(AS27:CE27,Dimorfismo!AS27:CE27)</f>
        <v>2.7952984719940101E-2</v>
      </c>
      <c r="CM27">
        <f t="shared" si="8"/>
        <v>2.7952984719940101E-2</v>
      </c>
      <c r="CN27">
        <f t="shared" si="9"/>
        <v>2.7960268670329805E-2</v>
      </c>
    </row>
    <row r="28" spans="1:92" x14ac:dyDescent="0.25">
      <c r="A28" t="s">
        <v>29</v>
      </c>
      <c r="B28">
        <v>-2.9930721025319558E-3</v>
      </c>
      <c r="C28">
        <v>-3.8041786178688912E-2</v>
      </c>
      <c r="D28">
        <v>-3.3292100559424116E-2</v>
      </c>
      <c r="E28">
        <v>3.9766467101483224E-3</v>
      </c>
      <c r="F28">
        <v>-5.0246625716993797E-3</v>
      </c>
      <c r="G28">
        <v>-3.6767130309836456E-3</v>
      </c>
      <c r="H28">
        <v>8.5437077884439369E-2</v>
      </c>
      <c r="I28">
        <v>4.1002080568713857E-2</v>
      </c>
      <c r="J28">
        <v>1.7474145852965604E-2</v>
      </c>
      <c r="K28">
        <v>-0.38044939253966009</v>
      </c>
      <c r="L28">
        <v>2.4060131413972115E-3</v>
      </c>
      <c r="M28">
        <v>2.6648093400061822E-2</v>
      </c>
      <c r="N28">
        <v>-0.21450860562753235</v>
      </c>
      <c r="O28">
        <v>-0.10709043427359091</v>
      </c>
      <c r="P28">
        <v>-3.60884353330434E-2</v>
      </c>
      <c r="Q28">
        <v>3.3374048683535634E-2</v>
      </c>
      <c r="R28">
        <v>3.7660703259327966E-2</v>
      </c>
      <c r="S28">
        <v>7.5024334571938814E-2</v>
      </c>
      <c r="T28">
        <v>7.0203652223732621E-2</v>
      </c>
      <c r="U28">
        <v>4.1622237278993737E-2</v>
      </c>
      <c r="V28">
        <v>-4.7524744162350061E-3</v>
      </c>
      <c r="W28">
        <v>-3.1697548888144182E-2</v>
      </c>
      <c r="X28">
        <v>-3.6479742134400519E-4</v>
      </c>
      <c r="Y28">
        <v>-3.955268681515782E-2</v>
      </c>
      <c r="Z28">
        <v>-6.789784680523981E-3</v>
      </c>
      <c r="AA28">
        <v>2.7709410120387242E-2</v>
      </c>
      <c r="AB28">
        <v>-2.4092971391057726E-2</v>
      </c>
      <c r="AC28">
        <v>2.4940329583032651E-2</v>
      </c>
      <c r="AD28">
        <v>-5.8495218869427891E-3</v>
      </c>
      <c r="AE28">
        <v>1.0451669889309078E-2</v>
      </c>
      <c r="AF28">
        <v>-1.9926765548506451E-3</v>
      </c>
      <c r="AG28">
        <v>2.4021642154925256E-2</v>
      </c>
      <c r="AH28">
        <v>3.2981543399822517E-2</v>
      </c>
      <c r="AI28">
        <v>-0.11140327558144371</v>
      </c>
      <c r="AJ28">
        <v>0.83629623281561682</v>
      </c>
      <c r="AK28">
        <v>-0.18889564826997932</v>
      </c>
      <c r="AL28">
        <v>0.12176517816016964</v>
      </c>
      <c r="AM28">
        <v>3.7752344093432855E-3</v>
      </c>
      <c r="AN28">
        <v>1.6900699890729363E-2</v>
      </c>
      <c r="AP28">
        <f t="shared" si="2"/>
        <v>0.99999999651849081</v>
      </c>
      <c r="AQ28">
        <f t="shared" si="3"/>
        <v>0.99999999825924535</v>
      </c>
      <c r="AS28">
        <f t="shared" si="13"/>
        <v>-2.9930721077421601E-3</v>
      </c>
      <c r="AT28">
        <f t="shared" si="13"/>
        <v>-3.8041786244910329E-2</v>
      </c>
      <c r="AU28">
        <f t="shared" si="13"/>
        <v>-3.3292100617377494E-2</v>
      </c>
      <c r="AV28">
        <f t="shared" si="13"/>
        <v>3.9766467170706888E-3</v>
      </c>
      <c r="AW28">
        <f t="shared" si="13"/>
        <v>-5.0246625804460845E-3</v>
      </c>
      <c r="AX28">
        <f t="shared" si="13"/>
        <v>-3.676713037383901E-3</v>
      </c>
      <c r="AY28">
        <f t="shared" si="13"/>
        <v>8.543707803316436E-2</v>
      </c>
      <c r="AZ28">
        <f t="shared" si="13"/>
        <v>4.1002080640088423E-2</v>
      </c>
      <c r="BA28">
        <f t="shared" si="13"/>
        <v>1.7474145883383804E-2</v>
      </c>
      <c r="BB28">
        <f t="shared" si="12"/>
        <v>-0.38044939320192916</v>
      </c>
      <c r="BC28">
        <f t="shared" si="12"/>
        <v>2.4060131455854901E-3</v>
      </c>
      <c r="BD28">
        <f t="shared" si="12"/>
        <v>2.6648093446449615E-2</v>
      </c>
      <c r="BE28">
        <f t="shared" si="12"/>
        <v>-0.21450860600093921</v>
      </c>
      <c r="BF28">
        <f t="shared" si="12"/>
        <v>-0.10709043446000908</v>
      </c>
      <c r="BG28">
        <f t="shared" si="12"/>
        <v>-3.608843539586451E-2</v>
      </c>
      <c r="BH28">
        <f t="shared" si="12"/>
        <v>3.3374048741631662E-2</v>
      </c>
      <c r="BI28">
        <f t="shared" si="11"/>
        <v>3.7660703324886011E-2</v>
      </c>
      <c r="BJ28">
        <f t="shared" si="11"/>
        <v>7.5024334702537776E-2</v>
      </c>
      <c r="BK28">
        <f t="shared" si="11"/>
        <v>7.0203652345939949E-2</v>
      </c>
      <c r="BL28">
        <f t="shared" si="11"/>
        <v>4.1622237351447842E-2</v>
      </c>
      <c r="BM28">
        <f t="shared" si="11"/>
        <v>-4.752474424507898E-3</v>
      </c>
      <c r="BN28">
        <f t="shared" si="11"/>
        <v>-3.1697548943321836E-2</v>
      </c>
      <c r="BO28">
        <f t="shared" si="11"/>
        <v>-3.6479742197902798E-4</v>
      </c>
      <c r="BP28">
        <f t="shared" si="11"/>
        <v>-3.9552686884009342E-2</v>
      </c>
      <c r="BQ28">
        <f t="shared" si="11"/>
        <v>-6.7897846923433303E-3</v>
      </c>
      <c r="BR28">
        <f t="shared" si="11"/>
        <v>2.7709410168622526E-2</v>
      </c>
      <c r="BS28">
        <f t="shared" si="11"/>
        <v>-2.4092971432997677E-2</v>
      </c>
      <c r="BT28">
        <f t="shared" si="11"/>
        <v>2.4940329626447644E-2</v>
      </c>
      <c r="BU28">
        <f t="shared" si="10"/>
        <v>-5.8495218971253713E-3</v>
      </c>
      <c r="BV28">
        <f t="shared" si="10"/>
        <v>1.0451669907502872E-2</v>
      </c>
      <c r="BW28">
        <f t="shared" si="10"/>
        <v>-1.992676558319406E-3</v>
      </c>
      <c r="BX28">
        <f t="shared" si="10"/>
        <v>2.4021642196741043E-2</v>
      </c>
      <c r="BY28">
        <f t="shared" si="10"/>
        <v>3.2981543457235293E-2</v>
      </c>
      <c r="BZ28">
        <f t="shared" si="10"/>
        <v>-0.11140327577536947</v>
      </c>
      <c r="CA28">
        <f t="shared" si="10"/>
        <v>0.83629623427140343</v>
      </c>
      <c r="CB28">
        <f t="shared" si="10"/>
        <v>-0.18889564859880029</v>
      </c>
      <c r="CC28">
        <f t="shared" si="10"/>
        <v>0.12176517837213294</v>
      </c>
      <c r="CD28">
        <f t="shared" si="10"/>
        <v>3.7752344159150426E-3</v>
      </c>
      <c r="CE28">
        <f t="shared" si="10"/>
        <v>1.6900699920149337E-2</v>
      </c>
      <c r="CG28">
        <f t="shared" si="5"/>
        <v>1</v>
      </c>
      <c r="CH28">
        <f t="shared" si="6"/>
        <v>1</v>
      </c>
      <c r="CJ28">
        <f t="shared" si="7"/>
        <v>4.7576378162036061E-2</v>
      </c>
      <c r="CL28">
        <f>SUMPRODUCT(AS28:CE28,Dimorfismo!AS28:CE28)</f>
        <v>1.4785377333121477E-2</v>
      </c>
      <c r="CM28">
        <f t="shared" si="8"/>
        <v>1.4785377333121477E-2</v>
      </c>
      <c r="CN28">
        <f t="shared" si="9"/>
        <v>1.478645487200767E-2</v>
      </c>
    </row>
    <row r="29" spans="1:92" x14ac:dyDescent="0.25">
      <c r="A29" t="s">
        <v>30</v>
      </c>
      <c r="B29">
        <v>-2.9930721025319558E-3</v>
      </c>
      <c r="C29">
        <v>-3.8041786178688912E-2</v>
      </c>
      <c r="D29">
        <v>-3.3292100559424116E-2</v>
      </c>
      <c r="E29">
        <v>3.9766467101483224E-3</v>
      </c>
      <c r="F29">
        <v>-5.0246625716993797E-3</v>
      </c>
      <c r="G29">
        <v>-3.6767130309836456E-3</v>
      </c>
      <c r="H29">
        <v>8.5437077884439369E-2</v>
      </c>
      <c r="I29">
        <v>4.1002080568713857E-2</v>
      </c>
      <c r="J29">
        <v>1.7474145852965604E-2</v>
      </c>
      <c r="K29">
        <v>-0.38044939253966009</v>
      </c>
      <c r="L29">
        <v>2.4060131413972115E-3</v>
      </c>
      <c r="M29">
        <v>2.6648093400061822E-2</v>
      </c>
      <c r="N29">
        <v>-0.21450860562753235</v>
      </c>
      <c r="O29">
        <v>-0.10709043427359091</v>
      </c>
      <c r="P29">
        <v>-3.60884353330434E-2</v>
      </c>
      <c r="Q29">
        <v>3.3374048683535634E-2</v>
      </c>
      <c r="R29">
        <v>3.7660703259327966E-2</v>
      </c>
      <c r="S29">
        <v>7.5024334571938814E-2</v>
      </c>
      <c r="T29">
        <v>7.0203652223732621E-2</v>
      </c>
      <c r="U29">
        <v>4.1622237278993737E-2</v>
      </c>
      <c r="V29">
        <v>-4.7524744162350061E-3</v>
      </c>
      <c r="W29">
        <v>-3.1697548888144182E-2</v>
      </c>
      <c r="X29">
        <v>-3.6479742134400519E-4</v>
      </c>
      <c r="Y29">
        <v>-3.955268681515782E-2</v>
      </c>
      <c r="Z29">
        <v>-6.789784680523981E-3</v>
      </c>
      <c r="AA29">
        <v>2.7709410120387242E-2</v>
      </c>
      <c r="AB29">
        <v>-2.4092971391057726E-2</v>
      </c>
      <c r="AC29">
        <v>2.4940329583032651E-2</v>
      </c>
      <c r="AD29">
        <v>-5.8495218869427891E-3</v>
      </c>
      <c r="AE29">
        <v>1.0451669889309078E-2</v>
      </c>
      <c r="AF29">
        <v>-1.9926765548506451E-3</v>
      </c>
      <c r="AG29">
        <v>2.4021642154925256E-2</v>
      </c>
      <c r="AH29">
        <v>3.2981543399822517E-2</v>
      </c>
      <c r="AI29">
        <v>-0.11140327558144371</v>
      </c>
      <c r="AJ29">
        <v>0.83629623281561682</v>
      </c>
      <c r="AK29">
        <v>-0.18889564826997932</v>
      </c>
      <c r="AL29">
        <v>0.12176517816016964</v>
      </c>
      <c r="AM29">
        <v>3.7752344093432855E-3</v>
      </c>
      <c r="AN29">
        <v>1.6900699890729363E-2</v>
      </c>
      <c r="AP29">
        <f t="shared" si="2"/>
        <v>0.99999999651849081</v>
      </c>
      <c r="AQ29">
        <f t="shared" si="3"/>
        <v>0.99999999825924535</v>
      </c>
      <c r="AS29">
        <f t="shared" si="13"/>
        <v>-2.9930721077421601E-3</v>
      </c>
      <c r="AT29">
        <f t="shared" si="13"/>
        <v>-3.8041786244910329E-2</v>
      </c>
      <c r="AU29">
        <f t="shared" si="13"/>
        <v>-3.3292100617377494E-2</v>
      </c>
      <c r="AV29">
        <f t="shared" si="13"/>
        <v>3.9766467170706888E-3</v>
      </c>
      <c r="AW29">
        <f t="shared" si="13"/>
        <v>-5.0246625804460845E-3</v>
      </c>
      <c r="AX29">
        <f t="shared" si="13"/>
        <v>-3.676713037383901E-3</v>
      </c>
      <c r="AY29">
        <f t="shared" si="13"/>
        <v>8.543707803316436E-2</v>
      </c>
      <c r="AZ29">
        <f t="shared" si="13"/>
        <v>4.1002080640088423E-2</v>
      </c>
      <c r="BA29">
        <f t="shared" si="13"/>
        <v>1.7474145883383804E-2</v>
      </c>
      <c r="BB29">
        <f t="shared" si="12"/>
        <v>-0.38044939320192916</v>
      </c>
      <c r="BC29">
        <f t="shared" si="12"/>
        <v>2.4060131455854901E-3</v>
      </c>
      <c r="BD29">
        <f t="shared" si="12"/>
        <v>2.6648093446449615E-2</v>
      </c>
      <c r="BE29">
        <f t="shared" si="12"/>
        <v>-0.21450860600093921</v>
      </c>
      <c r="BF29">
        <f t="shared" si="12"/>
        <v>-0.10709043446000908</v>
      </c>
      <c r="BG29">
        <f t="shared" si="12"/>
        <v>-3.608843539586451E-2</v>
      </c>
      <c r="BH29">
        <f t="shared" si="12"/>
        <v>3.3374048741631662E-2</v>
      </c>
      <c r="BI29">
        <f t="shared" si="11"/>
        <v>3.7660703324886011E-2</v>
      </c>
      <c r="BJ29">
        <f t="shared" si="11"/>
        <v>7.5024334702537776E-2</v>
      </c>
      <c r="BK29">
        <f t="shared" si="11"/>
        <v>7.0203652345939949E-2</v>
      </c>
      <c r="BL29">
        <f t="shared" si="11"/>
        <v>4.1622237351447842E-2</v>
      </c>
      <c r="BM29">
        <f t="shared" si="11"/>
        <v>-4.752474424507898E-3</v>
      </c>
      <c r="BN29">
        <f t="shared" si="11"/>
        <v>-3.1697548943321836E-2</v>
      </c>
      <c r="BO29">
        <f t="shared" si="11"/>
        <v>-3.6479742197902798E-4</v>
      </c>
      <c r="BP29">
        <f t="shared" si="11"/>
        <v>-3.9552686884009342E-2</v>
      </c>
      <c r="BQ29">
        <f t="shared" si="11"/>
        <v>-6.7897846923433303E-3</v>
      </c>
      <c r="BR29">
        <f t="shared" si="11"/>
        <v>2.7709410168622526E-2</v>
      </c>
      <c r="BS29">
        <f t="shared" si="11"/>
        <v>-2.4092971432997677E-2</v>
      </c>
      <c r="BT29">
        <f t="shared" si="11"/>
        <v>2.4940329626447644E-2</v>
      </c>
      <c r="BU29">
        <f t="shared" si="10"/>
        <v>-5.8495218971253713E-3</v>
      </c>
      <c r="BV29">
        <f t="shared" si="10"/>
        <v>1.0451669907502872E-2</v>
      </c>
      <c r="BW29">
        <f t="shared" si="10"/>
        <v>-1.992676558319406E-3</v>
      </c>
      <c r="BX29">
        <f t="shared" si="10"/>
        <v>2.4021642196741043E-2</v>
      </c>
      <c r="BY29">
        <f t="shared" si="10"/>
        <v>3.2981543457235293E-2</v>
      </c>
      <c r="BZ29">
        <f t="shared" si="10"/>
        <v>-0.11140327577536947</v>
      </c>
      <c r="CA29">
        <f t="shared" si="10"/>
        <v>0.83629623427140343</v>
      </c>
      <c r="CB29">
        <f t="shared" si="10"/>
        <v>-0.18889564859880029</v>
      </c>
      <c r="CC29">
        <f t="shared" si="10"/>
        <v>0.12176517837213294</v>
      </c>
      <c r="CD29">
        <f t="shared" si="10"/>
        <v>3.7752344159150426E-3</v>
      </c>
      <c r="CE29">
        <f t="shared" si="10"/>
        <v>1.6900699920149337E-2</v>
      </c>
      <c r="CG29">
        <f t="shared" si="5"/>
        <v>1</v>
      </c>
      <c r="CH29">
        <f t="shared" si="6"/>
        <v>1</v>
      </c>
      <c r="CJ29">
        <f t="shared" si="7"/>
        <v>4.7576378162036061E-2</v>
      </c>
      <c r="CL29">
        <f>SUMPRODUCT(AS29:CE29,Dimorfismo!AS29:CE29)</f>
        <v>2.0435785817782551E-2</v>
      </c>
      <c r="CM29">
        <f t="shared" si="8"/>
        <v>2.0435785817782551E-2</v>
      </c>
      <c r="CN29">
        <f t="shared" si="9"/>
        <v>2.0438631337592449E-2</v>
      </c>
    </row>
    <row r="30" spans="1:92" x14ac:dyDescent="0.25">
      <c r="A30" t="s">
        <v>31</v>
      </c>
      <c r="B30">
        <v>-2.9930721025319558E-3</v>
      </c>
      <c r="C30">
        <v>-3.8041786178688912E-2</v>
      </c>
      <c r="D30">
        <v>-3.3292100559424116E-2</v>
      </c>
      <c r="E30">
        <v>3.9766467101483224E-3</v>
      </c>
      <c r="F30">
        <v>-5.0246625716993797E-3</v>
      </c>
      <c r="G30">
        <v>-3.6767130309836456E-3</v>
      </c>
      <c r="H30">
        <v>8.5437077884439369E-2</v>
      </c>
      <c r="I30">
        <v>4.1002080568713857E-2</v>
      </c>
      <c r="J30">
        <v>1.7474145852965604E-2</v>
      </c>
      <c r="K30">
        <v>-0.38044939253966009</v>
      </c>
      <c r="L30">
        <v>2.4060131413972115E-3</v>
      </c>
      <c r="M30">
        <v>2.6648093400061822E-2</v>
      </c>
      <c r="N30">
        <v>-0.21450860562753235</v>
      </c>
      <c r="O30">
        <v>-0.10709043427359091</v>
      </c>
      <c r="P30">
        <v>-3.60884353330434E-2</v>
      </c>
      <c r="Q30">
        <v>3.3374048683535634E-2</v>
      </c>
      <c r="R30">
        <v>3.7660703259327966E-2</v>
      </c>
      <c r="S30">
        <v>7.5024334571938814E-2</v>
      </c>
      <c r="T30">
        <v>7.0203652223732621E-2</v>
      </c>
      <c r="U30">
        <v>4.1622237278993737E-2</v>
      </c>
      <c r="V30">
        <v>-4.7524744162350061E-3</v>
      </c>
      <c r="W30">
        <v>-3.1697548888144182E-2</v>
      </c>
      <c r="X30">
        <v>-3.6479742134400519E-4</v>
      </c>
      <c r="Y30">
        <v>-3.955268681515782E-2</v>
      </c>
      <c r="Z30">
        <v>-6.789784680523981E-3</v>
      </c>
      <c r="AA30">
        <v>2.7709410120387242E-2</v>
      </c>
      <c r="AB30">
        <v>-2.4092971391057726E-2</v>
      </c>
      <c r="AC30">
        <v>2.4940329583032651E-2</v>
      </c>
      <c r="AD30">
        <v>-5.8495218869427891E-3</v>
      </c>
      <c r="AE30">
        <v>1.0451669889309078E-2</v>
      </c>
      <c r="AF30">
        <v>-1.9926765548506451E-3</v>
      </c>
      <c r="AG30">
        <v>2.4021642154925256E-2</v>
      </c>
      <c r="AH30">
        <v>3.2981543399822517E-2</v>
      </c>
      <c r="AI30">
        <v>-0.11140327558144371</v>
      </c>
      <c r="AJ30">
        <v>0.83629623281561682</v>
      </c>
      <c r="AK30">
        <v>-0.18889564826997932</v>
      </c>
      <c r="AL30">
        <v>0.12176517816016964</v>
      </c>
      <c r="AM30">
        <v>3.7752344093432855E-3</v>
      </c>
      <c r="AN30">
        <v>1.6900699890729363E-2</v>
      </c>
      <c r="AP30">
        <f t="shared" si="2"/>
        <v>0.99999999651849081</v>
      </c>
      <c r="AQ30">
        <f t="shared" si="3"/>
        <v>0.99999999825924535</v>
      </c>
      <c r="AS30">
        <f t="shared" si="13"/>
        <v>-2.9930721077421601E-3</v>
      </c>
      <c r="AT30">
        <f t="shared" si="13"/>
        <v>-3.8041786244910329E-2</v>
      </c>
      <c r="AU30">
        <f t="shared" si="13"/>
        <v>-3.3292100617377494E-2</v>
      </c>
      <c r="AV30">
        <f t="shared" si="13"/>
        <v>3.9766467170706888E-3</v>
      </c>
      <c r="AW30">
        <f t="shared" si="13"/>
        <v>-5.0246625804460845E-3</v>
      </c>
      <c r="AX30">
        <f t="shared" si="13"/>
        <v>-3.676713037383901E-3</v>
      </c>
      <c r="AY30">
        <f t="shared" si="13"/>
        <v>8.543707803316436E-2</v>
      </c>
      <c r="AZ30">
        <f t="shared" si="13"/>
        <v>4.1002080640088423E-2</v>
      </c>
      <c r="BA30">
        <f t="shared" si="13"/>
        <v>1.7474145883383804E-2</v>
      </c>
      <c r="BB30">
        <f t="shared" si="12"/>
        <v>-0.38044939320192916</v>
      </c>
      <c r="BC30">
        <f t="shared" si="12"/>
        <v>2.4060131455854901E-3</v>
      </c>
      <c r="BD30">
        <f t="shared" si="12"/>
        <v>2.6648093446449615E-2</v>
      </c>
      <c r="BE30">
        <f t="shared" si="12"/>
        <v>-0.21450860600093921</v>
      </c>
      <c r="BF30">
        <f t="shared" si="12"/>
        <v>-0.10709043446000908</v>
      </c>
      <c r="BG30">
        <f t="shared" si="12"/>
        <v>-3.608843539586451E-2</v>
      </c>
      <c r="BH30">
        <f t="shared" si="12"/>
        <v>3.3374048741631662E-2</v>
      </c>
      <c r="BI30">
        <f t="shared" si="11"/>
        <v>3.7660703324886011E-2</v>
      </c>
      <c r="BJ30">
        <f t="shared" si="11"/>
        <v>7.5024334702537776E-2</v>
      </c>
      <c r="BK30">
        <f t="shared" si="11"/>
        <v>7.0203652345939949E-2</v>
      </c>
      <c r="BL30">
        <f t="shared" ref="BL30:BV53" si="14">U30/$AQ30</f>
        <v>4.1622237351447842E-2</v>
      </c>
      <c r="BM30">
        <f t="shared" si="14"/>
        <v>-4.752474424507898E-3</v>
      </c>
      <c r="BN30">
        <f t="shared" si="14"/>
        <v>-3.1697548943321836E-2</v>
      </c>
      <c r="BO30">
        <f t="shared" si="14"/>
        <v>-3.6479742197902798E-4</v>
      </c>
      <c r="BP30">
        <f t="shared" si="14"/>
        <v>-3.9552686884009342E-2</v>
      </c>
      <c r="BQ30">
        <f t="shared" si="14"/>
        <v>-6.7897846923433303E-3</v>
      </c>
      <c r="BR30">
        <f t="shared" si="14"/>
        <v>2.7709410168622526E-2</v>
      </c>
      <c r="BS30">
        <f t="shared" si="14"/>
        <v>-2.4092971432997677E-2</v>
      </c>
      <c r="BT30">
        <f t="shared" si="14"/>
        <v>2.4940329626447644E-2</v>
      </c>
      <c r="BU30">
        <f t="shared" si="10"/>
        <v>-5.8495218971253713E-3</v>
      </c>
      <c r="BV30">
        <f t="shared" si="10"/>
        <v>1.0451669907502872E-2</v>
      </c>
      <c r="BW30">
        <f t="shared" si="10"/>
        <v>-1.992676558319406E-3</v>
      </c>
      <c r="BX30">
        <f t="shared" si="10"/>
        <v>2.4021642196741043E-2</v>
      </c>
      <c r="BY30">
        <f t="shared" si="10"/>
        <v>3.2981543457235293E-2</v>
      </c>
      <c r="BZ30">
        <f t="shared" si="10"/>
        <v>-0.11140327577536947</v>
      </c>
      <c r="CA30">
        <f t="shared" si="10"/>
        <v>0.83629623427140343</v>
      </c>
      <c r="CB30">
        <f t="shared" si="10"/>
        <v>-0.18889564859880029</v>
      </c>
      <c r="CC30">
        <f t="shared" si="10"/>
        <v>0.12176517837213294</v>
      </c>
      <c r="CD30">
        <f t="shared" si="10"/>
        <v>3.7752344159150426E-3</v>
      </c>
      <c r="CE30">
        <f t="shared" si="10"/>
        <v>1.6900699920149337E-2</v>
      </c>
      <c r="CG30">
        <f t="shared" si="5"/>
        <v>1</v>
      </c>
      <c r="CH30">
        <f t="shared" si="6"/>
        <v>1</v>
      </c>
      <c r="CJ30">
        <f t="shared" si="7"/>
        <v>4.7576378162036061E-2</v>
      </c>
      <c r="CL30">
        <f>SUMPRODUCT(AS30:CE30,Dimorfismo!AS30:CE30)</f>
        <v>6.9584053689990003E-2</v>
      </c>
      <c r="CM30">
        <f t="shared" si="8"/>
        <v>6.9584053689990003E-2</v>
      </c>
      <c r="CN30">
        <f t="shared" si="9"/>
        <v>6.96966883770061E-2</v>
      </c>
    </row>
    <row r="31" spans="1:92" x14ac:dyDescent="0.25">
      <c r="A31" t="s">
        <v>32</v>
      </c>
      <c r="B31">
        <v>-2.9930721025319558E-3</v>
      </c>
      <c r="C31">
        <v>-3.8041786178688912E-2</v>
      </c>
      <c r="D31">
        <v>-3.3292100559424116E-2</v>
      </c>
      <c r="E31">
        <v>3.9766467101483224E-3</v>
      </c>
      <c r="F31">
        <v>-5.0246625716993797E-3</v>
      </c>
      <c r="G31">
        <v>-3.6767130309836456E-3</v>
      </c>
      <c r="H31">
        <v>8.5437077884439369E-2</v>
      </c>
      <c r="I31">
        <v>4.1002080568713857E-2</v>
      </c>
      <c r="J31">
        <v>1.7474145852965604E-2</v>
      </c>
      <c r="K31">
        <v>-0.38044939253966009</v>
      </c>
      <c r="L31">
        <v>2.4060131413972115E-3</v>
      </c>
      <c r="M31">
        <v>2.6648093400061822E-2</v>
      </c>
      <c r="N31">
        <v>-0.21450860562753235</v>
      </c>
      <c r="O31">
        <v>-0.10709043427359091</v>
      </c>
      <c r="P31">
        <v>-3.60884353330434E-2</v>
      </c>
      <c r="Q31">
        <v>3.3374048683535634E-2</v>
      </c>
      <c r="R31">
        <v>3.7660703259327966E-2</v>
      </c>
      <c r="S31">
        <v>7.5024334571938814E-2</v>
      </c>
      <c r="T31">
        <v>7.0203652223732621E-2</v>
      </c>
      <c r="U31">
        <v>4.1622237278993737E-2</v>
      </c>
      <c r="V31">
        <v>-4.7524744162350061E-3</v>
      </c>
      <c r="W31">
        <v>-3.1697548888144182E-2</v>
      </c>
      <c r="X31">
        <v>-3.6479742134400519E-4</v>
      </c>
      <c r="Y31">
        <v>-3.955268681515782E-2</v>
      </c>
      <c r="Z31">
        <v>-6.789784680523981E-3</v>
      </c>
      <c r="AA31">
        <v>2.7709410120387242E-2</v>
      </c>
      <c r="AB31">
        <v>-2.4092971391057726E-2</v>
      </c>
      <c r="AC31">
        <v>2.4940329583032651E-2</v>
      </c>
      <c r="AD31">
        <v>-5.8495218869427891E-3</v>
      </c>
      <c r="AE31">
        <v>1.0451669889309078E-2</v>
      </c>
      <c r="AF31">
        <v>-1.9926765548506451E-3</v>
      </c>
      <c r="AG31">
        <v>2.4021642154925256E-2</v>
      </c>
      <c r="AH31">
        <v>3.2981543399822517E-2</v>
      </c>
      <c r="AI31">
        <v>-0.11140327558144371</v>
      </c>
      <c r="AJ31">
        <v>0.83629623281561682</v>
      </c>
      <c r="AK31">
        <v>-0.18889564826997932</v>
      </c>
      <c r="AL31">
        <v>0.12176517816016964</v>
      </c>
      <c r="AM31">
        <v>3.7752344093432855E-3</v>
      </c>
      <c r="AN31">
        <v>1.6900699890729363E-2</v>
      </c>
      <c r="AP31">
        <f t="shared" si="2"/>
        <v>0.99999999651849081</v>
      </c>
      <c r="AQ31">
        <f t="shared" si="3"/>
        <v>0.99999999825924535</v>
      </c>
      <c r="AS31">
        <f t="shared" si="13"/>
        <v>-2.9930721077421601E-3</v>
      </c>
      <c r="AT31">
        <f t="shared" si="13"/>
        <v>-3.8041786244910329E-2</v>
      </c>
      <c r="AU31">
        <f t="shared" si="13"/>
        <v>-3.3292100617377494E-2</v>
      </c>
      <c r="AV31">
        <f t="shared" si="13"/>
        <v>3.9766467170706888E-3</v>
      </c>
      <c r="AW31">
        <f t="shared" si="13"/>
        <v>-5.0246625804460845E-3</v>
      </c>
      <c r="AX31">
        <f t="shared" si="13"/>
        <v>-3.676713037383901E-3</v>
      </c>
      <c r="AY31">
        <f t="shared" si="13"/>
        <v>8.543707803316436E-2</v>
      </c>
      <c r="AZ31">
        <f t="shared" si="13"/>
        <v>4.1002080640088423E-2</v>
      </c>
      <c r="BA31">
        <f t="shared" si="13"/>
        <v>1.7474145883383804E-2</v>
      </c>
      <c r="BB31">
        <f t="shared" si="12"/>
        <v>-0.38044939320192916</v>
      </c>
      <c r="BC31">
        <f t="shared" si="12"/>
        <v>2.4060131455854901E-3</v>
      </c>
      <c r="BD31">
        <f t="shared" si="12"/>
        <v>2.6648093446449615E-2</v>
      </c>
      <c r="BE31">
        <f t="shared" si="12"/>
        <v>-0.21450860600093921</v>
      </c>
      <c r="BF31">
        <f t="shared" si="12"/>
        <v>-0.10709043446000908</v>
      </c>
      <c r="BG31">
        <f t="shared" si="12"/>
        <v>-3.608843539586451E-2</v>
      </c>
      <c r="BH31">
        <f t="shared" si="12"/>
        <v>3.3374048741631662E-2</v>
      </c>
      <c r="BI31">
        <f t="shared" si="12"/>
        <v>3.7660703324886011E-2</v>
      </c>
      <c r="BJ31">
        <f t="shared" si="12"/>
        <v>7.5024334702537776E-2</v>
      </c>
      <c r="BK31">
        <f t="shared" si="12"/>
        <v>7.0203652345939949E-2</v>
      </c>
      <c r="BL31">
        <f t="shared" si="14"/>
        <v>4.1622237351447842E-2</v>
      </c>
      <c r="BM31">
        <f t="shared" si="14"/>
        <v>-4.752474424507898E-3</v>
      </c>
      <c r="BN31">
        <f t="shared" si="14"/>
        <v>-3.1697548943321836E-2</v>
      </c>
      <c r="BO31">
        <f t="shared" si="14"/>
        <v>-3.6479742197902798E-4</v>
      </c>
      <c r="BP31">
        <f t="shared" si="14"/>
        <v>-3.9552686884009342E-2</v>
      </c>
      <c r="BQ31">
        <f t="shared" si="14"/>
        <v>-6.7897846923433303E-3</v>
      </c>
      <c r="BR31">
        <f t="shared" si="14"/>
        <v>2.7709410168622526E-2</v>
      </c>
      <c r="BS31">
        <f t="shared" si="14"/>
        <v>-2.4092971432997677E-2</v>
      </c>
      <c r="BT31">
        <f t="shared" si="14"/>
        <v>2.4940329626447644E-2</v>
      </c>
      <c r="BU31">
        <f t="shared" si="10"/>
        <v>-5.8495218971253713E-3</v>
      </c>
      <c r="BV31">
        <f t="shared" si="10"/>
        <v>1.0451669907502872E-2</v>
      </c>
      <c r="BW31">
        <f t="shared" ref="BW31:CE59" si="15">AF31/$AQ31</f>
        <v>-1.992676558319406E-3</v>
      </c>
      <c r="BX31">
        <f t="shared" si="15"/>
        <v>2.4021642196741043E-2</v>
      </c>
      <c r="BY31">
        <f t="shared" si="15"/>
        <v>3.2981543457235293E-2</v>
      </c>
      <c r="BZ31">
        <f t="shared" si="15"/>
        <v>-0.11140327577536947</v>
      </c>
      <c r="CA31">
        <f t="shared" si="15"/>
        <v>0.83629623427140343</v>
      </c>
      <c r="CB31">
        <f t="shared" si="15"/>
        <v>-0.18889564859880029</v>
      </c>
      <c r="CC31">
        <f t="shared" si="15"/>
        <v>0.12176517837213294</v>
      </c>
      <c r="CD31">
        <f t="shared" si="15"/>
        <v>3.7752344159150426E-3</v>
      </c>
      <c r="CE31">
        <f t="shared" si="15"/>
        <v>1.6900699920149337E-2</v>
      </c>
      <c r="CG31">
        <f t="shared" si="5"/>
        <v>1</v>
      </c>
      <c r="CH31">
        <f t="shared" si="6"/>
        <v>1</v>
      </c>
      <c r="CJ31">
        <f t="shared" si="7"/>
        <v>4.7576378162036061E-2</v>
      </c>
      <c r="CL31">
        <f>SUMPRODUCT(AS31:CE31,Dimorfismo!AS31:CE31)</f>
        <v>-7.1528177288207595E-2</v>
      </c>
      <c r="CM31">
        <f t="shared" si="8"/>
        <v>7.1528177288207595E-2</v>
      </c>
      <c r="CN31">
        <f t="shared" si="9"/>
        <v>7.1650539195545787E-2</v>
      </c>
    </row>
    <row r="32" spans="1:92" x14ac:dyDescent="0.25">
      <c r="A32" t="s">
        <v>33</v>
      </c>
      <c r="B32">
        <v>-2.9930721025319558E-3</v>
      </c>
      <c r="C32">
        <v>-3.8041786178688912E-2</v>
      </c>
      <c r="D32">
        <v>-3.3292100559424116E-2</v>
      </c>
      <c r="E32">
        <v>3.9766467101483224E-3</v>
      </c>
      <c r="F32">
        <v>-5.0246625716993797E-3</v>
      </c>
      <c r="G32">
        <v>-3.6767130309836456E-3</v>
      </c>
      <c r="H32">
        <v>8.5437077884439369E-2</v>
      </c>
      <c r="I32">
        <v>4.1002080568713857E-2</v>
      </c>
      <c r="J32">
        <v>1.7474145852965604E-2</v>
      </c>
      <c r="K32">
        <v>-0.38044939253966009</v>
      </c>
      <c r="L32">
        <v>2.4060131413972115E-3</v>
      </c>
      <c r="M32">
        <v>2.6648093400061822E-2</v>
      </c>
      <c r="N32">
        <v>-0.21450860562753235</v>
      </c>
      <c r="O32">
        <v>-0.10709043427359091</v>
      </c>
      <c r="P32">
        <v>-3.60884353330434E-2</v>
      </c>
      <c r="Q32">
        <v>3.3374048683535634E-2</v>
      </c>
      <c r="R32">
        <v>3.7660703259327966E-2</v>
      </c>
      <c r="S32">
        <v>7.5024334571938814E-2</v>
      </c>
      <c r="T32">
        <v>7.0203652223732621E-2</v>
      </c>
      <c r="U32">
        <v>4.1622237278993737E-2</v>
      </c>
      <c r="V32">
        <v>-4.7524744162350061E-3</v>
      </c>
      <c r="W32">
        <v>-3.1697548888144182E-2</v>
      </c>
      <c r="X32">
        <v>-3.6479742134400519E-4</v>
      </c>
      <c r="Y32">
        <v>-3.955268681515782E-2</v>
      </c>
      <c r="Z32">
        <v>-6.789784680523981E-3</v>
      </c>
      <c r="AA32">
        <v>2.7709410120387242E-2</v>
      </c>
      <c r="AB32">
        <v>-2.4092971391057726E-2</v>
      </c>
      <c r="AC32">
        <v>2.4940329583032651E-2</v>
      </c>
      <c r="AD32">
        <v>-5.8495218869427891E-3</v>
      </c>
      <c r="AE32">
        <v>1.0451669889309078E-2</v>
      </c>
      <c r="AF32">
        <v>-1.9926765548506451E-3</v>
      </c>
      <c r="AG32">
        <v>2.4021642154925256E-2</v>
      </c>
      <c r="AH32">
        <v>3.2981543399822517E-2</v>
      </c>
      <c r="AI32">
        <v>-0.11140327558144371</v>
      </c>
      <c r="AJ32">
        <v>0.83629623281561682</v>
      </c>
      <c r="AK32">
        <v>-0.18889564826997932</v>
      </c>
      <c r="AL32">
        <v>0.12176517816016964</v>
      </c>
      <c r="AM32">
        <v>3.7752344093432855E-3</v>
      </c>
      <c r="AN32">
        <v>1.6900699890729363E-2</v>
      </c>
      <c r="AP32">
        <f t="shared" si="2"/>
        <v>0.99999999651849081</v>
      </c>
      <c r="AQ32">
        <f t="shared" si="3"/>
        <v>0.99999999825924535</v>
      </c>
      <c r="AS32">
        <f t="shared" si="13"/>
        <v>-2.9930721077421601E-3</v>
      </c>
      <c r="AT32">
        <f t="shared" si="13"/>
        <v>-3.8041786244910329E-2</v>
      </c>
      <c r="AU32">
        <f t="shared" si="13"/>
        <v>-3.3292100617377494E-2</v>
      </c>
      <c r="AV32">
        <f t="shared" si="13"/>
        <v>3.9766467170706888E-3</v>
      </c>
      <c r="AW32">
        <f t="shared" si="13"/>
        <v>-5.0246625804460845E-3</v>
      </c>
      <c r="AX32">
        <f t="shared" si="13"/>
        <v>-3.676713037383901E-3</v>
      </c>
      <c r="AY32">
        <f t="shared" si="13"/>
        <v>8.543707803316436E-2</v>
      </c>
      <c r="AZ32">
        <f t="shared" si="13"/>
        <v>4.1002080640088423E-2</v>
      </c>
      <c r="BA32">
        <f t="shared" si="13"/>
        <v>1.7474145883383804E-2</v>
      </c>
      <c r="BB32">
        <f t="shared" si="12"/>
        <v>-0.38044939320192916</v>
      </c>
      <c r="BC32">
        <f t="shared" si="12"/>
        <v>2.4060131455854901E-3</v>
      </c>
      <c r="BD32">
        <f t="shared" si="12"/>
        <v>2.6648093446449615E-2</v>
      </c>
      <c r="BE32">
        <f t="shared" si="12"/>
        <v>-0.21450860600093921</v>
      </c>
      <c r="BF32">
        <f t="shared" si="12"/>
        <v>-0.10709043446000908</v>
      </c>
      <c r="BG32">
        <f t="shared" si="12"/>
        <v>-3.608843539586451E-2</v>
      </c>
      <c r="BH32">
        <f t="shared" si="12"/>
        <v>3.3374048741631662E-2</v>
      </c>
      <c r="BI32">
        <f t="shared" si="12"/>
        <v>3.7660703324886011E-2</v>
      </c>
      <c r="BJ32">
        <f t="shared" si="12"/>
        <v>7.5024334702537776E-2</v>
      </c>
      <c r="BK32">
        <f t="shared" si="12"/>
        <v>7.0203652345939949E-2</v>
      </c>
      <c r="BL32">
        <f t="shared" si="14"/>
        <v>4.1622237351447842E-2</v>
      </c>
      <c r="BM32">
        <f t="shared" si="14"/>
        <v>-4.752474424507898E-3</v>
      </c>
      <c r="BN32">
        <f t="shared" si="14"/>
        <v>-3.1697548943321836E-2</v>
      </c>
      <c r="BO32">
        <f t="shared" si="14"/>
        <v>-3.6479742197902798E-4</v>
      </c>
      <c r="BP32">
        <f t="shared" si="14"/>
        <v>-3.9552686884009342E-2</v>
      </c>
      <c r="BQ32">
        <f t="shared" si="14"/>
        <v>-6.7897846923433303E-3</v>
      </c>
      <c r="BR32">
        <f t="shared" si="14"/>
        <v>2.7709410168622526E-2</v>
      </c>
      <c r="BS32">
        <f t="shared" si="14"/>
        <v>-2.4092971432997677E-2</v>
      </c>
      <c r="BT32">
        <f t="shared" si="14"/>
        <v>2.4940329626447644E-2</v>
      </c>
      <c r="BU32">
        <f t="shared" si="14"/>
        <v>-5.8495218971253713E-3</v>
      </c>
      <c r="BV32">
        <f t="shared" si="14"/>
        <v>1.0451669907502872E-2</v>
      </c>
      <c r="BW32">
        <f t="shared" si="15"/>
        <v>-1.992676558319406E-3</v>
      </c>
      <c r="BX32">
        <f t="shared" si="15"/>
        <v>2.4021642196741043E-2</v>
      </c>
      <c r="BY32">
        <f t="shared" si="15"/>
        <v>3.2981543457235293E-2</v>
      </c>
      <c r="BZ32">
        <f t="shared" si="15"/>
        <v>-0.11140327577536947</v>
      </c>
      <c r="CA32">
        <f t="shared" si="15"/>
        <v>0.83629623427140343</v>
      </c>
      <c r="CB32">
        <f t="shared" si="15"/>
        <v>-0.18889564859880029</v>
      </c>
      <c r="CC32">
        <f t="shared" si="15"/>
        <v>0.12176517837213294</v>
      </c>
      <c r="CD32">
        <f t="shared" si="15"/>
        <v>3.7752344159150426E-3</v>
      </c>
      <c r="CE32">
        <f t="shared" si="15"/>
        <v>1.6900699920149337E-2</v>
      </c>
      <c r="CG32">
        <f t="shared" si="5"/>
        <v>1</v>
      </c>
      <c r="CH32">
        <f t="shared" si="6"/>
        <v>1</v>
      </c>
      <c r="CJ32">
        <f t="shared" si="7"/>
        <v>4.7576378162036061E-2</v>
      </c>
      <c r="CL32">
        <f>SUMPRODUCT(AS32:CE32,Dimorfismo!AS32:CE32)</f>
        <v>8.9181148871754046E-2</v>
      </c>
      <c r="CM32">
        <f t="shared" si="8"/>
        <v>8.9181148871754046E-2</v>
      </c>
      <c r="CN32">
        <f t="shared" si="9"/>
        <v>8.941871101432837E-2</v>
      </c>
    </row>
    <row r="33" spans="1:92" x14ac:dyDescent="0.25">
      <c r="A33" t="s">
        <v>34</v>
      </c>
      <c r="B33">
        <v>-2.9930721025319558E-3</v>
      </c>
      <c r="C33">
        <v>-3.8041786178688912E-2</v>
      </c>
      <c r="D33">
        <v>-3.3292100559424116E-2</v>
      </c>
      <c r="E33">
        <v>3.9766467101483224E-3</v>
      </c>
      <c r="F33">
        <v>-5.0246625716993797E-3</v>
      </c>
      <c r="G33">
        <v>-3.6767130309836456E-3</v>
      </c>
      <c r="H33">
        <v>8.5437077884439369E-2</v>
      </c>
      <c r="I33">
        <v>4.1002080568713857E-2</v>
      </c>
      <c r="J33">
        <v>1.7474145852965604E-2</v>
      </c>
      <c r="K33">
        <v>-0.38044939253966009</v>
      </c>
      <c r="L33">
        <v>2.4060131413972115E-3</v>
      </c>
      <c r="M33">
        <v>2.6648093400061822E-2</v>
      </c>
      <c r="N33">
        <v>-0.21450860562753235</v>
      </c>
      <c r="O33">
        <v>-0.10709043427359091</v>
      </c>
      <c r="P33">
        <v>-3.60884353330434E-2</v>
      </c>
      <c r="Q33">
        <v>3.3374048683535634E-2</v>
      </c>
      <c r="R33">
        <v>3.7660703259327966E-2</v>
      </c>
      <c r="S33">
        <v>7.5024334571938814E-2</v>
      </c>
      <c r="T33">
        <v>7.0203652223732621E-2</v>
      </c>
      <c r="U33">
        <v>4.1622237278993737E-2</v>
      </c>
      <c r="V33">
        <v>-4.7524744162350061E-3</v>
      </c>
      <c r="W33">
        <v>-3.1697548888144182E-2</v>
      </c>
      <c r="X33">
        <v>-3.6479742134400519E-4</v>
      </c>
      <c r="Y33">
        <v>-3.955268681515782E-2</v>
      </c>
      <c r="Z33">
        <v>-6.789784680523981E-3</v>
      </c>
      <c r="AA33">
        <v>2.7709410120387242E-2</v>
      </c>
      <c r="AB33">
        <v>-2.4092971391057726E-2</v>
      </c>
      <c r="AC33">
        <v>2.4940329583032651E-2</v>
      </c>
      <c r="AD33">
        <v>-5.8495218869427891E-3</v>
      </c>
      <c r="AE33">
        <v>1.0451669889309078E-2</v>
      </c>
      <c r="AF33">
        <v>-1.9926765548506451E-3</v>
      </c>
      <c r="AG33">
        <v>2.4021642154925256E-2</v>
      </c>
      <c r="AH33">
        <v>3.2981543399822517E-2</v>
      </c>
      <c r="AI33">
        <v>-0.11140327558144371</v>
      </c>
      <c r="AJ33">
        <v>0.83629623281561682</v>
      </c>
      <c r="AK33">
        <v>-0.18889564826997932</v>
      </c>
      <c r="AL33">
        <v>0.12176517816016964</v>
      </c>
      <c r="AM33">
        <v>3.7752344093432855E-3</v>
      </c>
      <c r="AN33">
        <v>1.6900699890729363E-2</v>
      </c>
      <c r="AP33">
        <f t="shared" si="2"/>
        <v>0.99999999651849081</v>
      </c>
      <c r="AQ33">
        <f t="shared" si="3"/>
        <v>0.99999999825924535</v>
      </c>
      <c r="AS33">
        <f t="shared" si="13"/>
        <v>-2.9930721077421601E-3</v>
      </c>
      <c r="AT33">
        <f t="shared" si="13"/>
        <v>-3.8041786244910329E-2</v>
      </c>
      <c r="AU33">
        <f t="shared" si="13"/>
        <v>-3.3292100617377494E-2</v>
      </c>
      <c r="AV33">
        <f t="shared" si="13"/>
        <v>3.9766467170706888E-3</v>
      </c>
      <c r="AW33">
        <f t="shared" si="13"/>
        <v>-5.0246625804460845E-3</v>
      </c>
      <c r="AX33">
        <f t="shared" si="13"/>
        <v>-3.676713037383901E-3</v>
      </c>
      <c r="AY33">
        <f t="shared" si="13"/>
        <v>8.543707803316436E-2</v>
      </c>
      <c r="AZ33">
        <f t="shared" si="13"/>
        <v>4.1002080640088423E-2</v>
      </c>
      <c r="BA33">
        <f t="shared" si="13"/>
        <v>1.7474145883383804E-2</v>
      </c>
      <c r="BB33">
        <f t="shared" si="12"/>
        <v>-0.38044939320192916</v>
      </c>
      <c r="BC33">
        <f t="shared" si="12"/>
        <v>2.4060131455854901E-3</v>
      </c>
      <c r="BD33">
        <f t="shared" si="12"/>
        <v>2.6648093446449615E-2</v>
      </c>
      <c r="BE33">
        <f t="shared" si="12"/>
        <v>-0.21450860600093921</v>
      </c>
      <c r="BF33">
        <f t="shared" si="12"/>
        <v>-0.10709043446000908</v>
      </c>
      <c r="BG33">
        <f t="shared" si="12"/>
        <v>-3.608843539586451E-2</v>
      </c>
      <c r="BH33">
        <f t="shared" si="12"/>
        <v>3.3374048741631662E-2</v>
      </c>
      <c r="BI33">
        <f t="shared" si="12"/>
        <v>3.7660703324886011E-2</v>
      </c>
      <c r="BJ33">
        <f t="shared" si="12"/>
        <v>7.5024334702537776E-2</v>
      </c>
      <c r="BK33">
        <f t="shared" si="12"/>
        <v>7.0203652345939949E-2</v>
      </c>
      <c r="BL33">
        <f t="shared" si="14"/>
        <v>4.1622237351447842E-2</v>
      </c>
      <c r="BM33">
        <f t="shared" si="14"/>
        <v>-4.752474424507898E-3</v>
      </c>
      <c r="BN33">
        <f t="shared" si="14"/>
        <v>-3.1697548943321836E-2</v>
      </c>
      <c r="BO33">
        <f t="shared" si="14"/>
        <v>-3.6479742197902798E-4</v>
      </c>
      <c r="BP33">
        <f t="shared" si="14"/>
        <v>-3.9552686884009342E-2</v>
      </c>
      <c r="BQ33">
        <f t="shared" si="14"/>
        <v>-6.7897846923433303E-3</v>
      </c>
      <c r="BR33">
        <f t="shared" si="14"/>
        <v>2.7709410168622526E-2</v>
      </c>
      <c r="BS33">
        <f t="shared" si="14"/>
        <v>-2.4092971432997677E-2</v>
      </c>
      <c r="BT33">
        <f t="shared" si="14"/>
        <v>2.4940329626447644E-2</v>
      </c>
      <c r="BU33">
        <f t="shared" si="14"/>
        <v>-5.8495218971253713E-3</v>
      </c>
      <c r="BV33">
        <f t="shared" si="14"/>
        <v>1.0451669907502872E-2</v>
      </c>
      <c r="BW33">
        <f t="shared" si="15"/>
        <v>-1.992676558319406E-3</v>
      </c>
      <c r="BX33">
        <f t="shared" si="15"/>
        <v>2.4021642196741043E-2</v>
      </c>
      <c r="BY33">
        <f t="shared" si="15"/>
        <v>3.2981543457235293E-2</v>
      </c>
      <c r="BZ33">
        <f t="shared" si="15"/>
        <v>-0.11140327577536947</v>
      </c>
      <c r="CA33">
        <f t="shared" si="15"/>
        <v>0.83629623427140343</v>
      </c>
      <c r="CB33">
        <f t="shared" si="15"/>
        <v>-0.18889564859880029</v>
      </c>
      <c r="CC33">
        <f t="shared" si="15"/>
        <v>0.12176517837213294</v>
      </c>
      <c r="CD33">
        <f t="shared" si="15"/>
        <v>3.7752344159150426E-3</v>
      </c>
      <c r="CE33">
        <f t="shared" si="15"/>
        <v>1.6900699920149337E-2</v>
      </c>
      <c r="CG33">
        <f t="shared" si="5"/>
        <v>1</v>
      </c>
      <c r="CH33">
        <f t="shared" si="6"/>
        <v>1</v>
      </c>
      <c r="CJ33">
        <f t="shared" si="7"/>
        <v>4.7576378162036061E-2</v>
      </c>
      <c r="CL33">
        <f>SUMPRODUCT(AS33:CE33,Dimorfismo!AS33:CE33)</f>
        <v>-2.0271390578339175E-2</v>
      </c>
      <c r="CM33">
        <f t="shared" si="8"/>
        <v>2.0271390578339175E-2</v>
      </c>
      <c r="CN33">
        <f t="shared" si="9"/>
        <v>2.0274167965775036E-2</v>
      </c>
    </row>
    <row r="34" spans="1:92" x14ac:dyDescent="0.25">
      <c r="A34" t="s">
        <v>35</v>
      </c>
      <c r="B34">
        <v>-2.9930721025319558E-3</v>
      </c>
      <c r="C34">
        <v>-3.8041786178688912E-2</v>
      </c>
      <c r="D34">
        <v>-3.3292100559424116E-2</v>
      </c>
      <c r="E34">
        <v>3.9766467101483224E-3</v>
      </c>
      <c r="F34">
        <v>-5.0246625716993797E-3</v>
      </c>
      <c r="G34">
        <v>-3.6767130309836456E-3</v>
      </c>
      <c r="H34">
        <v>8.5437077884439369E-2</v>
      </c>
      <c r="I34">
        <v>4.1002080568713857E-2</v>
      </c>
      <c r="J34">
        <v>1.7474145852965604E-2</v>
      </c>
      <c r="K34">
        <v>-0.38044939253966009</v>
      </c>
      <c r="L34">
        <v>2.4060131413972115E-3</v>
      </c>
      <c r="M34">
        <v>2.6648093400061822E-2</v>
      </c>
      <c r="N34">
        <v>-0.21450860562753235</v>
      </c>
      <c r="O34">
        <v>-0.10709043427359091</v>
      </c>
      <c r="P34">
        <v>-3.60884353330434E-2</v>
      </c>
      <c r="Q34">
        <v>3.3374048683535634E-2</v>
      </c>
      <c r="R34">
        <v>3.7660703259327966E-2</v>
      </c>
      <c r="S34">
        <v>7.5024334571938814E-2</v>
      </c>
      <c r="T34">
        <v>7.0203652223732621E-2</v>
      </c>
      <c r="U34">
        <v>4.1622237278993737E-2</v>
      </c>
      <c r="V34">
        <v>-4.7524744162350061E-3</v>
      </c>
      <c r="W34">
        <v>-3.1697548888144182E-2</v>
      </c>
      <c r="X34">
        <v>-3.6479742134400519E-4</v>
      </c>
      <c r="Y34">
        <v>-3.955268681515782E-2</v>
      </c>
      <c r="Z34">
        <v>-6.789784680523981E-3</v>
      </c>
      <c r="AA34">
        <v>2.7709410120387242E-2</v>
      </c>
      <c r="AB34">
        <v>-2.4092971391057726E-2</v>
      </c>
      <c r="AC34">
        <v>2.4940329583032651E-2</v>
      </c>
      <c r="AD34">
        <v>-5.8495218869427891E-3</v>
      </c>
      <c r="AE34">
        <v>1.0451669889309078E-2</v>
      </c>
      <c r="AF34">
        <v>-1.9926765548506451E-3</v>
      </c>
      <c r="AG34">
        <v>2.4021642154925256E-2</v>
      </c>
      <c r="AH34">
        <v>3.2981543399822517E-2</v>
      </c>
      <c r="AI34">
        <v>-0.11140327558144371</v>
      </c>
      <c r="AJ34">
        <v>0.83629623281561682</v>
      </c>
      <c r="AK34">
        <v>-0.18889564826997932</v>
      </c>
      <c r="AL34">
        <v>0.12176517816016964</v>
      </c>
      <c r="AM34">
        <v>3.7752344093432855E-3</v>
      </c>
      <c r="AN34">
        <v>1.6900699890729363E-2</v>
      </c>
      <c r="AP34">
        <f t="shared" si="2"/>
        <v>0.99999999651849081</v>
      </c>
      <c r="AQ34">
        <f t="shared" si="3"/>
        <v>0.99999999825924535</v>
      </c>
      <c r="AS34">
        <f t="shared" si="13"/>
        <v>-2.9930721077421601E-3</v>
      </c>
      <c r="AT34">
        <f t="shared" si="13"/>
        <v>-3.8041786244910329E-2</v>
      </c>
      <c r="AU34">
        <f t="shared" si="13"/>
        <v>-3.3292100617377494E-2</v>
      </c>
      <c r="AV34">
        <f t="shared" si="13"/>
        <v>3.9766467170706888E-3</v>
      </c>
      <c r="AW34">
        <f t="shared" si="13"/>
        <v>-5.0246625804460845E-3</v>
      </c>
      <c r="AX34">
        <f t="shared" si="13"/>
        <v>-3.676713037383901E-3</v>
      </c>
      <c r="AY34">
        <f t="shared" si="13"/>
        <v>8.543707803316436E-2</v>
      </c>
      <c r="AZ34">
        <f t="shared" si="13"/>
        <v>4.1002080640088423E-2</v>
      </c>
      <c r="BA34">
        <f t="shared" si="13"/>
        <v>1.7474145883383804E-2</v>
      </c>
      <c r="BB34">
        <f t="shared" si="12"/>
        <v>-0.38044939320192916</v>
      </c>
      <c r="BC34">
        <f t="shared" si="12"/>
        <v>2.4060131455854901E-3</v>
      </c>
      <c r="BD34">
        <f t="shared" si="12"/>
        <v>2.6648093446449615E-2</v>
      </c>
      <c r="BE34">
        <f t="shared" si="12"/>
        <v>-0.21450860600093921</v>
      </c>
      <c r="BF34">
        <f t="shared" si="12"/>
        <v>-0.10709043446000908</v>
      </c>
      <c r="BG34">
        <f t="shared" si="12"/>
        <v>-3.608843539586451E-2</v>
      </c>
      <c r="BH34">
        <f t="shared" si="12"/>
        <v>3.3374048741631662E-2</v>
      </c>
      <c r="BI34">
        <f t="shared" si="12"/>
        <v>3.7660703324886011E-2</v>
      </c>
      <c r="BJ34">
        <f t="shared" si="12"/>
        <v>7.5024334702537776E-2</v>
      </c>
      <c r="BK34">
        <f t="shared" si="12"/>
        <v>7.0203652345939949E-2</v>
      </c>
      <c r="BL34">
        <f t="shared" si="14"/>
        <v>4.1622237351447842E-2</v>
      </c>
      <c r="BM34">
        <f t="shared" si="14"/>
        <v>-4.752474424507898E-3</v>
      </c>
      <c r="BN34">
        <f t="shared" si="14"/>
        <v>-3.1697548943321836E-2</v>
      </c>
      <c r="BO34">
        <f t="shared" si="14"/>
        <v>-3.6479742197902798E-4</v>
      </c>
      <c r="BP34">
        <f t="shared" si="14"/>
        <v>-3.9552686884009342E-2</v>
      </c>
      <c r="BQ34">
        <f t="shared" si="14"/>
        <v>-6.7897846923433303E-3</v>
      </c>
      <c r="BR34">
        <f t="shared" si="14"/>
        <v>2.7709410168622526E-2</v>
      </c>
      <c r="BS34">
        <f t="shared" si="14"/>
        <v>-2.4092971432997677E-2</v>
      </c>
      <c r="BT34">
        <f t="shared" si="14"/>
        <v>2.4940329626447644E-2</v>
      </c>
      <c r="BU34">
        <f t="shared" si="14"/>
        <v>-5.8495218971253713E-3</v>
      </c>
      <c r="BV34">
        <f t="shared" si="14"/>
        <v>1.0451669907502872E-2</v>
      </c>
      <c r="BW34">
        <f t="shared" si="15"/>
        <v>-1.992676558319406E-3</v>
      </c>
      <c r="BX34">
        <f t="shared" si="15"/>
        <v>2.4021642196741043E-2</v>
      </c>
      <c r="BY34">
        <f t="shared" si="15"/>
        <v>3.2981543457235293E-2</v>
      </c>
      <c r="BZ34">
        <f t="shared" si="15"/>
        <v>-0.11140327577536947</v>
      </c>
      <c r="CA34">
        <f t="shared" si="15"/>
        <v>0.83629623427140343</v>
      </c>
      <c r="CB34">
        <f t="shared" si="15"/>
        <v>-0.18889564859880029</v>
      </c>
      <c r="CC34">
        <f t="shared" si="15"/>
        <v>0.12176517837213294</v>
      </c>
      <c r="CD34">
        <f t="shared" si="15"/>
        <v>3.7752344159150426E-3</v>
      </c>
      <c r="CE34">
        <f t="shared" si="15"/>
        <v>1.6900699920149337E-2</v>
      </c>
      <c r="CG34">
        <f t="shared" si="5"/>
        <v>1</v>
      </c>
      <c r="CH34">
        <f t="shared" si="6"/>
        <v>1</v>
      </c>
      <c r="CJ34">
        <f t="shared" si="7"/>
        <v>4.7576378162036061E-2</v>
      </c>
      <c r="CL34">
        <f>SUMPRODUCT(AS34:CE34,Dimorfismo!AS34:CE34)</f>
        <v>0.10687162438252686</v>
      </c>
      <c r="CM34">
        <f t="shared" si="8"/>
        <v>0.10687162438252686</v>
      </c>
      <c r="CN34">
        <f t="shared" si="9"/>
        <v>0.10728131530755748</v>
      </c>
    </row>
    <row r="35" spans="1:92" x14ac:dyDescent="0.25">
      <c r="A35" t="s">
        <v>36</v>
      </c>
      <c r="B35">
        <v>-2.9930721025319558E-3</v>
      </c>
      <c r="C35">
        <v>-3.8041786178688912E-2</v>
      </c>
      <c r="D35">
        <v>-3.3292100559424116E-2</v>
      </c>
      <c r="E35">
        <v>3.9766467101483224E-3</v>
      </c>
      <c r="F35">
        <v>-5.0246625716993797E-3</v>
      </c>
      <c r="G35">
        <v>-3.6767130309836456E-3</v>
      </c>
      <c r="H35">
        <v>8.5437077884439369E-2</v>
      </c>
      <c r="I35">
        <v>4.1002080568713857E-2</v>
      </c>
      <c r="J35">
        <v>1.7474145852965604E-2</v>
      </c>
      <c r="K35">
        <v>-0.38044939253966009</v>
      </c>
      <c r="L35">
        <v>2.4060131413972115E-3</v>
      </c>
      <c r="M35">
        <v>2.6648093400061822E-2</v>
      </c>
      <c r="N35">
        <v>-0.21450860562753235</v>
      </c>
      <c r="O35">
        <v>-0.10709043427359091</v>
      </c>
      <c r="P35">
        <v>-3.60884353330434E-2</v>
      </c>
      <c r="Q35">
        <v>3.3374048683535634E-2</v>
      </c>
      <c r="R35">
        <v>3.7660703259327966E-2</v>
      </c>
      <c r="S35">
        <v>7.5024334571938814E-2</v>
      </c>
      <c r="T35">
        <v>7.0203652223732621E-2</v>
      </c>
      <c r="U35">
        <v>4.1622237278993737E-2</v>
      </c>
      <c r="V35">
        <v>-4.7524744162350061E-3</v>
      </c>
      <c r="W35">
        <v>-3.1697548888144182E-2</v>
      </c>
      <c r="X35">
        <v>-3.6479742134400519E-4</v>
      </c>
      <c r="Y35">
        <v>-3.955268681515782E-2</v>
      </c>
      <c r="Z35">
        <v>-6.789784680523981E-3</v>
      </c>
      <c r="AA35">
        <v>2.7709410120387242E-2</v>
      </c>
      <c r="AB35">
        <v>-2.4092971391057726E-2</v>
      </c>
      <c r="AC35">
        <v>2.4940329583032651E-2</v>
      </c>
      <c r="AD35">
        <v>-5.8495218869427891E-3</v>
      </c>
      <c r="AE35">
        <v>1.0451669889309078E-2</v>
      </c>
      <c r="AF35">
        <v>-1.9926765548506451E-3</v>
      </c>
      <c r="AG35">
        <v>2.4021642154925256E-2</v>
      </c>
      <c r="AH35">
        <v>3.2981543399822517E-2</v>
      </c>
      <c r="AI35">
        <v>-0.11140327558144371</v>
      </c>
      <c r="AJ35">
        <v>0.83629623281561682</v>
      </c>
      <c r="AK35">
        <v>-0.18889564826997932</v>
      </c>
      <c r="AL35">
        <v>0.12176517816016964</v>
      </c>
      <c r="AM35">
        <v>3.7752344093432855E-3</v>
      </c>
      <c r="AN35">
        <v>1.6900699890729363E-2</v>
      </c>
      <c r="AP35">
        <f t="shared" si="2"/>
        <v>0.99999999651849081</v>
      </c>
      <c r="AQ35">
        <f t="shared" si="3"/>
        <v>0.99999999825924535</v>
      </c>
      <c r="AS35">
        <f t="shared" si="13"/>
        <v>-2.9930721077421601E-3</v>
      </c>
      <c r="AT35">
        <f t="shared" si="13"/>
        <v>-3.8041786244910329E-2</v>
      </c>
      <c r="AU35">
        <f t="shared" si="13"/>
        <v>-3.3292100617377494E-2</v>
      </c>
      <c r="AV35">
        <f t="shared" si="13"/>
        <v>3.9766467170706888E-3</v>
      </c>
      <c r="AW35">
        <f t="shared" si="13"/>
        <v>-5.0246625804460845E-3</v>
      </c>
      <c r="AX35">
        <f t="shared" si="13"/>
        <v>-3.676713037383901E-3</v>
      </c>
      <c r="AY35">
        <f t="shared" si="13"/>
        <v>8.543707803316436E-2</v>
      </c>
      <c r="AZ35">
        <f t="shared" si="13"/>
        <v>4.1002080640088423E-2</v>
      </c>
      <c r="BA35">
        <f t="shared" si="13"/>
        <v>1.7474145883383804E-2</v>
      </c>
      <c r="BB35">
        <f t="shared" si="12"/>
        <v>-0.38044939320192916</v>
      </c>
      <c r="BC35">
        <f t="shared" si="12"/>
        <v>2.4060131455854901E-3</v>
      </c>
      <c r="BD35">
        <f t="shared" si="12"/>
        <v>2.6648093446449615E-2</v>
      </c>
      <c r="BE35">
        <f t="shared" si="12"/>
        <v>-0.21450860600093921</v>
      </c>
      <c r="BF35">
        <f t="shared" si="12"/>
        <v>-0.10709043446000908</v>
      </c>
      <c r="BG35">
        <f t="shared" si="12"/>
        <v>-3.608843539586451E-2</v>
      </c>
      <c r="BH35">
        <f t="shared" si="12"/>
        <v>3.3374048741631662E-2</v>
      </c>
      <c r="BI35">
        <f t="shared" si="12"/>
        <v>3.7660703324886011E-2</v>
      </c>
      <c r="BJ35">
        <f t="shared" si="12"/>
        <v>7.5024334702537776E-2</v>
      </c>
      <c r="BK35">
        <f t="shared" si="12"/>
        <v>7.0203652345939949E-2</v>
      </c>
      <c r="BL35">
        <f t="shared" si="14"/>
        <v>4.1622237351447842E-2</v>
      </c>
      <c r="BM35">
        <f t="shared" si="14"/>
        <v>-4.752474424507898E-3</v>
      </c>
      <c r="BN35">
        <f t="shared" si="14"/>
        <v>-3.1697548943321836E-2</v>
      </c>
      <c r="BO35">
        <f t="shared" si="14"/>
        <v>-3.6479742197902798E-4</v>
      </c>
      <c r="BP35">
        <f t="shared" si="14"/>
        <v>-3.9552686884009342E-2</v>
      </c>
      <c r="BQ35">
        <f t="shared" si="14"/>
        <v>-6.7897846923433303E-3</v>
      </c>
      <c r="BR35">
        <f t="shared" si="14"/>
        <v>2.7709410168622526E-2</v>
      </c>
      <c r="BS35">
        <f t="shared" si="14"/>
        <v>-2.4092971432997677E-2</v>
      </c>
      <c r="BT35">
        <f t="shared" si="14"/>
        <v>2.4940329626447644E-2</v>
      </c>
      <c r="BU35">
        <f t="shared" si="14"/>
        <v>-5.8495218971253713E-3</v>
      </c>
      <c r="BV35">
        <f t="shared" si="14"/>
        <v>1.0451669907502872E-2</v>
      </c>
      <c r="BW35">
        <f t="shared" si="15"/>
        <v>-1.992676558319406E-3</v>
      </c>
      <c r="BX35">
        <f t="shared" si="15"/>
        <v>2.4021642196741043E-2</v>
      </c>
      <c r="BY35">
        <f t="shared" si="15"/>
        <v>3.2981543457235293E-2</v>
      </c>
      <c r="BZ35">
        <f t="shared" si="15"/>
        <v>-0.11140327577536947</v>
      </c>
      <c r="CA35">
        <f t="shared" si="15"/>
        <v>0.83629623427140343</v>
      </c>
      <c r="CB35">
        <f t="shared" si="15"/>
        <v>-0.18889564859880029</v>
      </c>
      <c r="CC35">
        <f t="shared" si="15"/>
        <v>0.12176517837213294</v>
      </c>
      <c r="CD35">
        <f t="shared" si="15"/>
        <v>3.7752344159150426E-3</v>
      </c>
      <c r="CE35">
        <f t="shared" si="15"/>
        <v>1.6900699920149337E-2</v>
      </c>
      <c r="CG35">
        <f t="shared" si="5"/>
        <v>1</v>
      </c>
      <c r="CH35">
        <f t="shared" si="6"/>
        <v>1</v>
      </c>
      <c r="CJ35">
        <f t="shared" si="7"/>
        <v>4.7576378162036061E-2</v>
      </c>
      <c r="CL35">
        <f>SUMPRODUCT(AS35:CE35,Dimorfismo!AS35:CE35)</f>
        <v>0.2763843729680992</v>
      </c>
      <c r="CM35">
        <f t="shared" si="8"/>
        <v>0.2763843729680992</v>
      </c>
      <c r="CN35">
        <f t="shared" si="9"/>
        <v>0.28376315087955789</v>
      </c>
    </row>
    <row r="36" spans="1:92" x14ac:dyDescent="0.25">
      <c r="A36" t="s">
        <v>37</v>
      </c>
      <c r="B36">
        <v>-2.9930721025319558E-3</v>
      </c>
      <c r="C36">
        <v>-3.8041786178688912E-2</v>
      </c>
      <c r="D36">
        <v>-3.3292100559424116E-2</v>
      </c>
      <c r="E36">
        <v>3.9766467101483224E-3</v>
      </c>
      <c r="F36">
        <v>-5.0246625716993797E-3</v>
      </c>
      <c r="G36">
        <v>-3.6767130309836456E-3</v>
      </c>
      <c r="H36">
        <v>8.5437077884439369E-2</v>
      </c>
      <c r="I36">
        <v>4.1002080568713857E-2</v>
      </c>
      <c r="J36">
        <v>1.7474145852965604E-2</v>
      </c>
      <c r="K36">
        <v>-0.38044939253966009</v>
      </c>
      <c r="L36">
        <v>2.4060131413972115E-3</v>
      </c>
      <c r="M36">
        <v>2.6648093400061822E-2</v>
      </c>
      <c r="N36">
        <v>-0.21450860562753235</v>
      </c>
      <c r="O36">
        <v>-0.10709043427359091</v>
      </c>
      <c r="P36">
        <v>-3.60884353330434E-2</v>
      </c>
      <c r="Q36">
        <v>3.3374048683535634E-2</v>
      </c>
      <c r="R36">
        <v>3.7660703259327966E-2</v>
      </c>
      <c r="S36">
        <v>7.5024334571938814E-2</v>
      </c>
      <c r="T36">
        <v>7.0203652223732621E-2</v>
      </c>
      <c r="U36">
        <v>4.1622237278993737E-2</v>
      </c>
      <c r="V36">
        <v>-4.7524744162350061E-3</v>
      </c>
      <c r="W36">
        <v>-3.1697548888144182E-2</v>
      </c>
      <c r="X36">
        <v>-3.6479742134400519E-4</v>
      </c>
      <c r="Y36">
        <v>-3.955268681515782E-2</v>
      </c>
      <c r="Z36">
        <v>-6.789784680523981E-3</v>
      </c>
      <c r="AA36">
        <v>2.7709410120387242E-2</v>
      </c>
      <c r="AB36">
        <v>-2.4092971391057726E-2</v>
      </c>
      <c r="AC36">
        <v>2.4940329583032651E-2</v>
      </c>
      <c r="AD36">
        <v>-5.8495218869427891E-3</v>
      </c>
      <c r="AE36">
        <v>1.0451669889309078E-2</v>
      </c>
      <c r="AF36">
        <v>-1.9926765548506451E-3</v>
      </c>
      <c r="AG36">
        <v>2.4021642154925256E-2</v>
      </c>
      <c r="AH36">
        <v>3.2981543399822517E-2</v>
      </c>
      <c r="AI36">
        <v>-0.11140327558144371</v>
      </c>
      <c r="AJ36">
        <v>0.83629623281561682</v>
      </c>
      <c r="AK36">
        <v>-0.18889564826997932</v>
      </c>
      <c r="AL36">
        <v>0.12176517816016964</v>
      </c>
      <c r="AM36">
        <v>3.7752344093432855E-3</v>
      </c>
      <c r="AN36">
        <v>1.6900699890729363E-2</v>
      </c>
      <c r="AP36">
        <f t="shared" si="2"/>
        <v>0.99999999651849081</v>
      </c>
      <c r="AQ36">
        <f t="shared" si="3"/>
        <v>0.99999999825924535</v>
      </c>
      <c r="AS36">
        <f t="shared" si="13"/>
        <v>-2.9930721077421601E-3</v>
      </c>
      <c r="AT36">
        <f t="shared" si="13"/>
        <v>-3.8041786244910329E-2</v>
      </c>
      <c r="AU36">
        <f t="shared" si="13"/>
        <v>-3.3292100617377494E-2</v>
      </c>
      <c r="AV36">
        <f t="shared" si="13"/>
        <v>3.9766467170706888E-3</v>
      </c>
      <c r="AW36">
        <f t="shared" si="13"/>
        <v>-5.0246625804460845E-3</v>
      </c>
      <c r="AX36">
        <f t="shared" si="13"/>
        <v>-3.676713037383901E-3</v>
      </c>
      <c r="AY36">
        <f t="shared" si="13"/>
        <v>8.543707803316436E-2</v>
      </c>
      <c r="AZ36">
        <f t="shared" si="13"/>
        <v>4.1002080640088423E-2</v>
      </c>
      <c r="BA36">
        <f t="shared" si="13"/>
        <v>1.7474145883383804E-2</v>
      </c>
      <c r="BB36">
        <f t="shared" si="12"/>
        <v>-0.38044939320192916</v>
      </c>
      <c r="BC36">
        <f t="shared" si="12"/>
        <v>2.4060131455854901E-3</v>
      </c>
      <c r="BD36">
        <f t="shared" si="12"/>
        <v>2.6648093446449615E-2</v>
      </c>
      <c r="BE36">
        <f t="shared" si="12"/>
        <v>-0.21450860600093921</v>
      </c>
      <c r="BF36">
        <f t="shared" si="12"/>
        <v>-0.10709043446000908</v>
      </c>
      <c r="BG36">
        <f t="shared" si="12"/>
        <v>-3.608843539586451E-2</v>
      </c>
      <c r="BH36">
        <f t="shared" si="12"/>
        <v>3.3374048741631662E-2</v>
      </c>
      <c r="BI36">
        <f t="shared" si="12"/>
        <v>3.7660703324886011E-2</v>
      </c>
      <c r="BJ36">
        <f t="shared" si="12"/>
        <v>7.5024334702537776E-2</v>
      </c>
      <c r="BK36">
        <f t="shared" si="12"/>
        <v>7.0203652345939949E-2</v>
      </c>
      <c r="BL36">
        <f t="shared" si="14"/>
        <v>4.1622237351447842E-2</v>
      </c>
      <c r="BM36">
        <f t="shared" si="14"/>
        <v>-4.752474424507898E-3</v>
      </c>
      <c r="BN36">
        <f t="shared" si="14"/>
        <v>-3.1697548943321836E-2</v>
      </c>
      <c r="BO36">
        <f t="shared" si="14"/>
        <v>-3.6479742197902798E-4</v>
      </c>
      <c r="BP36">
        <f t="shared" si="14"/>
        <v>-3.9552686884009342E-2</v>
      </c>
      <c r="BQ36">
        <f t="shared" si="14"/>
        <v>-6.7897846923433303E-3</v>
      </c>
      <c r="BR36">
        <f t="shared" si="14"/>
        <v>2.7709410168622526E-2</v>
      </c>
      <c r="BS36">
        <f t="shared" si="14"/>
        <v>-2.4092971432997677E-2</v>
      </c>
      <c r="BT36">
        <f t="shared" si="14"/>
        <v>2.4940329626447644E-2</v>
      </c>
      <c r="BU36">
        <f t="shared" si="14"/>
        <v>-5.8495218971253713E-3</v>
      </c>
      <c r="BV36">
        <f t="shared" si="14"/>
        <v>1.0451669907502872E-2</v>
      </c>
      <c r="BW36">
        <f t="shared" si="15"/>
        <v>-1.992676558319406E-3</v>
      </c>
      <c r="BX36">
        <f t="shared" si="15"/>
        <v>2.4021642196741043E-2</v>
      </c>
      <c r="BY36">
        <f t="shared" si="15"/>
        <v>3.2981543457235293E-2</v>
      </c>
      <c r="BZ36">
        <f t="shared" si="15"/>
        <v>-0.11140327577536947</v>
      </c>
      <c r="CA36">
        <f t="shared" si="15"/>
        <v>0.83629623427140343</v>
      </c>
      <c r="CB36">
        <f t="shared" si="15"/>
        <v>-0.18889564859880029</v>
      </c>
      <c r="CC36">
        <f t="shared" si="15"/>
        <v>0.12176517837213294</v>
      </c>
      <c r="CD36">
        <f t="shared" si="15"/>
        <v>3.7752344159150426E-3</v>
      </c>
      <c r="CE36">
        <f t="shared" si="15"/>
        <v>1.6900699920149337E-2</v>
      </c>
      <c r="CG36">
        <f t="shared" si="5"/>
        <v>1</v>
      </c>
      <c r="CH36">
        <f t="shared" si="6"/>
        <v>1</v>
      </c>
      <c r="CJ36">
        <f t="shared" si="7"/>
        <v>4.7576378162036061E-2</v>
      </c>
      <c r="CL36">
        <f>SUMPRODUCT(AS36:CE36,Dimorfismo!AS36:CE36)</f>
        <v>0.37150837909055118</v>
      </c>
      <c r="CM36">
        <f t="shared" si="8"/>
        <v>0.37150837909055118</v>
      </c>
      <c r="CN36">
        <f t="shared" si="9"/>
        <v>0.39017186186960456</v>
      </c>
    </row>
    <row r="37" spans="1:92" x14ac:dyDescent="0.25">
      <c r="A37" t="s">
        <v>38</v>
      </c>
      <c r="B37">
        <v>-2.9930721025319558E-3</v>
      </c>
      <c r="C37">
        <v>-3.8041786178688912E-2</v>
      </c>
      <c r="D37">
        <v>-3.3292100559424116E-2</v>
      </c>
      <c r="E37">
        <v>3.9766467101483224E-3</v>
      </c>
      <c r="F37">
        <v>-5.0246625716993797E-3</v>
      </c>
      <c r="G37">
        <v>-3.6767130309836456E-3</v>
      </c>
      <c r="H37">
        <v>8.5437077884439369E-2</v>
      </c>
      <c r="I37">
        <v>4.1002080568713857E-2</v>
      </c>
      <c r="J37">
        <v>1.7474145852965604E-2</v>
      </c>
      <c r="K37">
        <v>-0.38044939253966009</v>
      </c>
      <c r="L37">
        <v>2.4060131413972115E-3</v>
      </c>
      <c r="M37">
        <v>2.6648093400061822E-2</v>
      </c>
      <c r="N37">
        <v>-0.21450860562753235</v>
      </c>
      <c r="O37">
        <v>-0.10709043427359091</v>
      </c>
      <c r="P37">
        <v>-3.60884353330434E-2</v>
      </c>
      <c r="Q37">
        <v>3.3374048683535634E-2</v>
      </c>
      <c r="R37">
        <v>3.7660703259327966E-2</v>
      </c>
      <c r="S37">
        <v>7.5024334571938814E-2</v>
      </c>
      <c r="T37">
        <v>7.0203652223732621E-2</v>
      </c>
      <c r="U37">
        <v>4.1622237278993737E-2</v>
      </c>
      <c r="V37">
        <v>-4.7524744162350061E-3</v>
      </c>
      <c r="W37">
        <v>-3.1697548888144182E-2</v>
      </c>
      <c r="X37">
        <v>-3.6479742134400519E-4</v>
      </c>
      <c r="Y37">
        <v>-3.955268681515782E-2</v>
      </c>
      <c r="Z37">
        <v>-6.789784680523981E-3</v>
      </c>
      <c r="AA37">
        <v>2.7709410120387242E-2</v>
      </c>
      <c r="AB37">
        <v>-2.4092971391057726E-2</v>
      </c>
      <c r="AC37">
        <v>2.4940329583032651E-2</v>
      </c>
      <c r="AD37">
        <v>-5.8495218869427891E-3</v>
      </c>
      <c r="AE37">
        <v>1.0451669889309078E-2</v>
      </c>
      <c r="AF37">
        <v>-1.9926765548506451E-3</v>
      </c>
      <c r="AG37">
        <v>2.4021642154925256E-2</v>
      </c>
      <c r="AH37">
        <v>3.2981543399822517E-2</v>
      </c>
      <c r="AI37">
        <v>-0.11140327558144371</v>
      </c>
      <c r="AJ37">
        <v>0.83629623281561682</v>
      </c>
      <c r="AK37">
        <v>-0.18889564826997932</v>
      </c>
      <c r="AL37">
        <v>0.12176517816016964</v>
      </c>
      <c r="AM37">
        <v>3.7752344093432855E-3</v>
      </c>
      <c r="AN37">
        <v>1.6900699890729363E-2</v>
      </c>
      <c r="AP37">
        <f t="shared" si="2"/>
        <v>0.99999999651849081</v>
      </c>
      <c r="AQ37">
        <f t="shared" si="3"/>
        <v>0.99999999825924535</v>
      </c>
      <c r="AS37">
        <f t="shared" si="13"/>
        <v>-2.9930721077421601E-3</v>
      </c>
      <c r="AT37">
        <f t="shared" si="13"/>
        <v>-3.8041786244910329E-2</v>
      </c>
      <c r="AU37">
        <f t="shared" si="13"/>
        <v>-3.3292100617377494E-2</v>
      </c>
      <c r="AV37">
        <f t="shared" si="13"/>
        <v>3.9766467170706888E-3</v>
      </c>
      <c r="AW37">
        <f t="shared" si="13"/>
        <v>-5.0246625804460845E-3</v>
      </c>
      <c r="AX37">
        <f t="shared" si="13"/>
        <v>-3.676713037383901E-3</v>
      </c>
      <c r="AY37">
        <f t="shared" si="13"/>
        <v>8.543707803316436E-2</v>
      </c>
      <c r="AZ37">
        <f t="shared" si="13"/>
        <v>4.1002080640088423E-2</v>
      </c>
      <c r="BA37">
        <f t="shared" si="13"/>
        <v>1.7474145883383804E-2</v>
      </c>
      <c r="BB37">
        <f t="shared" si="12"/>
        <v>-0.38044939320192916</v>
      </c>
      <c r="BC37">
        <f t="shared" si="12"/>
        <v>2.4060131455854901E-3</v>
      </c>
      <c r="BD37">
        <f t="shared" si="12"/>
        <v>2.6648093446449615E-2</v>
      </c>
      <c r="BE37">
        <f t="shared" si="12"/>
        <v>-0.21450860600093921</v>
      </c>
      <c r="BF37">
        <f t="shared" si="12"/>
        <v>-0.10709043446000908</v>
      </c>
      <c r="BG37">
        <f t="shared" si="12"/>
        <v>-3.608843539586451E-2</v>
      </c>
      <c r="BH37">
        <f t="shared" si="12"/>
        <v>3.3374048741631662E-2</v>
      </c>
      <c r="BI37">
        <f t="shared" si="12"/>
        <v>3.7660703324886011E-2</v>
      </c>
      <c r="BJ37">
        <f t="shared" si="12"/>
        <v>7.5024334702537776E-2</v>
      </c>
      <c r="BK37">
        <f t="shared" si="12"/>
        <v>7.0203652345939949E-2</v>
      </c>
      <c r="BL37">
        <f t="shared" si="14"/>
        <v>4.1622237351447842E-2</v>
      </c>
      <c r="BM37">
        <f t="shared" si="14"/>
        <v>-4.752474424507898E-3</v>
      </c>
      <c r="BN37">
        <f t="shared" si="14"/>
        <v>-3.1697548943321836E-2</v>
      </c>
      <c r="BO37">
        <f t="shared" si="14"/>
        <v>-3.6479742197902798E-4</v>
      </c>
      <c r="BP37">
        <f t="shared" si="14"/>
        <v>-3.9552686884009342E-2</v>
      </c>
      <c r="BQ37">
        <f t="shared" si="14"/>
        <v>-6.7897846923433303E-3</v>
      </c>
      <c r="BR37">
        <f t="shared" si="14"/>
        <v>2.7709410168622526E-2</v>
      </c>
      <c r="BS37">
        <f t="shared" si="14"/>
        <v>-2.4092971432997677E-2</v>
      </c>
      <c r="BT37">
        <f t="shared" si="14"/>
        <v>2.4940329626447644E-2</v>
      </c>
      <c r="BU37">
        <f t="shared" si="14"/>
        <v>-5.8495218971253713E-3</v>
      </c>
      <c r="BV37">
        <f t="shared" si="14"/>
        <v>1.0451669907502872E-2</v>
      </c>
      <c r="BW37">
        <f t="shared" si="15"/>
        <v>-1.992676558319406E-3</v>
      </c>
      <c r="BX37">
        <f t="shared" si="15"/>
        <v>2.4021642196741043E-2</v>
      </c>
      <c r="BY37">
        <f t="shared" si="15"/>
        <v>3.2981543457235293E-2</v>
      </c>
      <c r="BZ37">
        <f t="shared" si="15"/>
        <v>-0.11140327577536947</v>
      </c>
      <c r="CA37">
        <f t="shared" si="15"/>
        <v>0.83629623427140343</v>
      </c>
      <c r="CB37">
        <f t="shared" si="15"/>
        <v>-0.18889564859880029</v>
      </c>
      <c r="CC37">
        <f t="shared" si="15"/>
        <v>0.12176517837213294</v>
      </c>
      <c r="CD37">
        <f t="shared" si="15"/>
        <v>3.7752344159150426E-3</v>
      </c>
      <c r="CE37">
        <f t="shared" si="15"/>
        <v>1.6900699920149337E-2</v>
      </c>
      <c r="CG37">
        <f t="shared" si="5"/>
        <v>1</v>
      </c>
      <c r="CH37">
        <f t="shared" si="6"/>
        <v>1</v>
      </c>
      <c r="CJ37">
        <f t="shared" si="7"/>
        <v>4.7576378162036061E-2</v>
      </c>
      <c r="CL37">
        <f>SUMPRODUCT(AS37:CE37,Dimorfismo!AS37:CE37)</f>
        <v>-9.2973070782338449E-2</v>
      </c>
      <c r="CM37">
        <f t="shared" si="8"/>
        <v>9.2973070782338449E-2</v>
      </c>
      <c r="CN37">
        <f t="shared" si="9"/>
        <v>9.3242354938832428E-2</v>
      </c>
    </row>
    <row r="38" spans="1:92" x14ac:dyDescent="0.25">
      <c r="A38" t="s">
        <v>39</v>
      </c>
      <c r="B38">
        <v>-2.9930721025319558E-3</v>
      </c>
      <c r="C38">
        <v>-3.8041786178688912E-2</v>
      </c>
      <c r="D38">
        <v>-3.3292100559424116E-2</v>
      </c>
      <c r="E38">
        <v>3.9766467101483224E-3</v>
      </c>
      <c r="F38">
        <v>-5.0246625716993797E-3</v>
      </c>
      <c r="G38">
        <v>-3.6767130309836456E-3</v>
      </c>
      <c r="H38">
        <v>8.5437077884439369E-2</v>
      </c>
      <c r="I38">
        <v>4.1002080568713857E-2</v>
      </c>
      <c r="J38">
        <v>1.7474145852965604E-2</v>
      </c>
      <c r="K38">
        <v>-0.38044939253966009</v>
      </c>
      <c r="L38">
        <v>2.4060131413972115E-3</v>
      </c>
      <c r="M38">
        <v>2.6648093400061822E-2</v>
      </c>
      <c r="N38">
        <v>-0.21450860562753235</v>
      </c>
      <c r="O38">
        <v>-0.10709043427359091</v>
      </c>
      <c r="P38">
        <v>-3.60884353330434E-2</v>
      </c>
      <c r="Q38">
        <v>3.3374048683535634E-2</v>
      </c>
      <c r="R38">
        <v>3.7660703259327966E-2</v>
      </c>
      <c r="S38">
        <v>7.5024334571938814E-2</v>
      </c>
      <c r="T38">
        <v>7.0203652223732621E-2</v>
      </c>
      <c r="U38">
        <v>4.1622237278993737E-2</v>
      </c>
      <c r="V38">
        <v>-4.7524744162350061E-3</v>
      </c>
      <c r="W38">
        <v>-3.1697548888144182E-2</v>
      </c>
      <c r="X38">
        <v>-3.6479742134400519E-4</v>
      </c>
      <c r="Y38">
        <v>-3.955268681515782E-2</v>
      </c>
      <c r="Z38">
        <v>-6.789784680523981E-3</v>
      </c>
      <c r="AA38">
        <v>2.7709410120387242E-2</v>
      </c>
      <c r="AB38">
        <v>-2.4092971391057726E-2</v>
      </c>
      <c r="AC38">
        <v>2.4940329583032651E-2</v>
      </c>
      <c r="AD38">
        <v>-5.8495218869427891E-3</v>
      </c>
      <c r="AE38">
        <v>1.0451669889309078E-2</v>
      </c>
      <c r="AF38">
        <v>-1.9926765548506451E-3</v>
      </c>
      <c r="AG38">
        <v>2.4021642154925256E-2</v>
      </c>
      <c r="AH38">
        <v>3.2981543399822517E-2</v>
      </c>
      <c r="AI38">
        <v>-0.11140327558144371</v>
      </c>
      <c r="AJ38">
        <v>0.83629623281561682</v>
      </c>
      <c r="AK38">
        <v>-0.18889564826997932</v>
      </c>
      <c r="AL38">
        <v>0.12176517816016964</v>
      </c>
      <c r="AM38">
        <v>3.7752344093432855E-3</v>
      </c>
      <c r="AN38">
        <v>1.6900699890729363E-2</v>
      </c>
      <c r="AP38">
        <f t="shared" si="2"/>
        <v>0.99999999651849081</v>
      </c>
      <c r="AQ38">
        <f t="shared" si="3"/>
        <v>0.99999999825924535</v>
      </c>
      <c r="AS38">
        <f t="shared" si="13"/>
        <v>-2.9930721077421601E-3</v>
      </c>
      <c r="AT38">
        <f t="shared" si="13"/>
        <v>-3.8041786244910329E-2</v>
      </c>
      <c r="AU38">
        <f t="shared" si="13"/>
        <v>-3.3292100617377494E-2</v>
      </c>
      <c r="AV38">
        <f t="shared" si="13"/>
        <v>3.9766467170706888E-3</v>
      </c>
      <c r="AW38">
        <f t="shared" si="13"/>
        <v>-5.0246625804460845E-3</v>
      </c>
      <c r="AX38">
        <f t="shared" si="13"/>
        <v>-3.676713037383901E-3</v>
      </c>
      <c r="AY38">
        <f t="shared" si="13"/>
        <v>8.543707803316436E-2</v>
      </c>
      <c r="AZ38">
        <f t="shared" si="13"/>
        <v>4.1002080640088423E-2</v>
      </c>
      <c r="BA38">
        <f t="shared" si="13"/>
        <v>1.7474145883383804E-2</v>
      </c>
      <c r="BB38">
        <f t="shared" si="12"/>
        <v>-0.38044939320192916</v>
      </c>
      <c r="BC38">
        <f t="shared" si="12"/>
        <v>2.4060131455854901E-3</v>
      </c>
      <c r="BD38">
        <f t="shared" si="12"/>
        <v>2.6648093446449615E-2</v>
      </c>
      <c r="BE38">
        <f t="shared" si="12"/>
        <v>-0.21450860600093921</v>
      </c>
      <c r="BF38">
        <f t="shared" si="12"/>
        <v>-0.10709043446000908</v>
      </c>
      <c r="BG38">
        <f t="shared" si="12"/>
        <v>-3.608843539586451E-2</v>
      </c>
      <c r="BH38">
        <f t="shared" si="12"/>
        <v>3.3374048741631662E-2</v>
      </c>
      <c r="BI38">
        <f t="shared" si="12"/>
        <v>3.7660703324886011E-2</v>
      </c>
      <c r="BJ38">
        <f t="shared" si="12"/>
        <v>7.5024334702537776E-2</v>
      </c>
      <c r="BK38">
        <f t="shared" si="12"/>
        <v>7.0203652345939949E-2</v>
      </c>
      <c r="BL38">
        <f t="shared" si="14"/>
        <v>4.1622237351447842E-2</v>
      </c>
      <c r="BM38">
        <f t="shared" si="14"/>
        <v>-4.752474424507898E-3</v>
      </c>
      <c r="BN38">
        <f t="shared" si="14"/>
        <v>-3.1697548943321836E-2</v>
      </c>
      <c r="BO38">
        <f t="shared" si="14"/>
        <v>-3.6479742197902798E-4</v>
      </c>
      <c r="BP38">
        <f t="shared" si="14"/>
        <v>-3.9552686884009342E-2</v>
      </c>
      <c r="BQ38">
        <f t="shared" si="14"/>
        <v>-6.7897846923433303E-3</v>
      </c>
      <c r="BR38">
        <f t="shared" si="14"/>
        <v>2.7709410168622526E-2</v>
      </c>
      <c r="BS38">
        <f t="shared" si="14"/>
        <v>-2.4092971432997677E-2</v>
      </c>
      <c r="BT38">
        <f t="shared" si="14"/>
        <v>2.4940329626447644E-2</v>
      </c>
      <c r="BU38">
        <f t="shared" si="14"/>
        <v>-5.8495218971253713E-3</v>
      </c>
      <c r="BV38">
        <f t="shared" si="14"/>
        <v>1.0451669907502872E-2</v>
      </c>
      <c r="BW38">
        <f t="shared" si="15"/>
        <v>-1.992676558319406E-3</v>
      </c>
      <c r="BX38">
        <f t="shared" si="15"/>
        <v>2.4021642196741043E-2</v>
      </c>
      <c r="BY38">
        <f t="shared" si="15"/>
        <v>3.2981543457235293E-2</v>
      </c>
      <c r="BZ38">
        <f t="shared" si="15"/>
        <v>-0.11140327577536947</v>
      </c>
      <c r="CA38">
        <f t="shared" si="15"/>
        <v>0.83629623427140343</v>
      </c>
      <c r="CB38">
        <f t="shared" si="15"/>
        <v>-0.18889564859880029</v>
      </c>
      <c r="CC38">
        <f t="shared" si="15"/>
        <v>0.12176517837213294</v>
      </c>
      <c r="CD38">
        <f t="shared" si="15"/>
        <v>3.7752344159150426E-3</v>
      </c>
      <c r="CE38">
        <f t="shared" si="15"/>
        <v>1.6900699920149337E-2</v>
      </c>
      <c r="CG38">
        <f t="shared" si="5"/>
        <v>1</v>
      </c>
      <c r="CH38">
        <f t="shared" si="6"/>
        <v>1</v>
      </c>
      <c r="CJ38">
        <f t="shared" si="7"/>
        <v>4.7576378162036061E-2</v>
      </c>
      <c r="CL38">
        <f>SUMPRODUCT(AS38:CE38,Dimorfismo!AS38:CE38)</f>
        <v>-0.25506558417395492</v>
      </c>
      <c r="CM38">
        <f t="shared" si="8"/>
        <v>0.25506558417395492</v>
      </c>
      <c r="CN38">
        <f t="shared" si="9"/>
        <v>0.26082346322509609</v>
      </c>
    </row>
    <row r="39" spans="1:92" x14ac:dyDescent="0.25">
      <c r="A39" t="s">
        <v>40</v>
      </c>
      <c r="B39">
        <v>-2.9930721025319558E-3</v>
      </c>
      <c r="C39">
        <v>-3.8041786178688912E-2</v>
      </c>
      <c r="D39">
        <v>-3.3292100559424116E-2</v>
      </c>
      <c r="E39">
        <v>3.9766467101483224E-3</v>
      </c>
      <c r="F39">
        <v>-5.0246625716993797E-3</v>
      </c>
      <c r="G39">
        <v>-3.6767130309836456E-3</v>
      </c>
      <c r="H39">
        <v>8.5437077884439369E-2</v>
      </c>
      <c r="I39">
        <v>4.1002080568713857E-2</v>
      </c>
      <c r="J39">
        <v>1.7474145852965604E-2</v>
      </c>
      <c r="K39">
        <v>-0.38044939253966009</v>
      </c>
      <c r="L39">
        <v>2.4060131413972115E-3</v>
      </c>
      <c r="M39">
        <v>2.6648093400061822E-2</v>
      </c>
      <c r="N39">
        <v>-0.21450860562753235</v>
      </c>
      <c r="O39">
        <v>-0.10709043427359091</v>
      </c>
      <c r="P39">
        <v>-3.60884353330434E-2</v>
      </c>
      <c r="Q39">
        <v>3.3374048683535634E-2</v>
      </c>
      <c r="R39">
        <v>3.7660703259327966E-2</v>
      </c>
      <c r="S39">
        <v>7.5024334571938814E-2</v>
      </c>
      <c r="T39">
        <v>7.0203652223732621E-2</v>
      </c>
      <c r="U39">
        <v>4.1622237278993737E-2</v>
      </c>
      <c r="V39">
        <v>-4.7524744162350061E-3</v>
      </c>
      <c r="W39">
        <v>-3.1697548888144182E-2</v>
      </c>
      <c r="X39">
        <v>-3.6479742134400519E-4</v>
      </c>
      <c r="Y39">
        <v>-3.955268681515782E-2</v>
      </c>
      <c r="Z39">
        <v>-6.789784680523981E-3</v>
      </c>
      <c r="AA39">
        <v>2.7709410120387242E-2</v>
      </c>
      <c r="AB39">
        <v>-2.4092971391057726E-2</v>
      </c>
      <c r="AC39">
        <v>2.4940329583032651E-2</v>
      </c>
      <c r="AD39">
        <v>-5.8495218869427891E-3</v>
      </c>
      <c r="AE39">
        <v>1.0451669889309078E-2</v>
      </c>
      <c r="AF39">
        <v>-1.9926765548506451E-3</v>
      </c>
      <c r="AG39">
        <v>2.4021642154925256E-2</v>
      </c>
      <c r="AH39">
        <v>3.2981543399822517E-2</v>
      </c>
      <c r="AI39">
        <v>-0.11140327558144371</v>
      </c>
      <c r="AJ39">
        <v>0.83629623281561682</v>
      </c>
      <c r="AK39">
        <v>-0.18889564826997932</v>
      </c>
      <c r="AL39">
        <v>0.12176517816016964</v>
      </c>
      <c r="AM39">
        <v>3.7752344093432855E-3</v>
      </c>
      <c r="AN39">
        <v>1.6900699890729363E-2</v>
      </c>
      <c r="AP39">
        <f t="shared" si="2"/>
        <v>0.99999999651849081</v>
      </c>
      <c r="AQ39">
        <f t="shared" si="3"/>
        <v>0.99999999825924535</v>
      </c>
      <c r="AS39">
        <f t="shared" si="13"/>
        <v>-2.9930721077421601E-3</v>
      </c>
      <c r="AT39">
        <f t="shared" si="13"/>
        <v>-3.8041786244910329E-2</v>
      </c>
      <c r="AU39">
        <f t="shared" si="13"/>
        <v>-3.3292100617377494E-2</v>
      </c>
      <c r="AV39">
        <f t="shared" si="13"/>
        <v>3.9766467170706888E-3</v>
      </c>
      <c r="AW39">
        <f t="shared" si="13"/>
        <v>-5.0246625804460845E-3</v>
      </c>
      <c r="AX39">
        <f t="shared" si="13"/>
        <v>-3.676713037383901E-3</v>
      </c>
      <c r="AY39">
        <f t="shared" si="13"/>
        <v>8.543707803316436E-2</v>
      </c>
      <c r="AZ39">
        <f t="shared" si="13"/>
        <v>4.1002080640088423E-2</v>
      </c>
      <c r="BA39">
        <f t="shared" si="13"/>
        <v>1.7474145883383804E-2</v>
      </c>
      <c r="BB39">
        <f t="shared" si="12"/>
        <v>-0.38044939320192916</v>
      </c>
      <c r="BC39">
        <f t="shared" si="12"/>
        <v>2.4060131455854901E-3</v>
      </c>
      <c r="BD39">
        <f t="shared" si="12"/>
        <v>2.6648093446449615E-2</v>
      </c>
      <c r="BE39">
        <f t="shared" si="12"/>
        <v>-0.21450860600093921</v>
      </c>
      <c r="BF39">
        <f t="shared" si="12"/>
        <v>-0.10709043446000908</v>
      </c>
      <c r="BG39">
        <f t="shared" si="12"/>
        <v>-3.608843539586451E-2</v>
      </c>
      <c r="BH39">
        <f t="shared" si="12"/>
        <v>3.3374048741631662E-2</v>
      </c>
      <c r="BI39">
        <f t="shared" si="12"/>
        <v>3.7660703324886011E-2</v>
      </c>
      <c r="BJ39">
        <f t="shared" si="12"/>
        <v>7.5024334702537776E-2</v>
      </c>
      <c r="BK39">
        <f t="shared" si="12"/>
        <v>7.0203652345939949E-2</v>
      </c>
      <c r="BL39">
        <f t="shared" si="14"/>
        <v>4.1622237351447842E-2</v>
      </c>
      <c r="BM39">
        <f t="shared" si="14"/>
        <v>-4.752474424507898E-3</v>
      </c>
      <c r="BN39">
        <f t="shared" si="14"/>
        <v>-3.1697548943321836E-2</v>
      </c>
      <c r="BO39">
        <f t="shared" si="14"/>
        <v>-3.6479742197902798E-4</v>
      </c>
      <c r="BP39">
        <f t="shared" si="14"/>
        <v>-3.9552686884009342E-2</v>
      </c>
      <c r="BQ39">
        <f t="shared" si="14"/>
        <v>-6.7897846923433303E-3</v>
      </c>
      <c r="BR39">
        <f t="shared" si="14"/>
        <v>2.7709410168622526E-2</v>
      </c>
      <c r="BS39">
        <f t="shared" si="14"/>
        <v>-2.4092971432997677E-2</v>
      </c>
      <c r="BT39">
        <f t="shared" si="14"/>
        <v>2.4940329626447644E-2</v>
      </c>
      <c r="BU39">
        <f t="shared" si="14"/>
        <v>-5.8495218971253713E-3</v>
      </c>
      <c r="BV39">
        <f t="shared" si="14"/>
        <v>1.0451669907502872E-2</v>
      </c>
      <c r="BW39">
        <f t="shared" si="15"/>
        <v>-1.992676558319406E-3</v>
      </c>
      <c r="BX39">
        <f t="shared" si="15"/>
        <v>2.4021642196741043E-2</v>
      </c>
      <c r="BY39">
        <f t="shared" si="15"/>
        <v>3.2981543457235293E-2</v>
      </c>
      <c r="BZ39">
        <f t="shared" si="15"/>
        <v>-0.11140327577536947</v>
      </c>
      <c r="CA39">
        <f t="shared" si="15"/>
        <v>0.83629623427140343</v>
      </c>
      <c r="CB39">
        <f t="shared" si="15"/>
        <v>-0.18889564859880029</v>
      </c>
      <c r="CC39">
        <f t="shared" si="15"/>
        <v>0.12176517837213294</v>
      </c>
      <c r="CD39">
        <f t="shared" si="15"/>
        <v>3.7752344159150426E-3</v>
      </c>
      <c r="CE39">
        <f t="shared" si="15"/>
        <v>1.6900699920149337E-2</v>
      </c>
      <c r="CG39">
        <f t="shared" si="5"/>
        <v>1</v>
      </c>
      <c r="CH39">
        <f t="shared" si="6"/>
        <v>1</v>
      </c>
      <c r="CJ39">
        <f t="shared" si="7"/>
        <v>4.7576378162036061E-2</v>
      </c>
      <c r="CL39">
        <f>SUMPRODUCT(AS39:CE39,Dimorfismo!AS39:CE39)</f>
        <v>-3.1467688597660373E-2</v>
      </c>
      <c r="CM39">
        <f t="shared" si="8"/>
        <v>3.1467688597660373E-2</v>
      </c>
      <c r="CN39">
        <f t="shared" si="9"/>
        <v>3.1478081369896126E-2</v>
      </c>
    </row>
    <row r="40" spans="1:92" x14ac:dyDescent="0.25">
      <c r="A40" t="s">
        <v>41</v>
      </c>
      <c r="B40">
        <v>-2.9930721025319558E-3</v>
      </c>
      <c r="C40">
        <v>-3.8041786178688912E-2</v>
      </c>
      <c r="D40">
        <v>-3.3292100559424116E-2</v>
      </c>
      <c r="E40">
        <v>3.9766467101483224E-3</v>
      </c>
      <c r="F40">
        <v>-5.0246625716993797E-3</v>
      </c>
      <c r="G40">
        <v>-3.6767130309836456E-3</v>
      </c>
      <c r="H40">
        <v>8.5437077884439369E-2</v>
      </c>
      <c r="I40">
        <v>4.1002080568713857E-2</v>
      </c>
      <c r="J40">
        <v>1.7474145852965604E-2</v>
      </c>
      <c r="K40">
        <v>-0.38044939253966009</v>
      </c>
      <c r="L40">
        <v>2.4060131413972115E-3</v>
      </c>
      <c r="M40">
        <v>2.6648093400061822E-2</v>
      </c>
      <c r="N40">
        <v>-0.21450860562753235</v>
      </c>
      <c r="O40">
        <v>-0.10709043427359091</v>
      </c>
      <c r="P40">
        <v>-3.60884353330434E-2</v>
      </c>
      <c r="Q40">
        <v>3.3374048683535634E-2</v>
      </c>
      <c r="R40">
        <v>3.7660703259327966E-2</v>
      </c>
      <c r="S40">
        <v>7.5024334571938814E-2</v>
      </c>
      <c r="T40">
        <v>7.0203652223732621E-2</v>
      </c>
      <c r="U40">
        <v>4.1622237278993737E-2</v>
      </c>
      <c r="V40">
        <v>-4.7524744162350061E-3</v>
      </c>
      <c r="W40">
        <v>-3.1697548888144182E-2</v>
      </c>
      <c r="X40">
        <v>-3.6479742134400519E-4</v>
      </c>
      <c r="Y40">
        <v>-3.955268681515782E-2</v>
      </c>
      <c r="Z40">
        <v>-6.789784680523981E-3</v>
      </c>
      <c r="AA40">
        <v>2.7709410120387242E-2</v>
      </c>
      <c r="AB40">
        <v>-2.4092971391057726E-2</v>
      </c>
      <c r="AC40">
        <v>2.4940329583032651E-2</v>
      </c>
      <c r="AD40">
        <v>-5.8495218869427891E-3</v>
      </c>
      <c r="AE40">
        <v>1.0451669889309078E-2</v>
      </c>
      <c r="AF40">
        <v>-1.9926765548506451E-3</v>
      </c>
      <c r="AG40">
        <v>2.4021642154925256E-2</v>
      </c>
      <c r="AH40">
        <v>3.2981543399822517E-2</v>
      </c>
      <c r="AI40">
        <v>-0.11140327558144371</v>
      </c>
      <c r="AJ40">
        <v>0.83629623281561682</v>
      </c>
      <c r="AK40">
        <v>-0.18889564826997932</v>
      </c>
      <c r="AL40">
        <v>0.12176517816016964</v>
      </c>
      <c r="AM40">
        <v>3.7752344093432855E-3</v>
      </c>
      <c r="AN40">
        <v>1.6900699890729363E-2</v>
      </c>
      <c r="AP40">
        <f t="shared" si="2"/>
        <v>0.99999999651849081</v>
      </c>
      <c r="AQ40">
        <f t="shared" si="3"/>
        <v>0.99999999825924535</v>
      </c>
      <c r="AS40">
        <f t="shared" si="13"/>
        <v>-2.9930721077421601E-3</v>
      </c>
      <c r="AT40">
        <f t="shared" si="13"/>
        <v>-3.8041786244910329E-2</v>
      </c>
      <c r="AU40">
        <f t="shared" si="13"/>
        <v>-3.3292100617377494E-2</v>
      </c>
      <c r="AV40">
        <f t="shared" si="13"/>
        <v>3.9766467170706888E-3</v>
      </c>
      <c r="AW40">
        <f t="shared" si="13"/>
        <v>-5.0246625804460845E-3</v>
      </c>
      <c r="AX40">
        <f t="shared" si="13"/>
        <v>-3.676713037383901E-3</v>
      </c>
      <c r="AY40">
        <f t="shared" si="13"/>
        <v>8.543707803316436E-2</v>
      </c>
      <c r="AZ40">
        <f t="shared" si="13"/>
        <v>4.1002080640088423E-2</v>
      </c>
      <c r="BA40">
        <f t="shared" si="13"/>
        <v>1.7474145883383804E-2</v>
      </c>
      <c r="BB40">
        <f t="shared" si="12"/>
        <v>-0.38044939320192916</v>
      </c>
      <c r="BC40">
        <f t="shared" si="12"/>
        <v>2.4060131455854901E-3</v>
      </c>
      <c r="BD40">
        <f t="shared" si="12"/>
        <v>2.6648093446449615E-2</v>
      </c>
      <c r="BE40">
        <f t="shared" si="12"/>
        <v>-0.21450860600093921</v>
      </c>
      <c r="BF40">
        <f t="shared" si="12"/>
        <v>-0.10709043446000908</v>
      </c>
      <c r="BG40">
        <f t="shared" si="12"/>
        <v>-3.608843539586451E-2</v>
      </c>
      <c r="BH40">
        <f t="shared" si="12"/>
        <v>3.3374048741631662E-2</v>
      </c>
      <c r="BI40">
        <f t="shared" si="12"/>
        <v>3.7660703324886011E-2</v>
      </c>
      <c r="BJ40">
        <f t="shared" si="12"/>
        <v>7.5024334702537776E-2</v>
      </c>
      <c r="BK40">
        <f t="shared" si="12"/>
        <v>7.0203652345939949E-2</v>
      </c>
      <c r="BL40">
        <f t="shared" si="14"/>
        <v>4.1622237351447842E-2</v>
      </c>
      <c r="BM40">
        <f t="shared" si="14"/>
        <v>-4.752474424507898E-3</v>
      </c>
      <c r="BN40">
        <f t="shared" si="14"/>
        <v>-3.1697548943321836E-2</v>
      </c>
      <c r="BO40">
        <f t="shared" si="14"/>
        <v>-3.6479742197902798E-4</v>
      </c>
      <c r="BP40">
        <f t="shared" si="14"/>
        <v>-3.9552686884009342E-2</v>
      </c>
      <c r="BQ40">
        <f t="shared" si="14"/>
        <v>-6.7897846923433303E-3</v>
      </c>
      <c r="BR40">
        <f t="shared" si="14"/>
        <v>2.7709410168622526E-2</v>
      </c>
      <c r="BS40">
        <f t="shared" si="14"/>
        <v>-2.4092971432997677E-2</v>
      </c>
      <c r="BT40">
        <f t="shared" si="14"/>
        <v>2.4940329626447644E-2</v>
      </c>
      <c r="BU40">
        <f t="shared" si="14"/>
        <v>-5.8495218971253713E-3</v>
      </c>
      <c r="BV40">
        <f t="shared" si="14"/>
        <v>1.0451669907502872E-2</v>
      </c>
      <c r="BW40">
        <f t="shared" si="15"/>
        <v>-1.992676558319406E-3</v>
      </c>
      <c r="BX40">
        <f t="shared" si="15"/>
        <v>2.4021642196741043E-2</v>
      </c>
      <c r="BY40">
        <f t="shared" si="15"/>
        <v>3.2981543457235293E-2</v>
      </c>
      <c r="BZ40">
        <f t="shared" si="15"/>
        <v>-0.11140327577536947</v>
      </c>
      <c r="CA40">
        <f t="shared" si="15"/>
        <v>0.83629623427140343</v>
      </c>
      <c r="CB40">
        <f t="shared" si="15"/>
        <v>-0.18889564859880029</v>
      </c>
      <c r="CC40">
        <f t="shared" si="15"/>
        <v>0.12176517837213294</v>
      </c>
      <c r="CD40">
        <f t="shared" si="15"/>
        <v>3.7752344159150426E-3</v>
      </c>
      <c r="CE40">
        <f t="shared" si="15"/>
        <v>1.6900699920149337E-2</v>
      </c>
      <c r="CG40">
        <f t="shared" si="5"/>
        <v>1</v>
      </c>
      <c r="CH40">
        <f t="shared" si="6"/>
        <v>1</v>
      </c>
      <c r="CJ40">
        <f t="shared" si="7"/>
        <v>4.7576378162036061E-2</v>
      </c>
      <c r="CL40">
        <f>SUMPRODUCT(AS40:CE40,Dimorfismo!AS40:CE40)</f>
        <v>-0.11505349875398263</v>
      </c>
      <c r="CM40">
        <f t="shared" si="8"/>
        <v>0.11505349875398263</v>
      </c>
      <c r="CN40">
        <f t="shared" si="9"/>
        <v>0.11556523553859904</v>
      </c>
    </row>
    <row r="41" spans="1:92" x14ac:dyDescent="0.25">
      <c r="A41" t="s">
        <v>42</v>
      </c>
      <c r="B41">
        <v>-4.9114868603201287E-2</v>
      </c>
      <c r="C41">
        <v>-0.14017355299101103</v>
      </c>
      <c r="D41">
        <v>-0.1917337951139606</v>
      </c>
      <c r="E41">
        <v>-0.15524580733195378</v>
      </c>
      <c r="F41">
        <v>-0.15281619710060323</v>
      </c>
      <c r="G41">
        <v>-9.1537930057077152E-2</v>
      </c>
      <c r="H41">
        <v>-4.4524650995873195E-2</v>
      </c>
      <c r="I41">
        <v>-9.2209613943048566E-2</v>
      </c>
      <c r="J41">
        <v>-0.15610194040499586</v>
      </c>
      <c r="K41">
        <v>0.1121897196661059</v>
      </c>
      <c r="L41">
        <v>-6.4166622406589199E-2</v>
      </c>
      <c r="M41">
        <v>-8.7946061137770579E-2</v>
      </c>
      <c r="N41">
        <v>0.11688394360019737</v>
      </c>
      <c r="O41">
        <v>1.0839041859616998E-2</v>
      </c>
      <c r="P41">
        <v>-0.35992726907893524</v>
      </c>
      <c r="Q41">
        <v>0.29314594576013436</v>
      </c>
      <c r="R41">
        <v>0.2349049900854569</v>
      </c>
      <c r="S41">
        <v>0.26217367825929444</v>
      </c>
      <c r="T41">
        <v>0.21698325851058214</v>
      </c>
      <c r="U41">
        <v>0.37403411436963369</v>
      </c>
      <c r="V41">
        <v>9.0398129143710333E-3</v>
      </c>
      <c r="W41">
        <v>-0.12698508701547195</v>
      </c>
      <c r="X41">
        <v>-8.3705965902917193E-2</v>
      </c>
      <c r="Y41">
        <v>-8.6333953464562754E-2</v>
      </c>
      <c r="Z41">
        <v>-6.4695794527429337E-2</v>
      </c>
      <c r="AA41">
        <v>-0.18180004111220849</v>
      </c>
      <c r="AB41">
        <v>-5.209477410919422E-2</v>
      </c>
      <c r="AC41">
        <v>-0.10914210642032925</v>
      </c>
      <c r="AD41">
        <v>-6.7813794693104196E-2</v>
      </c>
      <c r="AE41">
        <v>-9.7675164364723534E-3</v>
      </c>
      <c r="AF41">
        <v>-4.4850801935043302E-2</v>
      </c>
      <c r="AG41">
        <v>-0.13876815553633357</v>
      </c>
      <c r="AH41">
        <v>-0.12662543722052061</v>
      </c>
      <c r="AI41">
        <v>2.4573518504286888E-3</v>
      </c>
      <c r="AJ41">
        <v>-0.36484786674991676</v>
      </c>
      <c r="AK41">
        <v>5.2371689504235819E-2</v>
      </c>
      <c r="AL41">
        <v>0.1534535988563854</v>
      </c>
      <c r="AM41">
        <v>-4.4222310800265716E-2</v>
      </c>
      <c r="AN41">
        <v>-1.1679504474551781E-5</v>
      </c>
      <c r="AP41">
        <f t="shared" si="2"/>
        <v>0.99999999578801302</v>
      </c>
      <c r="AQ41">
        <f t="shared" si="3"/>
        <v>0.99999999789400651</v>
      </c>
      <c r="AS41">
        <f t="shared" si="13"/>
        <v>-4.911486870663688E-2</v>
      </c>
      <c r="AT41">
        <f t="shared" si="13"/>
        <v>-0.14017355328621561</v>
      </c>
      <c r="AU41">
        <f t="shared" si="13"/>
        <v>-0.19173379551775072</v>
      </c>
      <c r="AV41">
        <f t="shared" si="13"/>
        <v>-0.15524580765890045</v>
      </c>
      <c r="AW41">
        <f t="shared" si="13"/>
        <v>-0.15281619742243316</v>
      </c>
      <c r="AX41">
        <f t="shared" si="13"/>
        <v>-9.1537930249855431E-2</v>
      </c>
      <c r="AY41">
        <f t="shared" si="13"/>
        <v>-4.452465108964182E-2</v>
      </c>
      <c r="AZ41">
        <f t="shared" si="13"/>
        <v>-9.2209614137241408E-2</v>
      </c>
      <c r="BA41">
        <f t="shared" si="13"/>
        <v>-0.15610194073374553</v>
      </c>
      <c r="BB41">
        <f t="shared" si="12"/>
        <v>0.11218971990237672</v>
      </c>
      <c r="BC41">
        <f t="shared" si="12"/>
        <v>-6.4166622541723686E-2</v>
      </c>
      <c r="BD41">
        <f t="shared" si="12"/>
        <v>-8.7946061322984409E-2</v>
      </c>
      <c r="BE41">
        <f t="shared" si="12"/>
        <v>0.1168839438463542</v>
      </c>
      <c r="BF41">
        <f t="shared" si="12"/>
        <v>1.083904188244395E-2</v>
      </c>
      <c r="BG41">
        <f t="shared" si="12"/>
        <v>-0.35992726983693973</v>
      </c>
      <c r="BH41">
        <f t="shared" si="12"/>
        <v>0.2931459463774978</v>
      </c>
      <c r="BI41">
        <f t="shared" si="12"/>
        <v>0.23490499058016528</v>
      </c>
      <c r="BJ41">
        <f t="shared" si="12"/>
        <v>0.2621736788114305</v>
      </c>
      <c r="BK41">
        <f t="shared" si="12"/>
        <v>0.21698325896754747</v>
      </c>
      <c r="BL41">
        <f t="shared" si="14"/>
        <v>0.37403411515734708</v>
      </c>
      <c r="BM41">
        <f t="shared" si="14"/>
        <v>9.0398129334088202E-3</v>
      </c>
      <c r="BN41">
        <f t="shared" si="14"/>
        <v>-0.12698508728290173</v>
      </c>
      <c r="BO41">
        <f t="shared" si="14"/>
        <v>-8.3705966079201416E-2</v>
      </c>
      <c r="BP41">
        <f t="shared" si="14"/>
        <v>-8.6333953646381495E-2</v>
      </c>
      <c r="BQ41">
        <f t="shared" si="14"/>
        <v>-6.4695794663678266E-2</v>
      </c>
      <c r="BR41">
        <f t="shared" si="14"/>
        <v>-0.1818000414950782</v>
      </c>
      <c r="BS41">
        <f t="shared" si="14"/>
        <v>-5.2094774218905474E-2</v>
      </c>
      <c r="BT41">
        <f t="shared" si="14"/>
        <v>-0.10914210665018181</v>
      </c>
      <c r="BU41">
        <f t="shared" si="14"/>
        <v>-6.7813794835919608E-2</v>
      </c>
      <c r="BV41">
        <f t="shared" si="14"/>
        <v>-9.7675164570426801E-3</v>
      </c>
      <c r="BW41">
        <f t="shared" si="15"/>
        <v>-4.4850802029498801E-2</v>
      </c>
      <c r="BX41">
        <f t="shared" si="15"/>
        <v>-0.1387681558285784</v>
      </c>
      <c r="BY41">
        <f t="shared" si="15"/>
        <v>-0.12662543748719296</v>
      </c>
      <c r="BZ41">
        <f t="shared" si="15"/>
        <v>2.457351855603856E-3</v>
      </c>
      <c r="CA41">
        <f t="shared" si="15"/>
        <v>-0.36484786751828402</v>
      </c>
      <c r="CB41">
        <f t="shared" si="15"/>
        <v>5.2371689614530259E-2</v>
      </c>
      <c r="CC41">
        <f t="shared" si="15"/>
        <v>0.1534535991795577</v>
      </c>
      <c r="CD41">
        <f t="shared" si="15"/>
        <v>-4.4222310893397614E-2</v>
      </c>
      <c r="CE41">
        <f t="shared" si="15"/>
        <v>-1.1679504499148742E-5</v>
      </c>
      <c r="CG41">
        <f t="shared" si="5"/>
        <v>1.0000000000000002</v>
      </c>
      <c r="CH41">
        <f t="shared" si="6"/>
        <v>1</v>
      </c>
      <c r="CJ41">
        <f t="shared" si="7"/>
        <v>-0.19994985623803033</v>
      </c>
      <c r="CL41">
        <f>SUMPRODUCT(AS41:CE41,Dimorfismo!AS41:CE41)</f>
        <v>-0.23291880549339219</v>
      </c>
      <c r="CM41">
        <f t="shared" si="8"/>
        <v>0.23291880549339219</v>
      </c>
      <c r="CN41">
        <f t="shared" si="9"/>
        <v>0.23727349709902429</v>
      </c>
    </row>
    <row r="42" spans="1:92" x14ac:dyDescent="0.25">
      <c r="A42" t="s">
        <v>43</v>
      </c>
      <c r="B42">
        <v>-4.9114868603201287E-2</v>
      </c>
      <c r="C42">
        <v>-0.14017355299101103</v>
      </c>
      <c r="D42">
        <v>-0.1917337951139606</v>
      </c>
      <c r="E42">
        <v>-0.15524580733195378</v>
      </c>
      <c r="F42">
        <v>-0.15281619710060323</v>
      </c>
      <c r="G42">
        <v>-9.1537930057077152E-2</v>
      </c>
      <c r="H42">
        <v>-4.4524650995873195E-2</v>
      </c>
      <c r="I42">
        <v>-9.2209613943048566E-2</v>
      </c>
      <c r="J42">
        <v>-0.15610194040499586</v>
      </c>
      <c r="K42">
        <v>0.1121897196661059</v>
      </c>
      <c r="L42">
        <v>-6.4166622406589199E-2</v>
      </c>
      <c r="M42">
        <v>-8.7946061137770579E-2</v>
      </c>
      <c r="N42">
        <v>0.11688394360019737</v>
      </c>
      <c r="O42">
        <v>1.0839041859616998E-2</v>
      </c>
      <c r="P42">
        <v>-0.35992726907893524</v>
      </c>
      <c r="Q42">
        <v>0.29314594576013436</v>
      </c>
      <c r="R42">
        <v>0.2349049900854569</v>
      </c>
      <c r="S42">
        <v>0.26217367825929444</v>
      </c>
      <c r="T42">
        <v>0.21698325851058214</v>
      </c>
      <c r="U42">
        <v>0.37403411436963369</v>
      </c>
      <c r="V42">
        <v>9.0398129143710333E-3</v>
      </c>
      <c r="W42">
        <v>-0.12698508701547195</v>
      </c>
      <c r="X42">
        <v>-8.3705965902917193E-2</v>
      </c>
      <c r="Y42">
        <v>-8.6333953464562754E-2</v>
      </c>
      <c r="Z42">
        <v>-6.4695794527429337E-2</v>
      </c>
      <c r="AA42">
        <v>-0.18180004111220849</v>
      </c>
      <c r="AB42">
        <v>-5.209477410919422E-2</v>
      </c>
      <c r="AC42">
        <v>-0.10914210642032925</v>
      </c>
      <c r="AD42">
        <v>-6.7813794693104196E-2</v>
      </c>
      <c r="AE42">
        <v>-9.7675164364723534E-3</v>
      </c>
      <c r="AF42">
        <v>-4.4850801935043302E-2</v>
      </c>
      <c r="AG42">
        <v>-0.13876815553633357</v>
      </c>
      <c r="AH42">
        <v>-0.12662543722052061</v>
      </c>
      <c r="AI42">
        <v>2.4573518504286888E-3</v>
      </c>
      <c r="AJ42">
        <v>-0.36484786674991676</v>
      </c>
      <c r="AK42">
        <v>5.2371689504235819E-2</v>
      </c>
      <c r="AL42">
        <v>0.1534535988563854</v>
      </c>
      <c r="AM42">
        <v>-4.4222310800265716E-2</v>
      </c>
      <c r="AN42">
        <v>-1.1679504474551781E-5</v>
      </c>
      <c r="AP42">
        <f t="shared" si="2"/>
        <v>0.99999999578801302</v>
      </c>
      <c r="AQ42">
        <f t="shared" si="3"/>
        <v>0.99999999789400651</v>
      </c>
      <c r="AS42">
        <f t="shared" si="13"/>
        <v>-4.911486870663688E-2</v>
      </c>
      <c r="AT42">
        <f t="shared" si="13"/>
        <v>-0.14017355328621561</v>
      </c>
      <c r="AU42">
        <f t="shared" si="13"/>
        <v>-0.19173379551775072</v>
      </c>
      <c r="AV42">
        <f t="shared" si="13"/>
        <v>-0.15524580765890045</v>
      </c>
      <c r="AW42">
        <f t="shared" si="13"/>
        <v>-0.15281619742243316</v>
      </c>
      <c r="AX42">
        <f t="shared" si="13"/>
        <v>-9.1537930249855431E-2</v>
      </c>
      <c r="AY42">
        <f t="shared" si="13"/>
        <v>-4.452465108964182E-2</v>
      </c>
      <c r="AZ42">
        <f t="shared" si="13"/>
        <v>-9.2209614137241408E-2</v>
      </c>
      <c r="BA42">
        <f t="shared" si="13"/>
        <v>-0.15610194073374553</v>
      </c>
      <c r="BB42">
        <f t="shared" si="12"/>
        <v>0.11218971990237672</v>
      </c>
      <c r="BC42">
        <f t="shared" si="12"/>
        <v>-6.4166622541723686E-2</v>
      </c>
      <c r="BD42">
        <f t="shared" si="12"/>
        <v>-8.7946061322984409E-2</v>
      </c>
      <c r="BE42">
        <f t="shared" si="12"/>
        <v>0.1168839438463542</v>
      </c>
      <c r="BF42">
        <f t="shared" si="12"/>
        <v>1.083904188244395E-2</v>
      </c>
      <c r="BG42">
        <f t="shared" si="12"/>
        <v>-0.35992726983693973</v>
      </c>
      <c r="BH42">
        <f t="shared" si="12"/>
        <v>0.2931459463774978</v>
      </c>
      <c r="BI42">
        <f t="shared" si="12"/>
        <v>0.23490499058016528</v>
      </c>
      <c r="BJ42">
        <f t="shared" si="12"/>
        <v>0.2621736788114305</v>
      </c>
      <c r="BK42">
        <f t="shared" si="12"/>
        <v>0.21698325896754747</v>
      </c>
      <c r="BL42">
        <f t="shared" si="14"/>
        <v>0.37403411515734708</v>
      </c>
      <c r="BM42">
        <f t="shared" si="14"/>
        <v>9.0398129334088202E-3</v>
      </c>
      <c r="BN42">
        <f t="shared" si="14"/>
        <v>-0.12698508728290173</v>
      </c>
      <c r="BO42">
        <f t="shared" si="14"/>
        <v>-8.3705966079201416E-2</v>
      </c>
      <c r="BP42">
        <f t="shared" si="14"/>
        <v>-8.6333953646381495E-2</v>
      </c>
      <c r="BQ42">
        <f t="shared" si="14"/>
        <v>-6.4695794663678266E-2</v>
      </c>
      <c r="BR42">
        <f t="shared" si="14"/>
        <v>-0.1818000414950782</v>
      </c>
      <c r="BS42">
        <f t="shared" si="14"/>
        <v>-5.2094774218905474E-2</v>
      </c>
      <c r="BT42">
        <f t="shared" si="14"/>
        <v>-0.10914210665018181</v>
      </c>
      <c r="BU42">
        <f t="shared" si="14"/>
        <v>-6.7813794835919608E-2</v>
      </c>
      <c r="BV42">
        <f t="shared" si="14"/>
        <v>-9.7675164570426801E-3</v>
      </c>
      <c r="BW42">
        <f t="shared" si="15"/>
        <v>-4.4850802029498801E-2</v>
      </c>
      <c r="BX42">
        <f t="shared" si="15"/>
        <v>-0.1387681558285784</v>
      </c>
      <c r="BY42">
        <f t="shared" si="15"/>
        <v>-0.12662543748719296</v>
      </c>
      <c r="BZ42">
        <f t="shared" si="15"/>
        <v>2.457351855603856E-3</v>
      </c>
      <c r="CA42">
        <f t="shared" si="15"/>
        <v>-0.36484786751828402</v>
      </c>
      <c r="CB42">
        <f t="shared" si="15"/>
        <v>5.2371689614530259E-2</v>
      </c>
      <c r="CC42">
        <f t="shared" si="15"/>
        <v>0.1534535991795577</v>
      </c>
      <c r="CD42">
        <f t="shared" si="15"/>
        <v>-4.4222310893397614E-2</v>
      </c>
      <c r="CE42">
        <f t="shared" si="15"/>
        <v>-1.1679504499148742E-5</v>
      </c>
      <c r="CG42">
        <f t="shared" si="5"/>
        <v>1.0000000000000002</v>
      </c>
      <c r="CH42">
        <f t="shared" si="6"/>
        <v>1</v>
      </c>
      <c r="CJ42">
        <f t="shared" si="7"/>
        <v>-0.19994985623803033</v>
      </c>
      <c r="CL42">
        <f>SUMPRODUCT(AS42:CE42,Dimorfismo!AS42:CE42)</f>
        <v>-0.20576937290267033</v>
      </c>
      <c r="CM42">
        <f t="shared" si="8"/>
        <v>0.20576937290267033</v>
      </c>
      <c r="CN42">
        <f t="shared" si="9"/>
        <v>0.20874962225353355</v>
      </c>
    </row>
    <row r="43" spans="1:92" x14ac:dyDescent="0.25">
      <c r="A43" t="s">
        <v>44</v>
      </c>
      <c r="B43">
        <v>-4.9114868603201287E-2</v>
      </c>
      <c r="C43">
        <v>-0.14017355299101103</v>
      </c>
      <c r="D43">
        <v>-0.1917337951139606</v>
      </c>
      <c r="E43">
        <v>-0.15524580733195378</v>
      </c>
      <c r="F43">
        <v>-0.15281619710060323</v>
      </c>
      <c r="G43">
        <v>-9.1537930057077152E-2</v>
      </c>
      <c r="H43">
        <v>-4.4524650995873195E-2</v>
      </c>
      <c r="I43">
        <v>-9.2209613943048566E-2</v>
      </c>
      <c r="J43">
        <v>-0.15610194040499586</v>
      </c>
      <c r="K43">
        <v>0.1121897196661059</v>
      </c>
      <c r="L43">
        <v>-6.4166622406589199E-2</v>
      </c>
      <c r="M43">
        <v>-8.7946061137770579E-2</v>
      </c>
      <c r="N43">
        <v>0.11688394360019737</v>
      </c>
      <c r="O43">
        <v>1.0839041859616998E-2</v>
      </c>
      <c r="P43">
        <v>-0.35992726907893524</v>
      </c>
      <c r="Q43">
        <v>0.29314594576013436</v>
      </c>
      <c r="R43">
        <v>0.2349049900854569</v>
      </c>
      <c r="S43">
        <v>0.26217367825929444</v>
      </c>
      <c r="T43">
        <v>0.21698325851058214</v>
      </c>
      <c r="U43">
        <v>0.37403411436963369</v>
      </c>
      <c r="V43">
        <v>9.0398129143710333E-3</v>
      </c>
      <c r="W43">
        <v>-0.12698508701547195</v>
      </c>
      <c r="X43">
        <v>-8.3705965902917193E-2</v>
      </c>
      <c r="Y43">
        <v>-8.6333953464562754E-2</v>
      </c>
      <c r="Z43">
        <v>-6.4695794527429337E-2</v>
      </c>
      <c r="AA43">
        <v>-0.18180004111220849</v>
      </c>
      <c r="AB43">
        <v>-5.209477410919422E-2</v>
      </c>
      <c r="AC43">
        <v>-0.10914210642032925</v>
      </c>
      <c r="AD43">
        <v>-6.7813794693104196E-2</v>
      </c>
      <c r="AE43">
        <v>-9.7675164364723534E-3</v>
      </c>
      <c r="AF43">
        <v>-4.4850801935043302E-2</v>
      </c>
      <c r="AG43">
        <v>-0.13876815553633357</v>
      </c>
      <c r="AH43">
        <v>-0.12662543722052061</v>
      </c>
      <c r="AI43">
        <v>2.4573518504286888E-3</v>
      </c>
      <c r="AJ43">
        <v>-0.36484786674991676</v>
      </c>
      <c r="AK43">
        <v>5.2371689504235819E-2</v>
      </c>
      <c r="AL43">
        <v>0.1534535988563854</v>
      </c>
      <c r="AM43">
        <v>-4.4222310800265716E-2</v>
      </c>
      <c r="AN43">
        <v>-1.1679504474551781E-5</v>
      </c>
      <c r="AP43">
        <f t="shared" si="2"/>
        <v>0.99999999578801302</v>
      </c>
      <c r="AQ43">
        <f t="shared" si="3"/>
        <v>0.99999999789400651</v>
      </c>
      <c r="AS43">
        <f t="shared" si="13"/>
        <v>-4.911486870663688E-2</v>
      </c>
      <c r="AT43">
        <f t="shared" si="13"/>
        <v>-0.14017355328621561</v>
      </c>
      <c r="AU43">
        <f t="shared" si="13"/>
        <v>-0.19173379551775072</v>
      </c>
      <c r="AV43">
        <f t="shared" si="13"/>
        <v>-0.15524580765890045</v>
      </c>
      <c r="AW43">
        <f t="shared" si="13"/>
        <v>-0.15281619742243316</v>
      </c>
      <c r="AX43">
        <f t="shared" si="13"/>
        <v>-9.1537930249855431E-2</v>
      </c>
      <c r="AY43">
        <f t="shared" si="13"/>
        <v>-4.452465108964182E-2</v>
      </c>
      <c r="AZ43">
        <f t="shared" si="13"/>
        <v>-9.2209614137241408E-2</v>
      </c>
      <c r="BA43">
        <f t="shared" si="13"/>
        <v>-0.15610194073374553</v>
      </c>
      <c r="BB43">
        <f t="shared" si="12"/>
        <v>0.11218971990237672</v>
      </c>
      <c r="BC43">
        <f t="shared" si="12"/>
        <v>-6.4166622541723686E-2</v>
      </c>
      <c r="BD43">
        <f t="shared" si="12"/>
        <v>-8.7946061322984409E-2</v>
      </c>
      <c r="BE43">
        <f t="shared" si="12"/>
        <v>0.1168839438463542</v>
      </c>
      <c r="BF43">
        <f t="shared" si="12"/>
        <v>1.083904188244395E-2</v>
      </c>
      <c r="BG43">
        <f t="shared" si="12"/>
        <v>-0.35992726983693973</v>
      </c>
      <c r="BH43">
        <f t="shared" si="12"/>
        <v>0.2931459463774978</v>
      </c>
      <c r="BI43">
        <f t="shared" si="12"/>
        <v>0.23490499058016528</v>
      </c>
      <c r="BJ43">
        <f t="shared" si="12"/>
        <v>0.2621736788114305</v>
      </c>
      <c r="BK43">
        <f t="shared" si="12"/>
        <v>0.21698325896754747</v>
      </c>
      <c r="BL43">
        <f t="shared" si="14"/>
        <v>0.37403411515734708</v>
      </c>
      <c r="BM43">
        <f t="shared" si="14"/>
        <v>9.0398129334088202E-3</v>
      </c>
      <c r="BN43">
        <f t="shared" si="14"/>
        <v>-0.12698508728290173</v>
      </c>
      <c r="BO43">
        <f t="shared" si="14"/>
        <v>-8.3705966079201416E-2</v>
      </c>
      <c r="BP43">
        <f t="shared" si="14"/>
        <v>-8.6333953646381495E-2</v>
      </c>
      <c r="BQ43">
        <f t="shared" si="14"/>
        <v>-6.4695794663678266E-2</v>
      </c>
      <c r="BR43">
        <f t="shared" si="14"/>
        <v>-0.1818000414950782</v>
      </c>
      <c r="BS43">
        <f t="shared" si="14"/>
        <v>-5.2094774218905474E-2</v>
      </c>
      <c r="BT43">
        <f t="shared" si="14"/>
        <v>-0.10914210665018181</v>
      </c>
      <c r="BU43">
        <f t="shared" si="14"/>
        <v>-6.7813794835919608E-2</v>
      </c>
      <c r="BV43">
        <f t="shared" si="14"/>
        <v>-9.7675164570426801E-3</v>
      </c>
      <c r="BW43">
        <f t="shared" si="15"/>
        <v>-4.4850802029498801E-2</v>
      </c>
      <c r="BX43">
        <f t="shared" si="15"/>
        <v>-0.1387681558285784</v>
      </c>
      <c r="BY43">
        <f t="shared" si="15"/>
        <v>-0.12662543748719296</v>
      </c>
      <c r="BZ43">
        <f t="shared" si="15"/>
        <v>2.457351855603856E-3</v>
      </c>
      <c r="CA43">
        <f t="shared" si="15"/>
        <v>-0.36484786751828402</v>
      </c>
      <c r="CB43">
        <f t="shared" si="15"/>
        <v>5.2371689614530259E-2</v>
      </c>
      <c r="CC43">
        <f t="shared" si="15"/>
        <v>0.1534535991795577</v>
      </c>
      <c r="CD43">
        <f t="shared" si="15"/>
        <v>-4.4222310893397614E-2</v>
      </c>
      <c r="CE43">
        <f t="shared" si="15"/>
        <v>-1.1679504499148742E-5</v>
      </c>
      <c r="CG43">
        <f t="shared" si="5"/>
        <v>1.0000000000000002</v>
      </c>
      <c r="CH43">
        <f t="shared" si="6"/>
        <v>1</v>
      </c>
      <c r="CJ43">
        <f t="shared" si="7"/>
        <v>-0.19994985623803033</v>
      </c>
      <c r="CL43">
        <f>SUMPRODUCT(AS43:CE43,Dimorfismo!AS43:CE43)</f>
        <v>-8.3984341063011794E-2</v>
      </c>
      <c r="CM43">
        <f t="shared" si="8"/>
        <v>8.3984341063011794E-2</v>
      </c>
      <c r="CN43">
        <f t="shared" si="9"/>
        <v>8.4182638472018803E-2</v>
      </c>
    </row>
    <row r="44" spans="1:92" x14ac:dyDescent="0.25">
      <c r="A44" t="s">
        <v>45</v>
      </c>
      <c r="B44">
        <v>-4.9114868603201287E-2</v>
      </c>
      <c r="C44">
        <v>-0.14017355299101103</v>
      </c>
      <c r="D44">
        <v>-0.1917337951139606</v>
      </c>
      <c r="E44">
        <v>-0.15524580733195378</v>
      </c>
      <c r="F44">
        <v>-0.15281619710060323</v>
      </c>
      <c r="G44">
        <v>-9.1537930057077152E-2</v>
      </c>
      <c r="H44">
        <v>-4.4524650995873195E-2</v>
      </c>
      <c r="I44">
        <v>-9.2209613943048566E-2</v>
      </c>
      <c r="J44">
        <v>-0.15610194040499586</v>
      </c>
      <c r="K44">
        <v>0.1121897196661059</v>
      </c>
      <c r="L44">
        <v>-6.4166622406589199E-2</v>
      </c>
      <c r="M44">
        <v>-8.7946061137770579E-2</v>
      </c>
      <c r="N44">
        <v>0.11688394360019737</v>
      </c>
      <c r="O44">
        <v>1.0839041859616998E-2</v>
      </c>
      <c r="P44">
        <v>-0.35992726907893524</v>
      </c>
      <c r="Q44">
        <v>0.29314594576013436</v>
      </c>
      <c r="R44">
        <v>0.2349049900854569</v>
      </c>
      <c r="S44">
        <v>0.26217367825929444</v>
      </c>
      <c r="T44">
        <v>0.21698325851058214</v>
      </c>
      <c r="U44">
        <v>0.37403411436963369</v>
      </c>
      <c r="V44">
        <v>9.0398129143710333E-3</v>
      </c>
      <c r="W44">
        <v>-0.12698508701547195</v>
      </c>
      <c r="X44">
        <v>-8.3705965902917193E-2</v>
      </c>
      <c r="Y44">
        <v>-8.6333953464562754E-2</v>
      </c>
      <c r="Z44">
        <v>-6.4695794527429337E-2</v>
      </c>
      <c r="AA44">
        <v>-0.18180004111220849</v>
      </c>
      <c r="AB44">
        <v>-5.209477410919422E-2</v>
      </c>
      <c r="AC44">
        <v>-0.10914210642032925</v>
      </c>
      <c r="AD44">
        <v>-6.7813794693104196E-2</v>
      </c>
      <c r="AE44">
        <v>-9.7675164364723534E-3</v>
      </c>
      <c r="AF44">
        <v>-4.4850801935043302E-2</v>
      </c>
      <c r="AG44">
        <v>-0.13876815553633357</v>
      </c>
      <c r="AH44">
        <v>-0.12662543722052061</v>
      </c>
      <c r="AI44">
        <v>2.4573518504286888E-3</v>
      </c>
      <c r="AJ44">
        <v>-0.36484786674991676</v>
      </c>
      <c r="AK44">
        <v>5.2371689504235819E-2</v>
      </c>
      <c r="AL44">
        <v>0.1534535988563854</v>
      </c>
      <c r="AM44">
        <v>-4.4222310800265716E-2</v>
      </c>
      <c r="AN44">
        <v>-1.1679504474551781E-5</v>
      </c>
      <c r="AP44">
        <f t="shared" si="2"/>
        <v>0.99999999578801302</v>
      </c>
      <c r="AQ44">
        <f t="shared" si="3"/>
        <v>0.99999999789400651</v>
      </c>
      <c r="AS44">
        <f t="shared" si="13"/>
        <v>-4.911486870663688E-2</v>
      </c>
      <c r="AT44">
        <f t="shared" si="13"/>
        <v>-0.14017355328621561</v>
      </c>
      <c r="AU44">
        <f t="shared" si="13"/>
        <v>-0.19173379551775072</v>
      </c>
      <c r="AV44">
        <f t="shared" si="13"/>
        <v>-0.15524580765890045</v>
      </c>
      <c r="AW44">
        <f t="shared" si="13"/>
        <v>-0.15281619742243316</v>
      </c>
      <c r="AX44">
        <f t="shared" si="13"/>
        <v>-9.1537930249855431E-2</v>
      </c>
      <c r="AY44">
        <f t="shared" si="13"/>
        <v>-4.452465108964182E-2</v>
      </c>
      <c r="AZ44">
        <f t="shared" si="13"/>
        <v>-9.2209614137241408E-2</v>
      </c>
      <c r="BA44">
        <f t="shared" si="13"/>
        <v>-0.15610194073374553</v>
      </c>
      <c r="BB44">
        <f t="shared" si="12"/>
        <v>0.11218971990237672</v>
      </c>
      <c r="BC44">
        <f t="shared" si="12"/>
        <v>-6.4166622541723686E-2</v>
      </c>
      <c r="BD44">
        <f t="shared" si="12"/>
        <v>-8.7946061322984409E-2</v>
      </c>
      <c r="BE44">
        <f t="shared" si="12"/>
        <v>0.1168839438463542</v>
      </c>
      <c r="BF44">
        <f t="shared" si="12"/>
        <v>1.083904188244395E-2</v>
      </c>
      <c r="BG44">
        <f t="shared" si="12"/>
        <v>-0.35992726983693973</v>
      </c>
      <c r="BH44">
        <f t="shared" si="12"/>
        <v>0.2931459463774978</v>
      </c>
      <c r="BI44">
        <f t="shared" si="12"/>
        <v>0.23490499058016528</v>
      </c>
      <c r="BJ44">
        <f t="shared" si="12"/>
        <v>0.2621736788114305</v>
      </c>
      <c r="BK44">
        <f t="shared" si="12"/>
        <v>0.21698325896754747</v>
      </c>
      <c r="BL44">
        <f t="shared" si="14"/>
        <v>0.37403411515734708</v>
      </c>
      <c r="BM44">
        <f t="shared" si="14"/>
        <v>9.0398129334088202E-3</v>
      </c>
      <c r="BN44">
        <f t="shared" si="14"/>
        <v>-0.12698508728290173</v>
      </c>
      <c r="BO44">
        <f t="shared" si="14"/>
        <v>-8.3705966079201416E-2</v>
      </c>
      <c r="BP44">
        <f t="shared" si="14"/>
        <v>-8.6333953646381495E-2</v>
      </c>
      <c r="BQ44">
        <f t="shared" si="14"/>
        <v>-6.4695794663678266E-2</v>
      </c>
      <c r="BR44">
        <f t="shared" si="14"/>
        <v>-0.1818000414950782</v>
      </c>
      <c r="BS44">
        <f t="shared" si="14"/>
        <v>-5.2094774218905474E-2</v>
      </c>
      <c r="BT44">
        <f t="shared" si="14"/>
        <v>-0.10914210665018181</v>
      </c>
      <c r="BU44">
        <f t="shared" si="14"/>
        <v>-6.7813794835919608E-2</v>
      </c>
      <c r="BV44">
        <f t="shared" si="14"/>
        <v>-9.7675164570426801E-3</v>
      </c>
      <c r="BW44">
        <f t="shared" si="15"/>
        <v>-4.4850802029498801E-2</v>
      </c>
      <c r="BX44">
        <f t="shared" si="15"/>
        <v>-0.1387681558285784</v>
      </c>
      <c r="BY44">
        <f t="shared" si="15"/>
        <v>-0.12662543748719296</v>
      </c>
      <c r="BZ44">
        <f t="shared" si="15"/>
        <v>2.457351855603856E-3</v>
      </c>
      <c r="CA44">
        <f t="shared" si="15"/>
        <v>-0.36484786751828402</v>
      </c>
      <c r="CB44">
        <f t="shared" si="15"/>
        <v>5.2371689614530259E-2</v>
      </c>
      <c r="CC44">
        <f t="shared" si="15"/>
        <v>0.1534535991795577</v>
      </c>
      <c r="CD44">
        <f t="shared" si="15"/>
        <v>-4.4222310893397614E-2</v>
      </c>
      <c r="CE44">
        <f t="shared" si="15"/>
        <v>-1.1679504499148742E-5</v>
      </c>
      <c r="CG44">
        <f t="shared" si="5"/>
        <v>1.0000000000000002</v>
      </c>
      <c r="CH44">
        <f t="shared" si="6"/>
        <v>1</v>
      </c>
      <c r="CJ44">
        <f t="shared" si="7"/>
        <v>-0.19994985623803033</v>
      </c>
      <c r="CL44">
        <f>SUMPRODUCT(AS44:CE44,Dimorfismo!AS44:CE44)</f>
        <v>-0.37956176409165376</v>
      </c>
      <c r="CM44">
        <f t="shared" si="8"/>
        <v>0.37956176409165376</v>
      </c>
      <c r="CN44">
        <f t="shared" si="9"/>
        <v>0.39954755250202373</v>
      </c>
    </row>
    <row r="45" spans="1:92" x14ac:dyDescent="0.25">
      <c r="A45" t="s">
        <v>46</v>
      </c>
      <c r="B45">
        <v>-4.9114868603201287E-2</v>
      </c>
      <c r="C45">
        <v>-0.14017355299101103</v>
      </c>
      <c r="D45">
        <v>-0.1917337951139606</v>
      </c>
      <c r="E45">
        <v>-0.15524580733195378</v>
      </c>
      <c r="F45">
        <v>-0.15281619710060323</v>
      </c>
      <c r="G45">
        <v>-9.1537930057077152E-2</v>
      </c>
      <c r="H45">
        <v>-4.4524650995873195E-2</v>
      </c>
      <c r="I45">
        <v>-9.2209613943048566E-2</v>
      </c>
      <c r="J45">
        <v>-0.15610194040499586</v>
      </c>
      <c r="K45">
        <v>0.1121897196661059</v>
      </c>
      <c r="L45">
        <v>-6.4166622406589199E-2</v>
      </c>
      <c r="M45">
        <v>-8.7946061137770579E-2</v>
      </c>
      <c r="N45">
        <v>0.11688394360019737</v>
      </c>
      <c r="O45">
        <v>1.0839041859616998E-2</v>
      </c>
      <c r="P45">
        <v>-0.35992726907893524</v>
      </c>
      <c r="Q45">
        <v>0.29314594576013436</v>
      </c>
      <c r="R45">
        <v>0.2349049900854569</v>
      </c>
      <c r="S45">
        <v>0.26217367825929444</v>
      </c>
      <c r="T45">
        <v>0.21698325851058214</v>
      </c>
      <c r="U45">
        <v>0.37403411436963369</v>
      </c>
      <c r="V45">
        <v>9.0398129143710333E-3</v>
      </c>
      <c r="W45">
        <v>-0.12698508701547195</v>
      </c>
      <c r="X45">
        <v>-8.3705965902917193E-2</v>
      </c>
      <c r="Y45">
        <v>-8.6333953464562754E-2</v>
      </c>
      <c r="Z45">
        <v>-6.4695794527429337E-2</v>
      </c>
      <c r="AA45">
        <v>-0.18180004111220849</v>
      </c>
      <c r="AB45">
        <v>-5.209477410919422E-2</v>
      </c>
      <c r="AC45">
        <v>-0.10914210642032925</v>
      </c>
      <c r="AD45">
        <v>-6.7813794693104196E-2</v>
      </c>
      <c r="AE45">
        <v>-9.7675164364723534E-3</v>
      </c>
      <c r="AF45">
        <v>-4.4850801935043302E-2</v>
      </c>
      <c r="AG45">
        <v>-0.13876815553633357</v>
      </c>
      <c r="AH45">
        <v>-0.12662543722052061</v>
      </c>
      <c r="AI45">
        <v>2.4573518504286888E-3</v>
      </c>
      <c r="AJ45">
        <v>-0.36484786674991676</v>
      </c>
      <c r="AK45">
        <v>5.2371689504235819E-2</v>
      </c>
      <c r="AL45">
        <v>0.1534535988563854</v>
      </c>
      <c r="AM45">
        <v>-4.4222310800265716E-2</v>
      </c>
      <c r="AN45">
        <v>-1.1679504474551781E-5</v>
      </c>
      <c r="AP45">
        <f t="shared" si="2"/>
        <v>0.99999999578801302</v>
      </c>
      <c r="AQ45">
        <f t="shared" si="3"/>
        <v>0.99999999789400651</v>
      </c>
      <c r="AS45">
        <f t="shared" si="13"/>
        <v>-4.911486870663688E-2</v>
      </c>
      <c r="AT45">
        <f t="shared" si="13"/>
        <v>-0.14017355328621561</v>
      </c>
      <c r="AU45">
        <f t="shared" si="13"/>
        <v>-0.19173379551775072</v>
      </c>
      <c r="AV45">
        <f t="shared" si="13"/>
        <v>-0.15524580765890045</v>
      </c>
      <c r="AW45">
        <f t="shared" si="13"/>
        <v>-0.15281619742243316</v>
      </c>
      <c r="AX45">
        <f t="shared" si="13"/>
        <v>-9.1537930249855431E-2</v>
      </c>
      <c r="AY45">
        <f t="shared" si="13"/>
        <v>-4.452465108964182E-2</v>
      </c>
      <c r="AZ45">
        <f t="shared" si="13"/>
        <v>-9.2209614137241408E-2</v>
      </c>
      <c r="BA45">
        <f t="shared" si="13"/>
        <v>-0.15610194073374553</v>
      </c>
      <c r="BB45">
        <f t="shared" si="12"/>
        <v>0.11218971990237672</v>
      </c>
      <c r="BC45">
        <f t="shared" si="12"/>
        <v>-6.4166622541723686E-2</v>
      </c>
      <c r="BD45">
        <f t="shared" si="12"/>
        <v>-8.7946061322984409E-2</v>
      </c>
      <c r="BE45">
        <f t="shared" si="12"/>
        <v>0.1168839438463542</v>
      </c>
      <c r="BF45">
        <f t="shared" si="12"/>
        <v>1.083904188244395E-2</v>
      </c>
      <c r="BG45">
        <f t="shared" si="12"/>
        <v>-0.35992726983693973</v>
      </c>
      <c r="BH45">
        <f t="shared" si="12"/>
        <v>0.2931459463774978</v>
      </c>
      <c r="BI45">
        <f t="shared" si="12"/>
        <v>0.23490499058016528</v>
      </c>
      <c r="BJ45">
        <f t="shared" si="12"/>
        <v>0.2621736788114305</v>
      </c>
      <c r="BK45">
        <f t="shared" si="12"/>
        <v>0.21698325896754747</v>
      </c>
      <c r="BL45">
        <f t="shared" si="14"/>
        <v>0.37403411515734708</v>
      </c>
      <c r="BM45">
        <f t="shared" si="14"/>
        <v>9.0398129334088202E-3</v>
      </c>
      <c r="BN45">
        <f t="shared" si="14"/>
        <v>-0.12698508728290173</v>
      </c>
      <c r="BO45">
        <f t="shared" si="14"/>
        <v>-8.3705966079201416E-2</v>
      </c>
      <c r="BP45">
        <f t="shared" si="14"/>
        <v>-8.6333953646381495E-2</v>
      </c>
      <c r="BQ45">
        <f t="shared" si="14"/>
        <v>-6.4695794663678266E-2</v>
      </c>
      <c r="BR45">
        <f t="shared" si="14"/>
        <v>-0.1818000414950782</v>
      </c>
      <c r="BS45">
        <f t="shared" si="14"/>
        <v>-5.2094774218905474E-2</v>
      </c>
      <c r="BT45">
        <f t="shared" si="14"/>
        <v>-0.10914210665018181</v>
      </c>
      <c r="BU45">
        <f t="shared" si="14"/>
        <v>-6.7813794835919608E-2</v>
      </c>
      <c r="BV45">
        <f t="shared" si="14"/>
        <v>-9.7675164570426801E-3</v>
      </c>
      <c r="BW45">
        <f t="shared" si="15"/>
        <v>-4.4850802029498801E-2</v>
      </c>
      <c r="BX45">
        <f t="shared" si="15"/>
        <v>-0.1387681558285784</v>
      </c>
      <c r="BY45">
        <f t="shared" si="15"/>
        <v>-0.12662543748719296</v>
      </c>
      <c r="BZ45">
        <f t="shared" si="15"/>
        <v>2.457351855603856E-3</v>
      </c>
      <c r="CA45">
        <f t="shared" si="15"/>
        <v>-0.36484786751828402</v>
      </c>
      <c r="CB45">
        <f t="shared" si="15"/>
        <v>5.2371689614530259E-2</v>
      </c>
      <c r="CC45">
        <f t="shared" si="15"/>
        <v>0.1534535991795577</v>
      </c>
      <c r="CD45">
        <f t="shared" si="15"/>
        <v>-4.4222310893397614E-2</v>
      </c>
      <c r="CE45">
        <f t="shared" si="15"/>
        <v>-1.1679504499148742E-5</v>
      </c>
      <c r="CG45">
        <f t="shared" si="5"/>
        <v>1.0000000000000002</v>
      </c>
      <c r="CH45">
        <f t="shared" si="6"/>
        <v>1</v>
      </c>
      <c r="CJ45">
        <f t="shared" si="7"/>
        <v>-0.19994985623803033</v>
      </c>
      <c r="CL45">
        <f>SUMPRODUCT(AS45:CE45,Dimorfismo!AS45:CE45)</f>
        <v>0.23791786993160419</v>
      </c>
      <c r="CM45">
        <f t="shared" si="8"/>
        <v>0.23791786993160419</v>
      </c>
      <c r="CN45">
        <f t="shared" si="9"/>
        <v>0.24256588899785803</v>
      </c>
    </row>
    <row r="46" spans="1:92" x14ac:dyDescent="0.25">
      <c r="A46" t="s">
        <v>47</v>
      </c>
      <c r="B46">
        <v>-4.9114868603201287E-2</v>
      </c>
      <c r="C46">
        <v>-0.14017355299101103</v>
      </c>
      <c r="D46">
        <v>-0.1917337951139606</v>
      </c>
      <c r="E46">
        <v>-0.15524580733195378</v>
      </c>
      <c r="F46">
        <v>-0.15281619710060323</v>
      </c>
      <c r="G46">
        <v>-9.1537930057077152E-2</v>
      </c>
      <c r="H46">
        <v>-4.4524650995873195E-2</v>
      </c>
      <c r="I46">
        <v>-9.2209613943048566E-2</v>
      </c>
      <c r="J46">
        <v>-0.15610194040499586</v>
      </c>
      <c r="K46">
        <v>0.1121897196661059</v>
      </c>
      <c r="L46">
        <v>-6.4166622406589199E-2</v>
      </c>
      <c r="M46">
        <v>-8.7946061137770579E-2</v>
      </c>
      <c r="N46">
        <v>0.11688394360019737</v>
      </c>
      <c r="O46">
        <v>1.0839041859616998E-2</v>
      </c>
      <c r="P46">
        <v>-0.35992726907893524</v>
      </c>
      <c r="Q46">
        <v>0.29314594576013436</v>
      </c>
      <c r="R46">
        <v>0.2349049900854569</v>
      </c>
      <c r="S46">
        <v>0.26217367825929444</v>
      </c>
      <c r="T46">
        <v>0.21698325851058214</v>
      </c>
      <c r="U46">
        <v>0.37403411436963369</v>
      </c>
      <c r="V46">
        <v>9.0398129143710333E-3</v>
      </c>
      <c r="W46">
        <v>-0.12698508701547195</v>
      </c>
      <c r="X46">
        <v>-8.3705965902917193E-2</v>
      </c>
      <c r="Y46">
        <v>-8.6333953464562754E-2</v>
      </c>
      <c r="Z46">
        <v>-6.4695794527429337E-2</v>
      </c>
      <c r="AA46">
        <v>-0.18180004111220849</v>
      </c>
      <c r="AB46">
        <v>-5.209477410919422E-2</v>
      </c>
      <c r="AC46">
        <v>-0.10914210642032925</v>
      </c>
      <c r="AD46">
        <v>-6.7813794693104196E-2</v>
      </c>
      <c r="AE46">
        <v>-9.7675164364723534E-3</v>
      </c>
      <c r="AF46">
        <v>-4.4850801935043302E-2</v>
      </c>
      <c r="AG46">
        <v>-0.13876815553633357</v>
      </c>
      <c r="AH46">
        <v>-0.12662543722052061</v>
      </c>
      <c r="AI46">
        <v>2.4573518504286888E-3</v>
      </c>
      <c r="AJ46">
        <v>-0.36484786674991676</v>
      </c>
      <c r="AK46">
        <v>5.2371689504235819E-2</v>
      </c>
      <c r="AL46">
        <v>0.1534535988563854</v>
      </c>
      <c r="AM46">
        <v>-4.4222310800265716E-2</v>
      </c>
      <c r="AN46">
        <v>-1.1679504474551781E-5</v>
      </c>
      <c r="AP46">
        <f t="shared" si="2"/>
        <v>0.99999999578801302</v>
      </c>
      <c r="AQ46">
        <f t="shared" si="3"/>
        <v>0.99999999789400651</v>
      </c>
      <c r="AS46">
        <f t="shared" si="13"/>
        <v>-4.911486870663688E-2</v>
      </c>
      <c r="AT46">
        <f t="shared" si="13"/>
        <v>-0.14017355328621561</v>
      </c>
      <c r="AU46">
        <f t="shared" si="13"/>
        <v>-0.19173379551775072</v>
      </c>
      <c r="AV46">
        <f t="shared" si="13"/>
        <v>-0.15524580765890045</v>
      </c>
      <c r="AW46">
        <f t="shared" si="13"/>
        <v>-0.15281619742243316</v>
      </c>
      <c r="AX46">
        <f t="shared" si="13"/>
        <v>-9.1537930249855431E-2</v>
      </c>
      <c r="AY46">
        <f t="shared" si="13"/>
        <v>-4.452465108964182E-2</v>
      </c>
      <c r="AZ46">
        <f t="shared" si="13"/>
        <v>-9.2209614137241408E-2</v>
      </c>
      <c r="BA46">
        <f t="shared" si="13"/>
        <v>-0.15610194073374553</v>
      </c>
      <c r="BB46">
        <f t="shared" si="12"/>
        <v>0.11218971990237672</v>
      </c>
      <c r="BC46">
        <f t="shared" si="12"/>
        <v>-6.4166622541723686E-2</v>
      </c>
      <c r="BD46">
        <f t="shared" si="12"/>
        <v>-8.7946061322984409E-2</v>
      </c>
      <c r="BE46">
        <f t="shared" si="12"/>
        <v>0.1168839438463542</v>
      </c>
      <c r="BF46">
        <f t="shared" si="12"/>
        <v>1.083904188244395E-2</v>
      </c>
      <c r="BG46">
        <f t="shared" si="12"/>
        <v>-0.35992726983693973</v>
      </c>
      <c r="BH46">
        <f t="shared" si="12"/>
        <v>0.2931459463774978</v>
      </c>
      <c r="BI46">
        <f t="shared" si="12"/>
        <v>0.23490499058016528</v>
      </c>
      <c r="BJ46">
        <f t="shared" si="12"/>
        <v>0.2621736788114305</v>
      </c>
      <c r="BK46">
        <f t="shared" si="12"/>
        <v>0.21698325896754747</v>
      </c>
      <c r="BL46">
        <f t="shared" si="14"/>
        <v>0.37403411515734708</v>
      </c>
      <c r="BM46">
        <f t="shared" si="14"/>
        <v>9.0398129334088202E-3</v>
      </c>
      <c r="BN46">
        <f t="shared" si="14"/>
        <v>-0.12698508728290173</v>
      </c>
      <c r="BO46">
        <f t="shared" si="14"/>
        <v>-8.3705966079201416E-2</v>
      </c>
      <c r="BP46">
        <f t="shared" si="14"/>
        <v>-8.6333953646381495E-2</v>
      </c>
      <c r="BQ46">
        <f t="shared" si="14"/>
        <v>-6.4695794663678266E-2</v>
      </c>
      <c r="BR46">
        <f t="shared" si="14"/>
        <v>-0.1818000414950782</v>
      </c>
      <c r="BS46">
        <f t="shared" si="14"/>
        <v>-5.2094774218905474E-2</v>
      </c>
      <c r="BT46">
        <f t="shared" si="14"/>
        <v>-0.10914210665018181</v>
      </c>
      <c r="BU46">
        <f t="shared" si="14"/>
        <v>-6.7813794835919608E-2</v>
      </c>
      <c r="BV46">
        <f t="shared" si="14"/>
        <v>-9.7675164570426801E-3</v>
      </c>
      <c r="BW46">
        <f t="shared" si="15"/>
        <v>-4.4850802029498801E-2</v>
      </c>
      <c r="BX46">
        <f t="shared" si="15"/>
        <v>-0.1387681558285784</v>
      </c>
      <c r="BY46">
        <f t="shared" si="15"/>
        <v>-0.12662543748719296</v>
      </c>
      <c r="BZ46">
        <f t="shared" si="15"/>
        <v>2.457351855603856E-3</v>
      </c>
      <c r="CA46">
        <f t="shared" si="15"/>
        <v>-0.36484786751828402</v>
      </c>
      <c r="CB46">
        <f t="shared" si="15"/>
        <v>5.2371689614530259E-2</v>
      </c>
      <c r="CC46">
        <f t="shared" si="15"/>
        <v>0.1534535991795577</v>
      </c>
      <c r="CD46">
        <f t="shared" si="15"/>
        <v>-4.4222310893397614E-2</v>
      </c>
      <c r="CE46">
        <f t="shared" si="15"/>
        <v>-1.1679504499148742E-5</v>
      </c>
      <c r="CG46">
        <f t="shared" si="5"/>
        <v>1.0000000000000002</v>
      </c>
      <c r="CH46">
        <f t="shared" si="6"/>
        <v>1</v>
      </c>
      <c r="CJ46">
        <f t="shared" si="7"/>
        <v>-0.19994985623803033</v>
      </c>
      <c r="CL46">
        <f>SUMPRODUCT(AS46:CE46,Dimorfismo!AS46:CE46)</f>
        <v>-0.64244599469384311</v>
      </c>
      <c r="CM46">
        <f t="shared" si="8"/>
        <v>0.64244599469384311</v>
      </c>
      <c r="CN46">
        <f t="shared" si="9"/>
        <v>0.76232772767841028</v>
      </c>
    </row>
    <row r="47" spans="1:92" x14ac:dyDescent="0.25">
      <c r="A47" t="s">
        <v>48</v>
      </c>
      <c r="B47">
        <v>-4.9114868603201287E-2</v>
      </c>
      <c r="C47">
        <v>-0.14017355299101103</v>
      </c>
      <c r="D47">
        <v>-0.1917337951139606</v>
      </c>
      <c r="E47">
        <v>-0.15524580733195378</v>
      </c>
      <c r="F47">
        <v>-0.15281619710060323</v>
      </c>
      <c r="G47">
        <v>-9.1537930057077152E-2</v>
      </c>
      <c r="H47">
        <v>-4.4524650995873195E-2</v>
      </c>
      <c r="I47">
        <v>-9.2209613943048566E-2</v>
      </c>
      <c r="J47">
        <v>-0.15610194040499586</v>
      </c>
      <c r="K47">
        <v>0.1121897196661059</v>
      </c>
      <c r="L47">
        <v>-6.4166622406589199E-2</v>
      </c>
      <c r="M47">
        <v>-8.7946061137770579E-2</v>
      </c>
      <c r="N47">
        <v>0.11688394360019737</v>
      </c>
      <c r="O47">
        <v>1.0839041859616998E-2</v>
      </c>
      <c r="P47">
        <v>-0.35992726907893524</v>
      </c>
      <c r="Q47">
        <v>0.29314594576013436</v>
      </c>
      <c r="R47">
        <v>0.2349049900854569</v>
      </c>
      <c r="S47">
        <v>0.26217367825929444</v>
      </c>
      <c r="T47">
        <v>0.21698325851058214</v>
      </c>
      <c r="U47">
        <v>0.37403411436963369</v>
      </c>
      <c r="V47">
        <v>9.0398129143710333E-3</v>
      </c>
      <c r="W47">
        <v>-0.12698508701547195</v>
      </c>
      <c r="X47">
        <v>-8.3705965902917193E-2</v>
      </c>
      <c r="Y47">
        <v>-8.6333953464562754E-2</v>
      </c>
      <c r="Z47">
        <v>-6.4695794527429337E-2</v>
      </c>
      <c r="AA47">
        <v>-0.18180004111220849</v>
      </c>
      <c r="AB47">
        <v>-5.209477410919422E-2</v>
      </c>
      <c r="AC47">
        <v>-0.10914210642032925</v>
      </c>
      <c r="AD47">
        <v>-6.7813794693104196E-2</v>
      </c>
      <c r="AE47">
        <v>-9.7675164364723534E-3</v>
      </c>
      <c r="AF47">
        <v>-4.4850801935043302E-2</v>
      </c>
      <c r="AG47">
        <v>-0.13876815553633357</v>
      </c>
      <c r="AH47">
        <v>-0.12662543722052061</v>
      </c>
      <c r="AI47">
        <v>2.4573518504286888E-3</v>
      </c>
      <c r="AJ47">
        <v>-0.36484786674991676</v>
      </c>
      <c r="AK47">
        <v>5.2371689504235819E-2</v>
      </c>
      <c r="AL47">
        <v>0.1534535988563854</v>
      </c>
      <c r="AM47">
        <v>-4.4222310800265716E-2</v>
      </c>
      <c r="AN47">
        <v>-1.1679504474551781E-5</v>
      </c>
      <c r="AP47">
        <f t="shared" si="2"/>
        <v>0.99999999578801302</v>
      </c>
      <c r="AQ47">
        <f t="shared" si="3"/>
        <v>0.99999999789400651</v>
      </c>
      <c r="AS47">
        <f t="shared" si="13"/>
        <v>-4.911486870663688E-2</v>
      </c>
      <c r="AT47">
        <f t="shared" si="13"/>
        <v>-0.14017355328621561</v>
      </c>
      <c r="AU47">
        <f t="shared" si="13"/>
        <v>-0.19173379551775072</v>
      </c>
      <c r="AV47">
        <f t="shared" si="13"/>
        <v>-0.15524580765890045</v>
      </c>
      <c r="AW47">
        <f t="shared" si="13"/>
        <v>-0.15281619742243316</v>
      </c>
      <c r="AX47">
        <f t="shared" si="13"/>
        <v>-9.1537930249855431E-2</v>
      </c>
      <c r="AY47">
        <f t="shared" si="13"/>
        <v>-4.452465108964182E-2</v>
      </c>
      <c r="AZ47">
        <f t="shared" si="13"/>
        <v>-9.2209614137241408E-2</v>
      </c>
      <c r="BA47">
        <f t="shared" si="13"/>
        <v>-0.15610194073374553</v>
      </c>
      <c r="BB47">
        <f t="shared" si="12"/>
        <v>0.11218971990237672</v>
      </c>
      <c r="BC47">
        <f t="shared" si="12"/>
        <v>-6.4166622541723686E-2</v>
      </c>
      <c r="BD47">
        <f t="shared" si="12"/>
        <v>-8.7946061322984409E-2</v>
      </c>
      <c r="BE47">
        <f t="shared" si="12"/>
        <v>0.1168839438463542</v>
      </c>
      <c r="BF47">
        <f t="shared" si="12"/>
        <v>1.083904188244395E-2</v>
      </c>
      <c r="BG47">
        <f t="shared" si="12"/>
        <v>-0.35992726983693973</v>
      </c>
      <c r="BH47">
        <f t="shared" si="12"/>
        <v>0.2931459463774978</v>
      </c>
      <c r="BI47">
        <f t="shared" si="12"/>
        <v>0.23490499058016528</v>
      </c>
      <c r="BJ47">
        <f t="shared" si="12"/>
        <v>0.2621736788114305</v>
      </c>
      <c r="BK47">
        <f t="shared" si="12"/>
        <v>0.21698325896754747</v>
      </c>
      <c r="BL47">
        <f t="shared" si="14"/>
        <v>0.37403411515734708</v>
      </c>
      <c r="BM47">
        <f t="shared" si="14"/>
        <v>9.0398129334088202E-3</v>
      </c>
      <c r="BN47">
        <f t="shared" si="14"/>
        <v>-0.12698508728290173</v>
      </c>
      <c r="BO47">
        <f t="shared" si="14"/>
        <v>-8.3705966079201416E-2</v>
      </c>
      <c r="BP47">
        <f t="shared" si="14"/>
        <v>-8.6333953646381495E-2</v>
      </c>
      <c r="BQ47">
        <f t="shared" si="14"/>
        <v>-6.4695794663678266E-2</v>
      </c>
      <c r="BR47">
        <f t="shared" si="14"/>
        <v>-0.1818000414950782</v>
      </c>
      <c r="BS47">
        <f t="shared" si="14"/>
        <v>-5.2094774218905474E-2</v>
      </c>
      <c r="BT47">
        <f t="shared" si="14"/>
        <v>-0.10914210665018181</v>
      </c>
      <c r="BU47">
        <f t="shared" si="14"/>
        <v>-6.7813794835919608E-2</v>
      </c>
      <c r="BV47">
        <f t="shared" si="14"/>
        <v>-9.7675164570426801E-3</v>
      </c>
      <c r="BW47">
        <f t="shared" si="15"/>
        <v>-4.4850802029498801E-2</v>
      </c>
      <c r="BX47">
        <f t="shared" si="15"/>
        <v>-0.1387681558285784</v>
      </c>
      <c r="BY47">
        <f t="shared" si="15"/>
        <v>-0.12662543748719296</v>
      </c>
      <c r="BZ47">
        <f t="shared" si="15"/>
        <v>2.457351855603856E-3</v>
      </c>
      <c r="CA47">
        <f t="shared" si="15"/>
        <v>-0.36484786751828402</v>
      </c>
      <c r="CB47">
        <f t="shared" si="15"/>
        <v>5.2371689614530259E-2</v>
      </c>
      <c r="CC47">
        <f t="shared" si="15"/>
        <v>0.1534535991795577</v>
      </c>
      <c r="CD47">
        <f t="shared" si="15"/>
        <v>-4.4222310893397614E-2</v>
      </c>
      <c r="CE47">
        <f t="shared" si="15"/>
        <v>-1.1679504499148742E-5</v>
      </c>
      <c r="CG47">
        <f t="shared" si="5"/>
        <v>1.0000000000000002</v>
      </c>
      <c r="CH47">
        <f t="shared" si="6"/>
        <v>1</v>
      </c>
      <c r="CJ47">
        <f t="shared" si="7"/>
        <v>-0.19994985623803033</v>
      </c>
      <c r="CL47">
        <f>SUMPRODUCT(AS47:CE47,Dimorfismo!AS47:CE47)</f>
        <v>0.19223190592959022</v>
      </c>
      <c r="CM47">
        <f t="shared" si="8"/>
        <v>0.19223190592959022</v>
      </c>
      <c r="CN47">
        <f t="shared" si="9"/>
        <v>0.19465368781039166</v>
      </c>
    </row>
    <row r="48" spans="1:92" x14ac:dyDescent="0.25">
      <c r="A48" t="s">
        <v>49</v>
      </c>
      <c r="B48">
        <v>-4.9114868603201287E-2</v>
      </c>
      <c r="C48">
        <v>-0.14017355299101103</v>
      </c>
      <c r="D48">
        <v>-0.1917337951139606</v>
      </c>
      <c r="E48">
        <v>-0.15524580733195378</v>
      </c>
      <c r="F48">
        <v>-0.15281619710060323</v>
      </c>
      <c r="G48">
        <v>-9.1537930057077152E-2</v>
      </c>
      <c r="H48">
        <v>-4.4524650995873195E-2</v>
      </c>
      <c r="I48">
        <v>-9.2209613943048566E-2</v>
      </c>
      <c r="J48">
        <v>-0.15610194040499586</v>
      </c>
      <c r="K48">
        <v>0.1121897196661059</v>
      </c>
      <c r="L48">
        <v>-6.4166622406589199E-2</v>
      </c>
      <c r="M48">
        <v>-8.7946061137770579E-2</v>
      </c>
      <c r="N48">
        <v>0.11688394360019737</v>
      </c>
      <c r="O48">
        <v>1.0839041859616998E-2</v>
      </c>
      <c r="P48">
        <v>-0.35992726907893524</v>
      </c>
      <c r="Q48">
        <v>0.29314594576013436</v>
      </c>
      <c r="R48">
        <v>0.2349049900854569</v>
      </c>
      <c r="S48">
        <v>0.26217367825929444</v>
      </c>
      <c r="T48">
        <v>0.21698325851058214</v>
      </c>
      <c r="U48">
        <v>0.37403411436963369</v>
      </c>
      <c r="V48">
        <v>9.0398129143710333E-3</v>
      </c>
      <c r="W48">
        <v>-0.12698508701547195</v>
      </c>
      <c r="X48">
        <v>-8.3705965902917193E-2</v>
      </c>
      <c r="Y48">
        <v>-8.6333953464562754E-2</v>
      </c>
      <c r="Z48">
        <v>-6.4695794527429337E-2</v>
      </c>
      <c r="AA48">
        <v>-0.18180004111220849</v>
      </c>
      <c r="AB48">
        <v>-5.209477410919422E-2</v>
      </c>
      <c r="AC48">
        <v>-0.10914210642032925</v>
      </c>
      <c r="AD48">
        <v>-6.7813794693104196E-2</v>
      </c>
      <c r="AE48">
        <v>-9.7675164364723534E-3</v>
      </c>
      <c r="AF48">
        <v>-4.4850801935043302E-2</v>
      </c>
      <c r="AG48">
        <v>-0.13876815553633357</v>
      </c>
      <c r="AH48">
        <v>-0.12662543722052061</v>
      </c>
      <c r="AI48">
        <v>2.4573518504286888E-3</v>
      </c>
      <c r="AJ48">
        <v>-0.36484786674991676</v>
      </c>
      <c r="AK48">
        <v>5.2371689504235819E-2</v>
      </c>
      <c r="AL48">
        <v>0.1534535988563854</v>
      </c>
      <c r="AM48">
        <v>-4.4222310800265716E-2</v>
      </c>
      <c r="AN48">
        <v>-1.1679504474551781E-5</v>
      </c>
      <c r="AP48">
        <f t="shared" si="2"/>
        <v>0.99999999578801302</v>
      </c>
      <c r="AQ48">
        <f t="shared" si="3"/>
        <v>0.99999999789400651</v>
      </c>
      <c r="AS48">
        <f t="shared" si="13"/>
        <v>-4.911486870663688E-2</v>
      </c>
      <c r="AT48">
        <f t="shared" si="13"/>
        <v>-0.14017355328621561</v>
      </c>
      <c r="AU48">
        <f t="shared" si="13"/>
        <v>-0.19173379551775072</v>
      </c>
      <c r="AV48">
        <f t="shared" si="13"/>
        <v>-0.15524580765890045</v>
      </c>
      <c r="AW48">
        <f t="shared" si="13"/>
        <v>-0.15281619742243316</v>
      </c>
      <c r="AX48">
        <f t="shared" si="13"/>
        <v>-9.1537930249855431E-2</v>
      </c>
      <c r="AY48">
        <f t="shared" si="13"/>
        <v>-4.452465108964182E-2</v>
      </c>
      <c r="AZ48">
        <f t="shared" si="13"/>
        <v>-9.2209614137241408E-2</v>
      </c>
      <c r="BA48">
        <f t="shared" si="13"/>
        <v>-0.15610194073374553</v>
      </c>
      <c r="BB48">
        <f t="shared" si="12"/>
        <v>0.11218971990237672</v>
      </c>
      <c r="BC48">
        <f t="shared" si="12"/>
        <v>-6.4166622541723686E-2</v>
      </c>
      <c r="BD48">
        <f t="shared" si="12"/>
        <v>-8.7946061322984409E-2</v>
      </c>
      <c r="BE48">
        <f t="shared" si="12"/>
        <v>0.1168839438463542</v>
      </c>
      <c r="BF48">
        <f t="shared" si="12"/>
        <v>1.083904188244395E-2</v>
      </c>
      <c r="BG48">
        <f t="shared" si="12"/>
        <v>-0.35992726983693973</v>
      </c>
      <c r="BH48">
        <f t="shared" si="12"/>
        <v>0.2931459463774978</v>
      </c>
      <c r="BI48">
        <f t="shared" si="12"/>
        <v>0.23490499058016528</v>
      </c>
      <c r="BJ48">
        <f t="shared" si="12"/>
        <v>0.2621736788114305</v>
      </c>
      <c r="BK48">
        <f t="shared" si="12"/>
        <v>0.21698325896754747</v>
      </c>
      <c r="BL48">
        <f t="shared" si="14"/>
        <v>0.37403411515734708</v>
      </c>
      <c r="BM48">
        <f t="shared" si="14"/>
        <v>9.0398129334088202E-3</v>
      </c>
      <c r="BN48">
        <f t="shared" si="14"/>
        <v>-0.12698508728290173</v>
      </c>
      <c r="BO48">
        <f t="shared" si="14"/>
        <v>-8.3705966079201416E-2</v>
      </c>
      <c r="BP48">
        <f t="shared" si="14"/>
        <v>-8.6333953646381495E-2</v>
      </c>
      <c r="BQ48">
        <f t="shared" si="14"/>
        <v>-6.4695794663678266E-2</v>
      </c>
      <c r="BR48">
        <f t="shared" si="14"/>
        <v>-0.1818000414950782</v>
      </c>
      <c r="BS48">
        <f t="shared" si="14"/>
        <v>-5.2094774218905474E-2</v>
      </c>
      <c r="BT48">
        <f t="shared" si="14"/>
        <v>-0.10914210665018181</v>
      </c>
      <c r="BU48">
        <f t="shared" si="14"/>
        <v>-6.7813794835919608E-2</v>
      </c>
      <c r="BV48">
        <f t="shared" si="14"/>
        <v>-9.7675164570426801E-3</v>
      </c>
      <c r="BW48">
        <f t="shared" si="15"/>
        <v>-4.4850802029498801E-2</v>
      </c>
      <c r="BX48">
        <f t="shared" si="15"/>
        <v>-0.1387681558285784</v>
      </c>
      <c r="BY48">
        <f t="shared" si="15"/>
        <v>-0.12662543748719296</v>
      </c>
      <c r="BZ48">
        <f t="shared" si="15"/>
        <v>2.457351855603856E-3</v>
      </c>
      <c r="CA48">
        <f t="shared" si="15"/>
        <v>-0.36484786751828402</v>
      </c>
      <c r="CB48">
        <f t="shared" si="15"/>
        <v>5.2371689614530259E-2</v>
      </c>
      <c r="CC48">
        <f t="shared" si="15"/>
        <v>0.1534535991795577</v>
      </c>
      <c r="CD48">
        <f t="shared" si="15"/>
        <v>-4.4222310893397614E-2</v>
      </c>
      <c r="CE48">
        <f t="shared" si="15"/>
        <v>-1.1679504499148742E-5</v>
      </c>
      <c r="CG48">
        <f t="shared" si="5"/>
        <v>1.0000000000000002</v>
      </c>
      <c r="CH48">
        <f t="shared" si="6"/>
        <v>1</v>
      </c>
      <c r="CJ48">
        <f t="shared" si="7"/>
        <v>-0.19994985623803033</v>
      </c>
      <c r="CL48">
        <f>SUMPRODUCT(AS48:CE48,Dimorfismo!AS48:CE48)</f>
        <v>-0.18172170997960316</v>
      </c>
      <c r="CM48">
        <f t="shared" si="8"/>
        <v>0.18172170997960316</v>
      </c>
      <c r="CN48">
        <f t="shared" si="9"/>
        <v>0.18376262185102918</v>
      </c>
    </row>
    <row r="49" spans="1:92" x14ac:dyDescent="0.25">
      <c r="A49" t="s">
        <v>50</v>
      </c>
      <c r="B49">
        <v>-4.9114868603201287E-2</v>
      </c>
      <c r="C49">
        <v>-0.14017355299101103</v>
      </c>
      <c r="D49">
        <v>-0.1917337951139606</v>
      </c>
      <c r="E49">
        <v>-0.15524580733195378</v>
      </c>
      <c r="F49">
        <v>-0.15281619710060323</v>
      </c>
      <c r="G49">
        <v>-9.1537930057077152E-2</v>
      </c>
      <c r="H49">
        <v>-4.4524650995873195E-2</v>
      </c>
      <c r="I49">
        <v>-9.2209613943048566E-2</v>
      </c>
      <c r="J49">
        <v>-0.15610194040499586</v>
      </c>
      <c r="K49">
        <v>0.1121897196661059</v>
      </c>
      <c r="L49">
        <v>-6.4166622406589199E-2</v>
      </c>
      <c r="M49">
        <v>-8.7946061137770579E-2</v>
      </c>
      <c r="N49">
        <v>0.11688394360019737</v>
      </c>
      <c r="O49">
        <v>1.0839041859616998E-2</v>
      </c>
      <c r="P49">
        <v>-0.35992726907893524</v>
      </c>
      <c r="Q49">
        <v>0.29314594576013436</v>
      </c>
      <c r="R49">
        <v>0.2349049900854569</v>
      </c>
      <c r="S49">
        <v>0.26217367825929444</v>
      </c>
      <c r="T49">
        <v>0.21698325851058214</v>
      </c>
      <c r="U49">
        <v>0.37403411436963369</v>
      </c>
      <c r="V49">
        <v>9.0398129143710333E-3</v>
      </c>
      <c r="W49">
        <v>-0.12698508701547195</v>
      </c>
      <c r="X49">
        <v>-8.3705965902917193E-2</v>
      </c>
      <c r="Y49">
        <v>-8.6333953464562754E-2</v>
      </c>
      <c r="Z49">
        <v>-6.4695794527429337E-2</v>
      </c>
      <c r="AA49">
        <v>-0.18180004111220849</v>
      </c>
      <c r="AB49">
        <v>-5.209477410919422E-2</v>
      </c>
      <c r="AC49">
        <v>-0.10914210642032925</v>
      </c>
      <c r="AD49">
        <v>-6.7813794693104196E-2</v>
      </c>
      <c r="AE49">
        <v>-9.7675164364723534E-3</v>
      </c>
      <c r="AF49">
        <v>-4.4850801935043302E-2</v>
      </c>
      <c r="AG49">
        <v>-0.13876815553633357</v>
      </c>
      <c r="AH49">
        <v>-0.12662543722052061</v>
      </c>
      <c r="AI49">
        <v>2.4573518504286888E-3</v>
      </c>
      <c r="AJ49">
        <v>-0.36484786674991676</v>
      </c>
      <c r="AK49">
        <v>5.2371689504235819E-2</v>
      </c>
      <c r="AL49">
        <v>0.1534535988563854</v>
      </c>
      <c r="AM49">
        <v>-4.4222310800265716E-2</v>
      </c>
      <c r="AN49">
        <v>-1.1679504474551781E-5</v>
      </c>
      <c r="AP49">
        <f t="shared" si="2"/>
        <v>0.99999999578801302</v>
      </c>
      <c r="AQ49">
        <f t="shared" si="3"/>
        <v>0.99999999789400651</v>
      </c>
      <c r="AS49">
        <f t="shared" si="13"/>
        <v>-4.911486870663688E-2</v>
      </c>
      <c r="AT49">
        <f t="shared" si="13"/>
        <v>-0.14017355328621561</v>
      </c>
      <c r="AU49">
        <f t="shared" si="13"/>
        <v>-0.19173379551775072</v>
      </c>
      <c r="AV49">
        <f t="shared" si="13"/>
        <v>-0.15524580765890045</v>
      </c>
      <c r="AW49">
        <f t="shared" si="13"/>
        <v>-0.15281619742243316</v>
      </c>
      <c r="AX49">
        <f t="shared" si="13"/>
        <v>-9.1537930249855431E-2</v>
      </c>
      <c r="AY49">
        <f t="shared" si="13"/>
        <v>-4.452465108964182E-2</v>
      </c>
      <c r="AZ49">
        <f t="shared" si="13"/>
        <v>-9.2209614137241408E-2</v>
      </c>
      <c r="BA49">
        <f t="shared" si="13"/>
        <v>-0.15610194073374553</v>
      </c>
      <c r="BB49">
        <f t="shared" si="12"/>
        <v>0.11218971990237672</v>
      </c>
      <c r="BC49">
        <f t="shared" si="12"/>
        <v>-6.4166622541723686E-2</v>
      </c>
      <c r="BD49">
        <f t="shared" si="12"/>
        <v>-8.7946061322984409E-2</v>
      </c>
      <c r="BE49">
        <f t="shared" si="12"/>
        <v>0.1168839438463542</v>
      </c>
      <c r="BF49">
        <f t="shared" si="12"/>
        <v>1.083904188244395E-2</v>
      </c>
      <c r="BG49">
        <f t="shared" si="12"/>
        <v>-0.35992726983693973</v>
      </c>
      <c r="BH49">
        <f t="shared" si="12"/>
        <v>0.2931459463774978</v>
      </c>
      <c r="BI49">
        <f t="shared" si="12"/>
        <v>0.23490499058016528</v>
      </c>
      <c r="BJ49">
        <f t="shared" si="12"/>
        <v>0.2621736788114305</v>
      </c>
      <c r="BK49">
        <f t="shared" si="12"/>
        <v>0.21698325896754747</v>
      </c>
      <c r="BL49">
        <f t="shared" si="14"/>
        <v>0.37403411515734708</v>
      </c>
      <c r="BM49">
        <f t="shared" si="14"/>
        <v>9.0398129334088202E-3</v>
      </c>
      <c r="BN49">
        <f t="shared" si="14"/>
        <v>-0.12698508728290173</v>
      </c>
      <c r="BO49">
        <f t="shared" si="14"/>
        <v>-8.3705966079201416E-2</v>
      </c>
      <c r="BP49">
        <f t="shared" si="14"/>
        <v>-8.6333953646381495E-2</v>
      </c>
      <c r="BQ49">
        <f t="shared" si="14"/>
        <v>-6.4695794663678266E-2</v>
      </c>
      <c r="BR49">
        <f t="shared" si="14"/>
        <v>-0.1818000414950782</v>
      </c>
      <c r="BS49">
        <f t="shared" si="14"/>
        <v>-5.2094774218905474E-2</v>
      </c>
      <c r="BT49">
        <f t="shared" si="14"/>
        <v>-0.10914210665018181</v>
      </c>
      <c r="BU49">
        <f t="shared" si="14"/>
        <v>-6.7813794835919608E-2</v>
      </c>
      <c r="BV49">
        <f t="shared" si="14"/>
        <v>-9.7675164570426801E-3</v>
      </c>
      <c r="BW49">
        <f t="shared" si="15"/>
        <v>-4.4850802029498801E-2</v>
      </c>
      <c r="BX49">
        <f t="shared" si="15"/>
        <v>-0.1387681558285784</v>
      </c>
      <c r="BY49">
        <f t="shared" si="15"/>
        <v>-0.12662543748719296</v>
      </c>
      <c r="BZ49">
        <f t="shared" si="15"/>
        <v>2.457351855603856E-3</v>
      </c>
      <c r="CA49">
        <f t="shared" si="15"/>
        <v>-0.36484786751828402</v>
      </c>
      <c r="CB49">
        <f t="shared" si="15"/>
        <v>5.2371689614530259E-2</v>
      </c>
      <c r="CC49">
        <f t="shared" si="15"/>
        <v>0.1534535991795577</v>
      </c>
      <c r="CD49">
        <f t="shared" si="15"/>
        <v>-4.4222310893397614E-2</v>
      </c>
      <c r="CE49">
        <f t="shared" si="15"/>
        <v>-1.1679504499148742E-5</v>
      </c>
      <c r="CG49">
        <f t="shared" si="5"/>
        <v>1.0000000000000002</v>
      </c>
      <c r="CH49">
        <f t="shared" si="6"/>
        <v>1</v>
      </c>
      <c r="CJ49">
        <f t="shared" si="7"/>
        <v>-0.19994985623803033</v>
      </c>
      <c r="CL49">
        <f>SUMPRODUCT(AS49:CE49,Dimorfismo!AS49:CE49)</f>
        <v>-0.42736655987869038</v>
      </c>
      <c r="CM49">
        <f t="shared" si="8"/>
        <v>0.42736655987869038</v>
      </c>
      <c r="CN49">
        <f t="shared" si="9"/>
        <v>0.45667033375859395</v>
      </c>
    </row>
    <row r="50" spans="1:92" x14ac:dyDescent="0.25">
      <c r="A50" t="s">
        <v>51</v>
      </c>
      <c r="B50">
        <v>-4.9114868603201287E-2</v>
      </c>
      <c r="C50">
        <v>-0.14017355299101103</v>
      </c>
      <c r="D50">
        <v>-0.1917337951139606</v>
      </c>
      <c r="E50">
        <v>-0.15524580733195378</v>
      </c>
      <c r="F50">
        <v>-0.15281619710060323</v>
      </c>
      <c r="G50">
        <v>-9.1537930057077152E-2</v>
      </c>
      <c r="H50">
        <v>-4.4524650995873195E-2</v>
      </c>
      <c r="I50">
        <v>-9.2209613943048566E-2</v>
      </c>
      <c r="J50">
        <v>-0.15610194040499586</v>
      </c>
      <c r="K50">
        <v>0.1121897196661059</v>
      </c>
      <c r="L50">
        <v>-6.4166622406589199E-2</v>
      </c>
      <c r="M50">
        <v>-8.7946061137770579E-2</v>
      </c>
      <c r="N50">
        <v>0.11688394360019737</v>
      </c>
      <c r="O50">
        <v>1.0839041859616998E-2</v>
      </c>
      <c r="P50">
        <v>-0.35992726907893524</v>
      </c>
      <c r="Q50">
        <v>0.29314594576013436</v>
      </c>
      <c r="R50">
        <v>0.2349049900854569</v>
      </c>
      <c r="S50">
        <v>0.26217367825929444</v>
      </c>
      <c r="T50">
        <v>0.21698325851058214</v>
      </c>
      <c r="U50">
        <v>0.37403411436963369</v>
      </c>
      <c r="V50">
        <v>9.0398129143710333E-3</v>
      </c>
      <c r="W50">
        <v>-0.12698508701547195</v>
      </c>
      <c r="X50">
        <v>-8.3705965902917193E-2</v>
      </c>
      <c r="Y50">
        <v>-8.6333953464562754E-2</v>
      </c>
      <c r="Z50">
        <v>-6.4695794527429337E-2</v>
      </c>
      <c r="AA50">
        <v>-0.18180004111220849</v>
      </c>
      <c r="AB50">
        <v>-5.209477410919422E-2</v>
      </c>
      <c r="AC50">
        <v>-0.10914210642032925</v>
      </c>
      <c r="AD50">
        <v>-6.7813794693104196E-2</v>
      </c>
      <c r="AE50">
        <v>-9.7675164364723534E-3</v>
      </c>
      <c r="AF50">
        <v>-4.4850801935043302E-2</v>
      </c>
      <c r="AG50">
        <v>-0.13876815553633357</v>
      </c>
      <c r="AH50">
        <v>-0.12662543722052061</v>
      </c>
      <c r="AI50">
        <v>2.4573518504286888E-3</v>
      </c>
      <c r="AJ50">
        <v>-0.36484786674991676</v>
      </c>
      <c r="AK50">
        <v>5.2371689504235819E-2</v>
      </c>
      <c r="AL50">
        <v>0.1534535988563854</v>
      </c>
      <c r="AM50">
        <v>-4.4222310800265716E-2</v>
      </c>
      <c r="AN50">
        <v>-1.1679504474551781E-5</v>
      </c>
      <c r="AP50">
        <f t="shared" si="2"/>
        <v>0.99999999578801302</v>
      </c>
      <c r="AQ50">
        <f t="shared" si="3"/>
        <v>0.99999999789400651</v>
      </c>
      <c r="AS50">
        <f t="shared" si="13"/>
        <v>-4.911486870663688E-2</v>
      </c>
      <c r="AT50">
        <f t="shared" si="13"/>
        <v>-0.14017355328621561</v>
      </c>
      <c r="AU50">
        <f t="shared" si="13"/>
        <v>-0.19173379551775072</v>
      </c>
      <c r="AV50">
        <f t="shared" si="13"/>
        <v>-0.15524580765890045</v>
      </c>
      <c r="AW50">
        <f t="shared" si="13"/>
        <v>-0.15281619742243316</v>
      </c>
      <c r="AX50">
        <f t="shared" si="13"/>
        <v>-9.1537930249855431E-2</v>
      </c>
      <c r="AY50">
        <f t="shared" si="13"/>
        <v>-4.452465108964182E-2</v>
      </c>
      <c r="AZ50">
        <f t="shared" si="13"/>
        <v>-9.2209614137241408E-2</v>
      </c>
      <c r="BA50">
        <f t="shared" si="13"/>
        <v>-0.15610194073374553</v>
      </c>
      <c r="BB50">
        <f t="shared" si="12"/>
        <v>0.11218971990237672</v>
      </c>
      <c r="BC50">
        <f t="shared" si="12"/>
        <v>-6.4166622541723686E-2</v>
      </c>
      <c r="BD50">
        <f t="shared" si="12"/>
        <v>-8.7946061322984409E-2</v>
      </c>
      <c r="BE50">
        <f t="shared" si="12"/>
        <v>0.1168839438463542</v>
      </c>
      <c r="BF50">
        <f t="shared" si="12"/>
        <v>1.083904188244395E-2</v>
      </c>
      <c r="BG50">
        <f t="shared" si="12"/>
        <v>-0.35992726983693973</v>
      </c>
      <c r="BH50">
        <f t="shared" si="12"/>
        <v>0.2931459463774978</v>
      </c>
      <c r="BI50">
        <f t="shared" si="12"/>
        <v>0.23490499058016528</v>
      </c>
      <c r="BJ50">
        <f t="shared" si="12"/>
        <v>0.2621736788114305</v>
      </c>
      <c r="BK50">
        <f t="shared" si="12"/>
        <v>0.21698325896754747</v>
      </c>
      <c r="BL50">
        <f t="shared" si="14"/>
        <v>0.37403411515734708</v>
      </c>
      <c r="BM50">
        <f t="shared" si="14"/>
        <v>9.0398129334088202E-3</v>
      </c>
      <c r="BN50">
        <f t="shared" si="14"/>
        <v>-0.12698508728290173</v>
      </c>
      <c r="BO50">
        <f t="shared" si="14"/>
        <v>-8.3705966079201416E-2</v>
      </c>
      <c r="BP50">
        <f t="shared" si="14"/>
        <v>-8.6333953646381495E-2</v>
      </c>
      <c r="BQ50">
        <f t="shared" si="14"/>
        <v>-6.4695794663678266E-2</v>
      </c>
      <c r="BR50">
        <f t="shared" si="14"/>
        <v>-0.1818000414950782</v>
      </c>
      <c r="BS50">
        <f t="shared" si="14"/>
        <v>-5.2094774218905474E-2</v>
      </c>
      <c r="BT50">
        <f t="shared" si="14"/>
        <v>-0.10914210665018181</v>
      </c>
      <c r="BU50">
        <f t="shared" si="14"/>
        <v>-6.7813794835919608E-2</v>
      </c>
      <c r="BV50">
        <f t="shared" si="14"/>
        <v>-9.7675164570426801E-3</v>
      </c>
      <c r="BW50">
        <f t="shared" si="15"/>
        <v>-4.4850802029498801E-2</v>
      </c>
      <c r="BX50">
        <f t="shared" si="15"/>
        <v>-0.1387681558285784</v>
      </c>
      <c r="BY50">
        <f t="shared" si="15"/>
        <v>-0.12662543748719296</v>
      </c>
      <c r="BZ50">
        <f t="shared" si="15"/>
        <v>2.457351855603856E-3</v>
      </c>
      <c r="CA50">
        <f t="shared" si="15"/>
        <v>-0.36484786751828402</v>
      </c>
      <c r="CB50">
        <f t="shared" si="15"/>
        <v>5.2371689614530259E-2</v>
      </c>
      <c r="CC50">
        <f t="shared" si="15"/>
        <v>0.1534535991795577</v>
      </c>
      <c r="CD50">
        <f t="shared" si="15"/>
        <v>-4.4222310893397614E-2</v>
      </c>
      <c r="CE50">
        <f t="shared" si="15"/>
        <v>-1.1679504499148742E-5</v>
      </c>
      <c r="CG50">
        <f t="shared" si="5"/>
        <v>1.0000000000000002</v>
      </c>
      <c r="CH50">
        <f t="shared" si="6"/>
        <v>1</v>
      </c>
      <c r="CJ50">
        <f t="shared" si="7"/>
        <v>-0.19994985623803033</v>
      </c>
      <c r="CL50">
        <f>SUMPRODUCT(AS50:CE50,Dimorfismo!AS50:CE50)</f>
        <v>-0.24265700567929432</v>
      </c>
      <c r="CM50">
        <f t="shared" si="8"/>
        <v>0.24265700567929432</v>
      </c>
      <c r="CN50">
        <f t="shared" si="9"/>
        <v>0.24759543251521754</v>
      </c>
    </row>
    <row r="51" spans="1:92" x14ac:dyDescent="0.25">
      <c r="A51" t="s">
        <v>52</v>
      </c>
      <c r="B51">
        <v>-4.9114868603201287E-2</v>
      </c>
      <c r="C51">
        <v>-0.14017355299101103</v>
      </c>
      <c r="D51">
        <v>-0.1917337951139606</v>
      </c>
      <c r="E51">
        <v>-0.15524580733195378</v>
      </c>
      <c r="F51">
        <v>-0.15281619710060323</v>
      </c>
      <c r="G51">
        <v>-9.1537930057077152E-2</v>
      </c>
      <c r="H51">
        <v>-4.4524650995873195E-2</v>
      </c>
      <c r="I51">
        <v>-9.2209613943048566E-2</v>
      </c>
      <c r="J51">
        <v>-0.15610194040499586</v>
      </c>
      <c r="K51">
        <v>0.1121897196661059</v>
      </c>
      <c r="L51">
        <v>-6.4166622406589199E-2</v>
      </c>
      <c r="M51">
        <v>-8.7946061137770579E-2</v>
      </c>
      <c r="N51">
        <v>0.11688394360019737</v>
      </c>
      <c r="O51">
        <v>1.0839041859616998E-2</v>
      </c>
      <c r="P51">
        <v>-0.35992726907893524</v>
      </c>
      <c r="Q51">
        <v>0.29314594576013436</v>
      </c>
      <c r="R51">
        <v>0.2349049900854569</v>
      </c>
      <c r="S51">
        <v>0.26217367825929444</v>
      </c>
      <c r="T51">
        <v>0.21698325851058214</v>
      </c>
      <c r="U51">
        <v>0.37403411436963369</v>
      </c>
      <c r="V51">
        <v>9.0398129143710333E-3</v>
      </c>
      <c r="W51">
        <v>-0.12698508701547195</v>
      </c>
      <c r="X51">
        <v>-8.3705965902917193E-2</v>
      </c>
      <c r="Y51">
        <v>-8.6333953464562754E-2</v>
      </c>
      <c r="Z51">
        <v>-6.4695794527429337E-2</v>
      </c>
      <c r="AA51">
        <v>-0.18180004111220849</v>
      </c>
      <c r="AB51">
        <v>-5.209477410919422E-2</v>
      </c>
      <c r="AC51">
        <v>-0.10914210642032925</v>
      </c>
      <c r="AD51">
        <v>-6.7813794693104196E-2</v>
      </c>
      <c r="AE51">
        <v>-9.7675164364723534E-3</v>
      </c>
      <c r="AF51">
        <v>-4.4850801935043302E-2</v>
      </c>
      <c r="AG51">
        <v>-0.13876815553633357</v>
      </c>
      <c r="AH51">
        <v>-0.12662543722052061</v>
      </c>
      <c r="AI51">
        <v>2.4573518504286888E-3</v>
      </c>
      <c r="AJ51">
        <v>-0.36484786674991676</v>
      </c>
      <c r="AK51">
        <v>5.2371689504235819E-2</v>
      </c>
      <c r="AL51">
        <v>0.1534535988563854</v>
      </c>
      <c r="AM51">
        <v>-4.4222310800265716E-2</v>
      </c>
      <c r="AN51">
        <v>-1.1679504474551781E-5</v>
      </c>
      <c r="AP51">
        <f t="shared" si="2"/>
        <v>0.99999999578801302</v>
      </c>
      <c r="AQ51">
        <f t="shared" si="3"/>
        <v>0.99999999789400651</v>
      </c>
      <c r="AS51">
        <f t="shared" si="13"/>
        <v>-4.911486870663688E-2</v>
      </c>
      <c r="AT51">
        <f t="shared" si="13"/>
        <v>-0.14017355328621561</v>
      </c>
      <c r="AU51">
        <f t="shared" si="13"/>
        <v>-0.19173379551775072</v>
      </c>
      <c r="AV51">
        <f t="shared" si="13"/>
        <v>-0.15524580765890045</v>
      </c>
      <c r="AW51">
        <f t="shared" si="13"/>
        <v>-0.15281619742243316</v>
      </c>
      <c r="AX51">
        <f t="shared" si="13"/>
        <v>-9.1537930249855431E-2</v>
      </c>
      <c r="AY51">
        <f t="shared" si="13"/>
        <v>-4.452465108964182E-2</v>
      </c>
      <c r="AZ51">
        <f t="shared" si="13"/>
        <v>-9.2209614137241408E-2</v>
      </c>
      <c r="BA51">
        <f t="shared" si="13"/>
        <v>-0.15610194073374553</v>
      </c>
      <c r="BB51">
        <f t="shared" si="12"/>
        <v>0.11218971990237672</v>
      </c>
      <c r="BC51">
        <f t="shared" si="12"/>
        <v>-6.4166622541723686E-2</v>
      </c>
      <c r="BD51">
        <f t="shared" si="12"/>
        <v>-8.7946061322984409E-2</v>
      </c>
      <c r="BE51">
        <f t="shared" si="12"/>
        <v>0.1168839438463542</v>
      </c>
      <c r="BF51">
        <f t="shared" si="12"/>
        <v>1.083904188244395E-2</v>
      </c>
      <c r="BG51">
        <f t="shared" si="12"/>
        <v>-0.35992726983693973</v>
      </c>
      <c r="BH51">
        <f t="shared" ref="BH51:BQ65" si="16">Q51/$AQ51</f>
        <v>0.2931459463774978</v>
      </c>
      <c r="BI51">
        <f t="shared" si="16"/>
        <v>0.23490499058016528</v>
      </c>
      <c r="BJ51">
        <f t="shared" si="16"/>
        <v>0.2621736788114305</v>
      </c>
      <c r="BK51">
        <f t="shared" si="16"/>
        <v>0.21698325896754747</v>
      </c>
      <c r="BL51">
        <f t="shared" si="14"/>
        <v>0.37403411515734708</v>
      </c>
      <c r="BM51">
        <f t="shared" si="14"/>
        <v>9.0398129334088202E-3</v>
      </c>
      <c r="BN51">
        <f t="shared" si="14"/>
        <v>-0.12698508728290173</v>
      </c>
      <c r="BO51">
        <f t="shared" si="14"/>
        <v>-8.3705966079201416E-2</v>
      </c>
      <c r="BP51">
        <f t="shared" si="14"/>
        <v>-8.6333953646381495E-2</v>
      </c>
      <c r="BQ51">
        <f t="shared" si="14"/>
        <v>-6.4695794663678266E-2</v>
      </c>
      <c r="BR51">
        <f t="shared" si="14"/>
        <v>-0.1818000414950782</v>
      </c>
      <c r="BS51">
        <f t="shared" si="14"/>
        <v>-5.2094774218905474E-2</v>
      </c>
      <c r="BT51">
        <f t="shared" si="14"/>
        <v>-0.10914210665018181</v>
      </c>
      <c r="BU51">
        <f t="shared" si="14"/>
        <v>-6.7813794835919608E-2</v>
      </c>
      <c r="BV51">
        <f t="shared" si="14"/>
        <v>-9.7675164570426801E-3</v>
      </c>
      <c r="BW51">
        <f t="shared" si="15"/>
        <v>-4.4850802029498801E-2</v>
      </c>
      <c r="BX51">
        <f t="shared" si="15"/>
        <v>-0.1387681558285784</v>
      </c>
      <c r="BY51">
        <f t="shared" si="15"/>
        <v>-0.12662543748719296</v>
      </c>
      <c r="BZ51">
        <f t="shared" si="15"/>
        <v>2.457351855603856E-3</v>
      </c>
      <c r="CA51">
        <f t="shared" si="15"/>
        <v>-0.36484786751828402</v>
      </c>
      <c r="CB51">
        <f t="shared" si="15"/>
        <v>5.2371689614530259E-2</v>
      </c>
      <c r="CC51">
        <f t="shared" si="15"/>
        <v>0.1534535991795577</v>
      </c>
      <c r="CD51">
        <f t="shared" si="15"/>
        <v>-4.4222310893397614E-2</v>
      </c>
      <c r="CE51">
        <f t="shared" si="15"/>
        <v>-1.1679504499148742E-5</v>
      </c>
      <c r="CG51">
        <f t="shared" si="5"/>
        <v>1.0000000000000002</v>
      </c>
      <c r="CH51">
        <f t="shared" si="6"/>
        <v>1</v>
      </c>
      <c r="CJ51">
        <f t="shared" si="7"/>
        <v>-0.19994985623803033</v>
      </c>
      <c r="CL51">
        <f>SUMPRODUCT(AS51:CE51,Dimorfismo!AS51:CE51)</f>
        <v>0.60268811847783121</v>
      </c>
      <c r="CM51">
        <f t="shared" si="8"/>
        <v>0.60268811847783121</v>
      </c>
      <c r="CN51">
        <f t="shared" si="9"/>
        <v>0.69735800224440159</v>
      </c>
    </row>
    <row r="52" spans="1:92" x14ac:dyDescent="0.25">
      <c r="A52" t="s">
        <v>53</v>
      </c>
      <c r="B52">
        <v>-4.9114868603201287E-2</v>
      </c>
      <c r="C52">
        <v>-0.14017355299101103</v>
      </c>
      <c r="D52">
        <v>-0.1917337951139606</v>
      </c>
      <c r="E52">
        <v>-0.15524580733195378</v>
      </c>
      <c r="F52">
        <v>-0.15281619710060323</v>
      </c>
      <c r="G52">
        <v>-9.1537930057077152E-2</v>
      </c>
      <c r="H52">
        <v>-4.4524650995873195E-2</v>
      </c>
      <c r="I52">
        <v>-9.2209613943048566E-2</v>
      </c>
      <c r="J52">
        <v>-0.15610194040499586</v>
      </c>
      <c r="K52">
        <v>0.1121897196661059</v>
      </c>
      <c r="L52">
        <v>-6.4166622406589199E-2</v>
      </c>
      <c r="M52">
        <v>-8.7946061137770579E-2</v>
      </c>
      <c r="N52">
        <v>0.11688394360019737</v>
      </c>
      <c r="O52">
        <v>1.0839041859616998E-2</v>
      </c>
      <c r="P52">
        <v>-0.35992726907893524</v>
      </c>
      <c r="Q52">
        <v>0.29314594576013436</v>
      </c>
      <c r="R52">
        <v>0.2349049900854569</v>
      </c>
      <c r="S52">
        <v>0.26217367825929444</v>
      </c>
      <c r="T52">
        <v>0.21698325851058214</v>
      </c>
      <c r="U52">
        <v>0.37403411436963369</v>
      </c>
      <c r="V52">
        <v>9.0398129143710333E-3</v>
      </c>
      <c r="W52">
        <v>-0.12698508701547195</v>
      </c>
      <c r="X52">
        <v>-8.3705965902917193E-2</v>
      </c>
      <c r="Y52">
        <v>-8.6333953464562754E-2</v>
      </c>
      <c r="Z52">
        <v>-6.4695794527429337E-2</v>
      </c>
      <c r="AA52">
        <v>-0.18180004111220849</v>
      </c>
      <c r="AB52">
        <v>-5.209477410919422E-2</v>
      </c>
      <c r="AC52">
        <v>-0.10914210642032925</v>
      </c>
      <c r="AD52">
        <v>-6.7813794693104196E-2</v>
      </c>
      <c r="AE52">
        <v>-9.7675164364723534E-3</v>
      </c>
      <c r="AF52">
        <v>-4.4850801935043302E-2</v>
      </c>
      <c r="AG52">
        <v>-0.13876815553633357</v>
      </c>
      <c r="AH52">
        <v>-0.12662543722052061</v>
      </c>
      <c r="AI52">
        <v>2.4573518504286888E-3</v>
      </c>
      <c r="AJ52">
        <v>-0.36484786674991676</v>
      </c>
      <c r="AK52">
        <v>5.2371689504235819E-2</v>
      </c>
      <c r="AL52">
        <v>0.1534535988563854</v>
      </c>
      <c r="AM52">
        <v>-4.4222310800265716E-2</v>
      </c>
      <c r="AN52">
        <v>-1.1679504474551781E-5</v>
      </c>
      <c r="AP52">
        <f t="shared" si="2"/>
        <v>0.99999999578801302</v>
      </c>
      <c r="AQ52">
        <f t="shared" si="3"/>
        <v>0.99999999789400651</v>
      </c>
      <c r="AS52">
        <f t="shared" si="13"/>
        <v>-4.911486870663688E-2</v>
      </c>
      <c r="AT52">
        <f t="shared" si="13"/>
        <v>-0.14017355328621561</v>
      </c>
      <c r="AU52">
        <f t="shared" si="13"/>
        <v>-0.19173379551775072</v>
      </c>
      <c r="AV52">
        <f t="shared" si="13"/>
        <v>-0.15524580765890045</v>
      </c>
      <c r="AW52">
        <f t="shared" si="13"/>
        <v>-0.15281619742243316</v>
      </c>
      <c r="AX52">
        <f t="shared" si="13"/>
        <v>-9.1537930249855431E-2</v>
      </c>
      <c r="AY52">
        <f t="shared" si="13"/>
        <v>-4.452465108964182E-2</v>
      </c>
      <c r="AZ52">
        <f t="shared" si="13"/>
        <v>-9.2209614137241408E-2</v>
      </c>
      <c r="BA52">
        <f t="shared" si="13"/>
        <v>-0.15610194073374553</v>
      </c>
      <c r="BB52">
        <f t="shared" si="13"/>
        <v>0.11218971990237672</v>
      </c>
      <c r="BC52">
        <f t="shared" si="13"/>
        <v>-6.4166622541723686E-2</v>
      </c>
      <c r="BD52">
        <f t="shared" si="13"/>
        <v>-8.7946061322984409E-2</v>
      </c>
      <c r="BE52">
        <f t="shared" ref="BE52:BG65" si="17">N52/$AQ52</f>
        <v>0.1168839438463542</v>
      </c>
      <c r="BF52">
        <f t="shared" si="17"/>
        <v>1.083904188244395E-2</v>
      </c>
      <c r="BG52">
        <f t="shared" si="17"/>
        <v>-0.35992726983693973</v>
      </c>
      <c r="BH52">
        <f t="shared" si="16"/>
        <v>0.2931459463774978</v>
      </c>
      <c r="BI52">
        <f t="shared" si="16"/>
        <v>0.23490499058016528</v>
      </c>
      <c r="BJ52">
        <f t="shared" si="16"/>
        <v>0.2621736788114305</v>
      </c>
      <c r="BK52">
        <f t="shared" si="16"/>
        <v>0.21698325896754747</v>
      </c>
      <c r="BL52">
        <f t="shared" si="14"/>
        <v>0.37403411515734708</v>
      </c>
      <c r="BM52">
        <f t="shared" si="14"/>
        <v>9.0398129334088202E-3</v>
      </c>
      <c r="BN52">
        <f t="shared" si="14"/>
        <v>-0.12698508728290173</v>
      </c>
      <c r="BO52">
        <f t="shared" si="14"/>
        <v>-8.3705966079201416E-2</v>
      </c>
      <c r="BP52">
        <f t="shared" si="14"/>
        <v>-8.6333953646381495E-2</v>
      </c>
      <c r="BQ52">
        <f t="shared" si="14"/>
        <v>-6.4695794663678266E-2</v>
      </c>
      <c r="BR52">
        <f t="shared" si="14"/>
        <v>-0.1818000414950782</v>
      </c>
      <c r="BS52">
        <f t="shared" si="14"/>
        <v>-5.2094774218905474E-2</v>
      </c>
      <c r="BT52">
        <f t="shared" si="14"/>
        <v>-0.10914210665018181</v>
      </c>
      <c r="BU52">
        <f t="shared" si="14"/>
        <v>-6.7813794835919608E-2</v>
      </c>
      <c r="BV52">
        <f t="shared" si="14"/>
        <v>-9.7675164570426801E-3</v>
      </c>
      <c r="BW52">
        <f t="shared" si="15"/>
        <v>-4.4850802029498801E-2</v>
      </c>
      <c r="BX52">
        <f t="shared" si="15"/>
        <v>-0.1387681558285784</v>
      </c>
      <c r="BY52">
        <f t="shared" si="15"/>
        <v>-0.12662543748719296</v>
      </c>
      <c r="BZ52">
        <f t="shared" si="15"/>
        <v>2.457351855603856E-3</v>
      </c>
      <c r="CA52">
        <f t="shared" si="15"/>
        <v>-0.36484786751828402</v>
      </c>
      <c r="CB52">
        <f t="shared" si="15"/>
        <v>5.2371689614530259E-2</v>
      </c>
      <c r="CC52">
        <f t="shared" si="15"/>
        <v>0.1534535991795577</v>
      </c>
      <c r="CD52">
        <f t="shared" si="15"/>
        <v>-4.4222310893397614E-2</v>
      </c>
      <c r="CE52">
        <f t="shared" si="15"/>
        <v>-1.1679504499148742E-5</v>
      </c>
      <c r="CG52">
        <f t="shared" si="5"/>
        <v>1.0000000000000002</v>
      </c>
      <c r="CH52">
        <f t="shared" si="6"/>
        <v>1</v>
      </c>
      <c r="CJ52">
        <f t="shared" si="7"/>
        <v>-0.19994985623803033</v>
      </c>
      <c r="CL52">
        <f>SUMPRODUCT(AS52:CE52,Dimorfismo!AS52:CE52)</f>
        <v>-0.45469175459286021</v>
      </c>
      <c r="CM52">
        <f t="shared" si="8"/>
        <v>0.45469175459286021</v>
      </c>
      <c r="CN52">
        <f t="shared" si="9"/>
        <v>0.49059904098324153</v>
      </c>
    </row>
    <row r="53" spans="1:92" ht="14.4" x14ac:dyDescent="0.3">
      <c r="A53" t="s">
        <v>54</v>
      </c>
      <c r="B53">
        <v>-4.9114868603201287E-2</v>
      </c>
      <c r="C53">
        <v>-0.14017355299101103</v>
      </c>
      <c r="D53">
        <v>-0.1917337951139606</v>
      </c>
      <c r="E53">
        <v>-0.15524580733195378</v>
      </c>
      <c r="F53">
        <v>-0.15281619710060323</v>
      </c>
      <c r="G53">
        <v>-9.1537930057077152E-2</v>
      </c>
      <c r="H53">
        <v>-4.4524650995873195E-2</v>
      </c>
      <c r="I53">
        <v>-9.2209613943048566E-2</v>
      </c>
      <c r="J53">
        <v>-0.15610194040499586</v>
      </c>
      <c r="K53">
        <v>0.1121897196661059</v>
      </c>
      <c r="L53">
        <v>-6.4166622406589199E-2</v>
      </c>
      <c r="M53">
        <v>-8.7946061137770579E-2</v>
      </c>
      <c r="N53">
        <v>0.11688394360019737</v>
      </c>
      <c r="O53">
        <v>1.0839041859616998E-2</v>
      </c>
      <c r="P53">
        <v>-0.35992726907893524</v>
      </c>
      <c r="Q53">
        <v>0.29314594576013436</v>
      </c>
      <c r="R53">
        <v>0.2349049900854569</v>
      </c>
      <c r="S53">
        <v>0.26217367825929444</v>
      </c>
      <c r="T53">
        <v>0.21698325851058214</v>
      </c>
      <c r="U53">
        <v>0.37403411436963369</v>
      </c>
      <c r="V53">
        <v>9.0398129143710333E-3</v>
      </c>
      <c r="W53">
        <v>-0.12698508701547195</v>
      </c>
      <c r="X53">
        <v>-8.3705965902917193E-2</v>
      </c>
      <c r="Y53">
        <v>-8.6333953464562754E-2</v>
      </c>
      <c r="Z53">
        <v>-6.4695794527429337E-2</v>
      </c>
      <c r="AA53">
        <v>-0.18180004111220849</v>
      </c>
      <c r="AB53">
        <v>-5.209477410919422E-2</v>
      </c>
      <c r="AC53">
        <v>-0.10914210642032925</v>
      </c>
      <c r="AD53">
        <v>-6.7813794693104196E-2</v>
      </c>
      <c r="AE53">
        <v>-9.7675164364723534E-3</v>
      </c>
      <c r="AF53">
        <v>-4.4850801935043302E-2</v>
      </c>
      <c r="AG53">
        <v>-0.13876815553633357</v>
      </c>
      <c r="AH53">
        <v>-0.12662543722052061</v>
      </c>
      <c r="AI53">
        <v>2.4573518504286888E-3</v>
      </c>
      <c r="AJ53">
        <v>-0.36484786674991676</v>
      </c>
      <c r="AK53">
        <v>5.2371689504235819E-2</v>
      </c>
      <c r="AL53">
        <v>0.1534535988563854</v>
      </c>
      <c r="AM53">
        <v>-4.4222310800265716E-2</v>
      </c>
      <c r="AN53">
        <v>-1.1679504474551781E-5</v>
      </c>
      <c r="AP53" s="3">
        <f t="shared" si="2"/>
        <v>0.99999999578801302</v>
      </c>
      <c r="AQ53" s="3">
        <f t="shared" si="3"/>
        <v>0.99999999789400651</v>
      </c>
      <c r="AR53" s="3"/>
      <c r="AS53" s="3">
        <f t="shared" ref="AS53:BD65" si="18">B53/$AQ53</f>
        <v>-4.911486870663688E-2</v>
      </c>
      <c r="AT53" s="3">
        <f t="shared" si="18"/>
        <v>-0.14017355328621561</v>
      </c>
      <c r="AU53" s="3">
        <f t="shared" si="18"/>
        <v>-0.19173379551775072</v>
      </c>
      <c r="AV53" s="3">
        <f t="shared" si="18"/>
        <v>-0.15524580765890045</v>
      </c>
      <c r="AW53" s="3">
        <f t="shared" si="18"/>
        <v>-0.15281619742243316</v>
      </c>
      <c r="AX53" s="3">
        <f t="shared" si="18"/>
        <v>-9.1537930249855431E-2</v>
      </c>
      <c r="AY53" s="3">
        <f t="shared" si="18"/>
        <v>-4.452465108964182E-2</v>
      </c>
      <c r="AZ53" s="3">
        <f t="shared" si="18"/>
        <v>-9.2209614137241408E-2</v>
      </c>
      <c r="BA53" s="3">
        <f t="shared" si="18"/>
        <v>-0.15610194073374553</v>
      </c>
      <c r="BB53" s="3">
        <f t="shared" si="18"/>
        <v>0.11218971990237672</v>
      </c>
      <c r="BC53" s="3">
        <f t="shared" si="18"/>
        <v>-6.4166622541723686E-2</v>
      </c>
      <c r="BD53" s="3">
        <f t="shared" si="18"/>
        <v>-8.7946061322984409E-2</v>
      </c>
      <c r="BE53" s="3">
        <f t="shared" si="17"/>
        <v>0.1168839438463542</v>
      </c>
      <c r="BF53" s="3">
        <f t="shared" si="17"/>
        <v>1.083904188244395E-2</v>
      </c>
      <c r="BG53" s="3">
        <f t="shared" si="17"/>
        <v>-0.35992726983693973</v>
      </c>
      <c r="BH53" s="3">
        <f t="shared" si="16"/>
        <v>0.2931459463774978</v>
      </c>
      <c r="BI53" s="3">
        <f t="shared" si="16"/>
        <v>0.23490499058016528</v>
      </c>
      <c r="BJ53" s="3">
        <f t="shared" si="16"/>
        <v>0.2621736788114305</v>
      </c>
      <c r="BK53" s="3">
        <f t="shared" si="16"/>
        <v>0.21698325896754747</v>
      </c>
      <c r="BL53" s="3">
        <f t="shared" si="14"/>
        <v>0.37403411515734708</v>
      </c>
      <c r="BM53" s="3">
        <f t="shared" si="14"/>
        <v>9.0398129334088202E-3</v>
      </c>
      <c r="BN53" s="3">
        <f t="shared" si="14"/>
        <v>-0.12698508728290173</v>
      </c>
      <c r="BO53" s="3">
        <f t="shared" si="14"/>
        <v>-8.3705966079201416E-2</v>
      </c>
      <c r="BP53" s="3">
        <f t="shared" si="14"/>
        <v>-8.6333953646381495E-2</v>
      </c>
      <c r="BQ53" s="3">
        <f t="shared" si="14"/>
        <v>-6.4695794663678266E-2</v>
      </c>
      <c r="BR53" s="3">
        <f t="shared" ref="BR53:BY65" si="19">AA53/$AQ53</f>
        <v>-0.1818000414950782</v>
      </c>
      <c r="BS53" s="3">
        <f t="shared" si="19"/>
        <v>-5.2094774218905474E-2</v>
      </c>
      <c r="BT53" s="3">
        <f t="shared" si="19"/>
        <v>-0.10914210665018181</v>
      </c>
      <c r="BU53" s="3">
        <f t="shared" si="19"/>
        <v>-6.7813794835919608E-2</v>
      </c>
      <c r="BV53" s="3">
        <f t="shared" si="19"/>
        <v>-9.7675164570426801E-3</v>
      </c>
      <c r="BW53" s="3">
        <f t="shared" si="15"/>
        <v>-4.4850802029498801E-2</v>
      </c>
      <c r="BX53" s="3">
        <f t="shared" si="15"/>
        <v>-0.1387681558285784</v>
      </c>
      <c r="BY53" s="3">
        <f t="shared" si="15"/>
        <v>-0.12662543748719296</v>
      </c>
      <c r="BZ53" s="3">
        <f t="shared" si="15"/>
        <v>2.457351855603856E-3</v>
      </c>
      <c r="CA53" s="3">
        <f t="shared" si="15"/>
        <v>-0.36484786751828402</v>
      </c>
      <c r="CB53" s="3">
        <f t="shared" si="15"/>
        <v>5.2371689614530259E-2</v>
      </c>
      <c r="CC53" s="3">
        <f t="shared" si="15"/>
        <v>0.1534535991795577</v>
      </c>
      <c r="CD53" s="3">
        <f t="shared" si="15"/>
        <v>-4.4222310893397614E-2</v>
      </c>
      <c r="CE53" s="3">
        <f t="shared" si="15"/>
        <v>-1.1679504499148742E-5</v>
      </c>
      <c r="CF53" s="3"/>
      <c r="CG53" s="3">
        <f t="shared" si="5"/>
        <v>1.0000000000000002</v>
      </c>
      <c r="CH53" s="3">
        <f t="shared" si="6"/>
        <v>1</v>
      </c>
      <c r="CI53" s="3"/>
      <c r="CJ53" s="3">
        <f t="shared" si="7"/>
        <v>-0.19994985623803033</v>
      </c>
      <c r="CL53">
        <f>SUMPRODUCT(AS53:CE53,Dimorfismo!AS53:CE53)</f>
        <v>-3.3047014993575992E-2</v>
      </c>
      <c r="CM53">
        <f t="shared" si="8"/>
        <v>3.3047014993575992E-2</v>
      </c>
      <c r="CN53">
        <f t="shared" si="9"/>
        <v>3.3059053155030521E-2</v>
      </c>
    </row>
    <row r="54" spans="1:92" x14ac:dyDescent="0.25">
      <c r="A54" t="s">
        <v>55</v>
      </c>
      <c r="B54">
        <v>-4.9114868603201287E-2</v>
      </c>
      <c r="C54">
        <v>-0.14017355299101103</v>
      </c>
      <c r="D54">
        <v>-0.1917337951139606</v>
      </c>
      <c r="E54">
        <v>-0.15524580733195378</v>
      </c>
      <c r="F54">
        <v>-0.15281619710060323</v>
      </c>
      <c r="G54">
        <v>-9.1537930057077152E-2</v>
      </c>
      <c r="H54">
        <v>-4.4524650995873195E-2</v>
      </c>
      <c r="I54">
        <v>-9.2209613943048566E-2</v>
      </c>
      <c r="J54">
        <v>-0.15610194040499586</v>
      </c>
      <c r="K54">
        <v>0.1121897196661059</v>
      </c>
      <c r="L54">
        <v>-6.4166622406589199E-2</v>
      </c>
      <c r="M54">
        <v>-8.7946061137770579E-2</v>
      </c>
      <c r="N54">
        <v>0.11688394360019737</v>
      </c>
      <c r="O54">
        <v>1.0839041859616998E-2</v>
      </c>
      <c r="P54">
        <v>-0.35992726907893524</v>
      </c>
      <c r="Q54">
        <v>0.29314594576013436</v>
      </c>
      <c r="R54">
        <v>0.2349049900854569</v>
      </c>
      <c r="S54">
        <v>0.26217367825929444</v>
      </c>
      <c r="T54">
        <v>0.21698325851058214</v>
      </c>
      <c r="U54">
        <v>0.37403411436963369</v>
      </c>
      <c r="V54">
        <v>9.0398129143710333E-3</v>
      </c>
      <c r="W54">
        <v>-0.12698508701547195</v>
      </c>
      <c r="X54">
        <v>-8.3705965902917193E-2</v>
      </c>
      <c r="Y54">
        <v>-8.6333953464562754E-2</v>
      </c>
      <c r="Z54">
        <v>-6.4695794527429337E-2</v>
      </c>
      <c r="AA54">
        <v>-0.18180004111220849</v>
      </c>
      <c r="AB54">
        <v>-5.209477410919422E-2</v>
      </c>
      <c r="AC54">
        <v>-0.10914210642032925</v>
      </c>
      <c r="AD54">
        <v>-6.7813794693104196E-2</v>
      </c>
      <c r="AE54">
        <v>-9.7675164364723534E-3</v>
      </c>
      <c r="AF54">
        <v>-4.4850801935043302E-2</v>
      </c>
      <c r="AG54">
        <v>-0.13876815553633357</v>
      </c>
      <c r="AH54">
        <v>-0.12662543722052061</v>
      </c>
      <c r="AI54">
        <v>2.4573518504286888E-3</v>
      </c>
      <c r="AJ54">
        <v>-0.36484786674991676</v>
      </c>
      <c r="AK54">
        <v>5.2371689504235819E-2</v>
      </c>
      <c r="AL54">
        <v>0.1534535988563854</v>
      </c>
      <c r="AM54">
        <v>-4.4222310800265716E-2</v>
      </c>
      <c r="AN54">
        <v>-1.1679504474551781E-5</v>
      </c>
      <c r="AP54">
        <f t="shared" si="2"/>
        <v>0.99999999578801302</v>
      </c>
      <c r="AQ54">
        <f t="shared" si="3"/>
        <v>0.99999999789400651</v>
      </c>
      <c r="AS54">
        <f t="shared" si="18"/>
        <v>-4.911486870663688E-2</v>
      </c>
      <c r="AT54">
        <f t="shared" si="18"/>
        <v>-0.14017355328621561</v>
      </c>
      <c r="AU54">
        <f t="shared" si="18"/>
        <v>-0.19173379551775072</v>
      </c>
      <c r="AV54">
        <f t="shared" si="18"/>
        <v>-0.15524580765890045</v>
      </c>
      <c r="AW54">
        <f t="shared" si="18"/>
        <v>-0.15281619742243316</v>
      </c>
      <c r="AX54">
        <f t="shared" si="18"/>
        <v>-9.1537930249855431E-2</v>
      </c>
      <c r="AY54">
        <f t="shared" si="18"/>
        <v>-4.452465108964182E-2</v>
      </c>
      <c r="AZ54">
        <f t="shared" si="18"/>
        <v>-9.2209614137241408E-2</v>
      </c>
      <c r="BA54">
        <f t="shared" si="18"/>
        <v>-0.15610194073374553</v>
      </c>
      <c r="BB54">
        <f t="shared" si="18"/>
        <v>0.11218971990237672</v>
      </c>
      <c r="BC54">
        <f t="shared" si="18"/>
        <v>-6.4166622541723686E-2</v>
      </c>
      <c r="BD54">
        <f t="shared" si="18"/>
        <v>-8.7946061322984409E-2</v>
      </c>
      <c r="BE54">
        <f t="shared" si="17"/>
        <v>0.1168839438463542</v>
      </c>
      <c r="BF54">
        <f t="shared" si="17"/>
        <v>1.083904188244395E-2</v>
      </c>
      <c r="BG54">
        <f t="shared" si="17"/>
        <v>-0.35992726983693973</v>
      </c>
      <c r="BH54">
        <f t="shared" si="16"/>
        <v>0.2931459463774978</v>
      </c>
      <c r="BI54">
        <f t="shared" si="16"/>
        <v>0.23490499058016528</v>
      </c>
      <c r="BJ54">
        <f t="shared" si="16"/>
        <v>0.2621736788114305</v>
      </c>
      <c r="BK54">
        <f t="shared" si="16"/>
        <v>0.21698325896754747</v>
      </c>
      <c r="BL54">
        <f t="shared" si="16"/>
        <v>0.37403411515734708</v>
      </c>
      <c r="BM54">
        <f t="shared" si="16"/>
        <v>9.0398129334088202E-3</v>
      </c>
      <c r="BN54">
        <f t="shared" si="16"/>
        <v>-0.12698508728290173</v>
      </c>
      <c r="BO54">
        <f t="shared" si="16"/>
        <v>-8.3705966079201416E-2</v>
      </c>
      <c r="BP54">
        <f t="shared" si="16"/>
        <v>-8.6333953646381495E-2</v>
      </c>
      <c r="BQ54">
        <f t="shared" si="16"/>
        <v>-6.4695794663678266E-2</v>
      </c>
      <c r="BR54">
        <f t="shared" si="19"/>
        <v>-0.1818000414950782</v>
      </c>
      <c r="BS54">
        <f t="shared" si="19"/>
        <v>-5.2094774218905474E-2</v>
      </c>
      <c r="BT54">
        <f t="shared" si="19"/>
        <v>-0.10914210665018181</v>
      </c>
      <c r="BU54">
        <f t="shared" si="19"/>
        <v>-6.7813794835919608E-2</v>
      </c>
      <c r="BV54">
        <f t="shared" si="19"/>
        <v>-9.7675164570426801E-3</v>
      </c>
      <c r="BW54">
        <f t="shared" si="15"/>
        <v>-4.4850802029498801E-2</v>
      </c>
      <c r="BX54">
        <f t="shared" si="15"/>
        <v>-0.1387681558285784</v>
      </c>
      <c r="BY54">
        <f t="shared" si="15"/>
        <v>-0.12662543748719296</v>
      </c>
      <c r="BZ54">
        <f t="shared" si="15"/>
        <v>2.457351855603856E-3</v>
      </c>
      <c r="CA54">
        <f t="shared" si="15"/>
        <v>-0.36484786751828402</v>
      </c>
      <c r="CB54">
        <f t="shared" si="15"/>
        <v>5.2371689614530259E-2</v>
      </c>
      <c r="CC54">
        <f t="shared" si="15"/>
        <v>0.1534535991795577</v>
      </c>
      <c r="CD54">
        <f t="shared" si="15"/>
        <v>-4.4222310893397614E-2</v>
      </c>
      <c r="CE54">
        <f t="shared" si="15"/>
        <v>-1.1679504499148742E-5</v>
      </c>
      <c r="CG54">
        <f t="shared" si="5"/>
        <v>1.0000000000000002</v>
      </c>
      <c r="CH54">
        <f t="shared" si="6"/>
        <v>1</v>
      </c>
      <c r="CJ54">
        <f t="shared" si="7"/>
        <v>-0.19994985623803033</v>
      </c>
      <c r="CL54">
        <f>SUMPRODUCT(AS54:CE54,Dimorfismo!AS54:CE54)</f>
        <v>-8.5762507163224269E-2</v>
      </c>
      <c r="CM54">
        <f t="shared" si="8"/>
        <v>8.5762507163224269E-2</v>
      </c>
      <c r="CN54">
        <f t="shared" si="9"/>
        <v>8.5973707016751971E-2</v>
      </c>
    </row>
    <row r="55" spans="1:92" x14ac:dyDescent="0.25">
      <c r="A55" t="s">
        <v>56</v>
      </c>
      <c r="B55">
        <v>-4.9114868603201287E-2</v>
      </c>
      <c r="C55">
        <v>-0.14017355299101103</v>
      </c>
      <c r="D55">
        <v>-0.1917337951139606</v>
      </c>
      <c r="E55">
        <v>-0.15524580733195378</v>
      </c>
      <c r="F55">
        <v>-0.15281619710060323</v>
      </c>
      <c r="G55">
        <v>-9.1537930057077152E-2</v>
      </c>
      <c r="H55">
        <v>-4.4524650995873195E-2</v>
      </c>
      <c r="I55">
        <v>-9.2209613943048566E-2</v>
      </c>
      <c r="J55">
        <v>-0.15610194040499586</v>
      </c>
      <c r="K55">
        <v>0.1121897196661059</v>
      </c>
      <c r="L55">
        <v>-6.4166622406589199E-2</v>
      </c>
      <c r="M55">
        <v>-8.7946061137770579E-2</v>
      </c>
      <c r="N55">
        <v>0.11688394360019737</v>
      </c>
      <c r="O55">
        <v>1.0839041859616998E-2</v>
      </c>
      <c r="P55">
        <v>-0.35992726907893524</v>
      </c>
      <c r="Q55">
        <v>0.29314594576013436</v>
      </c>
      <c r="R55">
        <v>0.2349049900854569</v>
      </c>
      <c r="S55">
        <v>0.26217367825929444</v>
      </c>
      <c r="T55">
        <v>0.21698325851058214</v>
      </c>
      <c r="U55">
        <v>0.37403411436963369</v>
      </c>
      <c r="V55">
        <v>9.0398129143710333E-3</v>
      </c>
      <c r="W55">
        <v>-0.12698508701547195</v>
      </c>
      <c r="X55">
        <v>-8.3705965902917193E-2</v>
      </c>
      <c r="Y55">
        <v>-8.6333953464562754E-2</v>
      </c>
      <c r="Z55">
        <v>-6.4695794527429337E-2</v>
      </c>
      <c r="AA55">
        <v>-0.18180004111220849</v>
      </c>
      <c r="AB55">
        <v>-5.209477410919422E-2</v>
      </c>
      <c r="AC55">
        <v>-0.10914210642032925</v>
      </c>
      <c r="AD55">
        <v>-6.7813794693104196E-2</v>
      </c>
      <c r="AE55">
        <v>-9.7675164364723534E-3</v>
      </c>
      <c r="AF55">
        <v>-4.4850801935043302E-2</v>
      </c>
      <c r="AG55">
        <v>-0.13876815553633357</v>
      </c>
      <c r="AH55">
        <v>-0.12662543722052061</v>
      </c>
      <c r="AI55">
        <v>2.4573518504286888E-3</v>
      </c>
      <c r="AJ55">
        <v>-0.36484786674991676</v>
      </c>
      <c r="AK55">
        <v>5.2371689504235819E-2</v>
      </c>
      <c r="AL55">
        <v>0.1534535988563854</v>
      </c>
      <c r="AM55">
        <v>-4.4222310800265716E-2</v>
      </c>
      <c r="AN55">
        <v>-1.1679504474551781E-5</v>
      </c>
      <c r="AP55">
        <f t="shared" si="2"/>
        <v>0.99999999578801302</v>
      </c>
      <c r="AQ55">
        <f t="shared" si="3"/>
        <v>0.99999999789400651</v>
      </c>
      <c r="AS55">
        <f t="shared" si="18"/>
        <v>-4.911486870663688E-2</v>
      </c>
      <c r="AT55">
        <f t="shared" si="18"/>
        <v>-0.14017355328621561</v>
      </c>
      <c r="AU55">
        <f t="shared" si="18"/>
        <v>-0.19173379551775072</v>
      </c>
      <c r="AV55">
        <f t="shared" si="18"/>
        <v>-0.15524580765890045</v>
      </c>
      <c r="AW55">
        <f t="shared" si="18"/>
        <v>-0.15281619742243316</v>
      </c>
      <c r="AX55">
        <f t="shared" si="18"/>
        <v>-9.1537930249855431E-2</v>
      </c>
      <c r="AY55">
        <f t="shared" si="18"/>
        <v>-4.452465108964182E-2</v>
      </c>
      <c r="AZ55">
        <f t="shared" si="18"/>
        <v>-9.2209614137241408E-2</v>
      </c>
      <c r="BA55">
        <f t="shared" si="18"/>
        <v>-0.15610194073374553</v>
      </c>
      <c r="BB55">
        <f t="shared" si="18"/>
        <v>0.11218971990237672</v>
      </c>
      <c r="BC55">
        <f t="shared" si="18"/>
        <v>-6.4166622541723686E-2</v>
      </c>
      <c r="BD55">
        <f t="shared" si="18"/>
        <v>-8.7946061322984409E-2</v>
      </c>
      <c r="BE55">
        <f t="shared" si="17"/>
        <v>0.1168839438463542</v>
      </c>
      <c r="BF55">
        <f t="shared" si="17"/>
        <v>1.083904188244395E-2</v>
      </c>
      <c r="BG55">
        <f t="shared" si="17"/>
        <v>-0.35992726983693973</v>
      </c>
      <c r="BH55">
        <f t="shared" si="16"/>
        <v>0.2931459463774978</v>
      </c>
      <c r="BI55">
        <f t="shared" si="16"/>
        <v>0.23490499058016528</v>
      </c>
      <c r="BJ55">
        <f t="shared" si="16"/>
        <v>0.2621736788114305</v>
      </c>
      <c r="BK55">
        <f t="shared" si="16"/>
        <v>0.21698325896754747</v>
      </c>
      <c r="BL55">
        <f t="shared" si="16"/>
        <v>0.37403411515734708</v>
      </c>
      <c r="BM55">
        <f t="shared" si="16"/>
        <v>9.0398129334088202E-3</v>
      </c>
      <c r="BN55">
        <f t="shared" si="16"/>
        <v>-0.12698508728290173</v>
      </c>
      <c r="BO55">
        <f t="shared" si="16"/>
        <v>-8.3705966079201416E-2</v>
      </c>
      <c r="BP55">
        <f t="shared" si="16"/>
        <v>-8.6333953646381495E-2</v>
      </c>
      <c r="BQ55">
        <f t="shared" si="16"/>
        <v>-6.4695794663678266E-2</v>
      </c>
      <c r="BR55">
        <f t="shared" si="19"/>
        <v>-0.1818000414950782</v>
      </c>
      <c r="BS55">
        <f t="shared" si="19"/>
        <v>-5.2094774218905474E-2</v>
      </c>
      <c r="BT55">
        <f t="shared" si="19"/>
        <v>-0.10914210665018181</v>
      </c>
      <c r="BU55">
        <f t="shared" si="19"/>
        <v>-6.7813794835919608E-2</v>
      </c>
      <c r="BV55">
        <f t="shared" si="19"/>
        <v>-9.7675164570426801E-3</v>
      </c>
      <c r="BW55">
        <f t="shared" si="15"/>
        <v>-4.4850802029498801E-2</v>
      </c>
      <c r="BX55">
        <f t="shared" si="15"/>
        <v>-0.1387681558285784</v>
      </c>
      <c r="BY55">
        <f t="shared" si="15"/>
        <v>-0.12662543748719296</v>
      </c>
      <c r="BZ55">
        <f t="shared" si="15"/>
        <v>2.457351855603856E-3</v>
      </c>
      <c r="CA55">
        <f t="shared" si="15"/>
        <v>-0.36484786751828402</v>
      </c>
      <c r="CB55">
        <f t="shared" si="15"/>
        <v>5.2371689614530259E-2</v>
      </c>
      <c r="CC55">
        <f t="shared" si="15"/>
        <v>0.1534535991795577</v>
      </c>
      <c r="CD55">
        <f t="shared" si="15"/>
        <v>-4.4222310893397614E-2</v>
      </c>
      <c r="CE55">
        <f t="shared" si="15"/>
        <v>-1.1679504499148742E-5</v>
      </c>
      <c r="CG55">
        <f t="shared" si="5"/>
        <v>1.0000000000000002</v>
      </c>
      <c r="CH55">
        <f t="shared" si="6"/>
        <v>1</v>
      </c>
      <c r="CJ55">
        <f t="shared" si="7"/>
        <v>-0.19994985623803033</v>
      </c>
      <c r="CL55">
        <f>SUMPRODUCT(AS55:CE55,Dimorfismo!AS55:CE55)</f>
        <v>-4.018744765518429E-2</v>
      </c>
      <c r="CM55">
        <f t="shared" si="8"/>
        <v>4.018744765518429E-2</v>
      </c>
      <c r="CN55">
        <f t="shared" si="9"/>
        <v>4.0209103301025728E-2</v>
      </c>
    </row>
    <row r="56" spans="1:92" x14ac:dyDescent="0.25">
      <c r="A56" t="s">
        <v>57</v>
      </c>
      <c r="B56">
        <v>-4.9114868603201287E-2</v>
      </c>
      <c r="C56">
        <v>-0.14017355299101103</v>
      </c>
      <c r="D56">
        <v>-0.1917337951139606</v>
      </c>
      <c r="E56">
        <v>-0.15524580733195378</v>
      </c>
      <c r="F56">
        <v>-0.15281619710060323</v>
      </c>
      <c r="G56">
        <v>-9.1537930057077152E-2</v>
      </c>
      <c r="H56">
        <v>-4.4524650995873195E-2</v>
      </c>
      <c r="I56">
        <v>-9.2209613943048566E-2</v>
      </c>
      <c r="J56">
        <v>-0.15610194040499586</v>
      </c>
      <c r="K56">
        <v>0.1121897196661059</v>
      </c>
      <c r="L56">
        <v>-6.4166622406589199E-2</v>
      </c>
      <c r="M56">
        <v>-8.7946061137770579E-2</v>
      </c>
      <c r="N56">
        <v>0.11688394360019737</v>
      </c>
      <c r="O56">
        <v>1.0839041859616998E-2</v>
      </c>
      <c r="P56">
        <v>-0.35992726907893524</v>
      </c>
      <c r="Q56">
        <v>0.29314594576013436</v>
      </c>
      <c r="R56">
        <v>0.2349049900854569</v>
      </c>
      <c r="S56">
        <v>0.26217367825929444</v>
      </c>
      <c r="T56">
        <v>0.21698325851058214</v>
      </c>
      <c r="U56">
        <v>0.37403411436963369</v>
      </c>
      <c r="V56">
        <v>9.0398129143710333E-3</v>
      </c>
      <c r="W56">
        <v>-0.12698508701547195</v>
      </c>
      <c r="X56">
        <v>-8.3705965902917193E-2</v>
      </c>
      <c r="Y56">
        <v>-8.6333953464562754E-2</v>
      </c>
      <c r="Z56">
        <v>-6.4695794527429337E-2</v>
      </c>
      <c r="AA56">
        <v>-0.18180004111220849</v>
      </c>
      <c r="AB56">
        <v>-5.209477410919422E-2</v>
      </c>
      <c r="AC56">
        <v>-0.10914210642032925</v>
      </c>
      <c r="AD56">
        <v>-6.7813794693104196E-2</v>
      </c>
      <c r="AE56">
        <v>-9.7675164364723534E-3</v>
      </c>
      <c r="AF56">
        <v>-4.4850801935043302E-2</v>
      </c>
      <c r="AG56">
        <v>-0.13876815553633357</v>
      </c>
      <c r="AH56">
        <v>-0.12662543722052061</v>
      </c>
      <c r="AI56">
        <v>2.4573518504286888E-3</v>
      </c>
      <c r="AJ56">
        <v>-0.36484786674991676</v>
      </c>
      <c r="AK56">
        <v>5.2371689504235819E-2</v>
      </c>
      <c r="AL56">
        <v>0.1534535988563854</v>
      </c>
      <c r="AM56">
        <v>-4.4222310800265716E-2</v>
      </c>
      <c r="AN56">
        <v>-1.1679504474551781E-5</v>
      </c>
      <c r="AP56">
        <f t="shared" si="2"/>
        <v>0.99999999578801302</v>
      </c>
      <c r="AQ56">
        <f t="shared" si="3"/>
        <v>0.99999999789400651</v>
      </c>
      <c r="AS56">
        <f t="shared" si="18"/>
        <v>-4.911486870663688E-2</v>
      </c>
      <c r="AT56">
        <f t="shared" si="18"/>
        <v>-0.14017355328621561</v>
      </c>
      <c r="AU56">
        <f t="shared" si="18"/>
        <v>-0.19173379551775072</v>
      </c>
      <c r="AV56">
        <f t="shared" si="18"/>
        <v>-0.15524580765890045</v>
      </c>
      <c r="AW56">
        <f t="shared" si="18"/>
        <v>-0.15281619742243316</v>
      </c>
      <c r="AX56">
        <f t="shared" si="18"/>
        <v>-9.1537930249855431E-2</v>
      </c>
      <c r="AY56">
        <f t="shared" si="18"/>
        <v>-4.452465108964182E-2</v>
      </c>
      <c r="AZ56">
        <f t="shared" si="18"/>
        <v>-9.2209614137241408E-2</v>
      </c>
      <c r="BA56">
        <f t="shared" si="18"/>
        <v>-0.15610194073374553</v>
      </c>
      <c r="BB56">
        <f t="shared" si="18"/>
        <v>0.11218971990237672</v>
      </c>
      <c r="BC56">
        <f t="shared" si="18"/>
        <v>-6.4166622541723686E-2</v>
      </c>
      <c r="BD56">
        <f t="shared" si="18"/>
        <v>-8.7946061322984409E-2</v>
      </c>
      <c r="BE56">
        <f t="shared" si="17"/>
        <v>0.1168839438463542</v>
      </c>
      <c r="BF56">
        <f t="shared" si="17"/>
        <v>1.083904188244395E-2</v>
      </c>
      <c r="BG56">
        <f t="shared" si="17"/>
        <v>-0.35992726983693973</v>
      </c>
      <c r="BH56">
        <f t="shared" si="16"/>
        <v>0.2931459463774978</v>
      </c>
      <c r="BI56">
        <f t="shared" si="16"/>
        <v>0.23490499058016528</v>
      </c>
      <c r="BJ56">
        <f t="shared" si="16"/>
        <v>0.2621736788114305</v>
      </c>
      <c r="BK56">
        <f t="shared" si="16"/>
        <v>0.21698325896754747</v>
      </c>
      <c r="BL56">
        <f t="shared" si="16"/>
        <v>0.37403411515734708</v>
      </c>
      <c r="BM56">
        <f t="shared" si="16"/>
        <v>9.0398129334088202E-3</v>
      </c>
      <c r="BN56">
        <f t="shared" si="16"/>
        <v>-0.12698508728290173</v>
      </c>
      <c r="BO56">
        <f t="shared" si="16"/>
        <v>-8.3705966079201416E-2</v>
      </c>
      <c r="BP56">
        <f t="shared" si="16"/>
        <v>-8.6333953646381495E-2</v>
      </c>
      <c r="BQ56">
        <f t="shared" si="16"/>
        <v>-6.4695794663678266E-2</v>
      </c>
      <c r="BR56">
        <f t="shared" si="19"/>
        <v>-0.1818000414950782</v>
      </c>
      <c r="BS56">
        <f t="shared" si="19"/>
        <v>-5.2094774218905474E-2</v>
      </c>
      <c r="BT56">
        <f t="shared" si="19"/>
        <v>-0.10914210665018181</v>
      </c>
      <c r="BU56">
        <f t="shared" si="19"/>
        <v>-6.7813794835919608E-2</v>
      </c>
      <c r="BV56">
        <f t="shared" si="19"/>
        <v>-9.7675164570426801E-3</v>
      </c>
      <c r="BW56">
        <f t="shared" si="15"/>
        <v>-4.4850802029498801E-2</v>
      </c>
      <c r="BX56">
        <f t="shared" si="15"/>
        <v>-0.1387681558285784</v>
      </c>
      <c r="BY56">
        <f t="shared" si="15"/>
        <v>-0.12662543748719296</v>
      </c>
      <c r="BZ56">
        <f t="shared" si="15"/>
        <v>2.457351855603856E-3</v>
      </c>
      <c r="CA56">
        <f t="shared" si="15"/>
        <v>-0.36484786751828402</v>
      </c>
      <c r="CB56">
        <f t="shared" si="15"/>
        <v>5.2371689614530259E-2</v>
      </c>
      <c r="CC56">
        <f t="shared" si="15"/>
        <v>0.1534535991795577</v>
      </c>
      <c r="CD56">
        <f t="shared" si="15"/>
        <v>-4.4222310893397614E-2</v>
      </c>
      <c r="CE56">
        <f t="shared" si="15"/>
        <v>-1.1679504499148742E-5</v>
      </c>
      <c r="CG56">
        <f t="shared" si="5"/>
        <v>1.0000000000000002</v>
      </c>
      <c r="CH56">
        <f t="shared" si="6"/>
        <v>1</v>
      </c>
      <c r="CJ56">
        <f t="shared" si="7"/>
        <v>-0.19994985623803033</v>
      </c>
      <c r="CL56">
        <f>SUMPRODUCT(AS56:CE56,Dimorfismo!AS56:CE56)</f>
        <v>-1.5679732526813484E-2</v>
      </c>
      <c r="CM56">
        <f t="shared" si="8"/>
        <v>1.5679732526813484E-2</v>
      </c>
      <c r="CN56">
        <f t="shared" si="9"/>
        <v>1.5681017691446621E-2</v>
      </c>
    </row>
    <row r="57" spans="1:92" x14ac:dyDescent="0.25">
      <c r="A57" t="s">
        <v>58</v>
      </c>
      <c r="B57">
        <v>-4.9114868603201287E-2</v>
      </c>
      <c r="C57">
        <v>-0.14017355299101103</v>
      </c>
      <c r="D57">
        <v>-0.1917337951139606</v>
      </c>
      <c r="E57">
        <v>-0.15524580733195378</v>
      </c>
      <c r="F57">
        <v>-0.15281619710060323</v>
      </c>
      <c r="G57">
        <v>-9.1537930057077152E-2</v>
      </c>
      <c r="H57">
        <v>-4.4524650995873195E-2</v>
      </c>
      <c r="I57">
        <v>-9.2209613943048566E-2</v>
      </c>
      <c r="J57">
        <v>-0.15610194040499586</v>
      </c>
      <c r="K57">
        <v>0.1121897196661059</v>
      </c>
      <c r="L57">
        <v>-6.4166622406589199E-2</v>
      </c>
      <c r="M57">
        <v>-8.7946061137770579E-2</v>
      </c>
      <c r="N57">
        <v>0.11688394360019737</v>
      </c>
      <c r="O57">
        <v>1.0839041859616998E-2</v>
      </c>
      <c r="P57">
        <v>-0.35992726907893524</v>
      </c>
      <c r="Q57">
        <v>0.29314594576013436</v>
      </c>
      <c r="R57">
        <v>0.2349049900854569</v>
      </c>
      <c r="S57">
        <v>0.26217367825929444</v>
      </c>
      <c r="T57">
        <v>0.21698325851058214</v>
      </c>
      <c r="U57">
        <v>0.37403411436963369</v>
      </c>
      <c r="V57">
        <v>9.0398129143710333E-3</v>
      </c>
      <c r="W57">
        <v>-0.12698508701547195</v>
      </c>
      <c r="X57">
        <v>-8.3705965902917193E-2</v>
      </c>
      <c r="Y57">
        <v>-8.6333953464562754E-2</v>
      </c>
      <c r="Z57">
        <v>-6.4695794527429337E-2</v>
      </c>
      <c r="AA57">
        <v>-0.18180004111220849</v>
      </c>
      <c r="AB57">
        <v>-5.209477410919422E-2</v>
      </c>
      <c r="AC57">
        <v>-0.10914210642032925</v>
      </c>
      <c r="AD57">
        <v>-6.7813794693104196E-2</v>
      </c>
      <c r="AE57">
        <v>-9.7675164364723534E-3</v>
      </c>
      <c r="AF57">
        <v>-4.4850801935043302E-2</v>
      </c>
      <c r="AG57">
        <v>-0.13876815553633357</v>
      </c>
      <c r="AH57">
        <v>-0.12662543722052061</v>
      </c>
      <c r="AI57">
        <v>2.4573518504286888E-3</v>
      </c>
      <c r="AJ57">
        <v>-0.36484786674991676</v>
      </c>
      <c r="AK57">
        <v>5.2371689504235819E-2</v>
      </c>
      <c r="AL57">
        <v>0.1534535988563854</v>
      </c>
      <c r="AM57">
        <v>-4.4222310800265716E-2</v>
      </c>
      <c r="AN57">
        <v>-1.1679504474551781E-5</v>
      </c>
      <c r="AP57">
        <f t="shared" si="2"/>
        <v>0.99999999578801302</v>
      </c>
      <c r="AQ57">
        <f t="shared" si="3"/>
        <v>0.99999999789400651</v>
      </c>
      <c r="AS57">
        <f t="shared" si="18"/>
        <v>-4.911486870663688E-2</v>
      </c>
      <c r="AT57">
        <f t="shared" si="18"/>
        <v>-0.14017355328621561</v>
      </c>
      <c r="AU57">
        <f t="shared" si="18"/>
        <v>-0.19173379551775072</v>
      </c>
      <c r="AV57">
        <f t="shared" si="18"/>
        <v>-0.15524580765890045</v>
      </c>
      <c r="AW57">
        <f t="shared" si="18"/>
        <v>-0.15281619742243316</v>
      </c>
      <c r="AX57">
        <f t="shared" si="18"/>
        <v>-9.1537930249855431E-2</v>
      </c>
      <c r="AY57">
        <f t="shared" si="18"/>
        <v>-4.452465108964182E-2</v>
      </c>
      <c r="AZ57">
        <f t="shared" si="18"/>
        <v>-9.2209614137241408E-2</v>
      </c>
      <c r="BA57">
        <f t="shared" si="18"/>
        <v>-0.15610194073374553</v>
      </c>
      <c r="BB57">
        <f t="shared" si="18"/>
        <v>0.11218971990237672</v>
      </c>
      <c r="BC57">
        <f t="shared" si="18"/>
        <v>-6.4166622541723686E-2</v>
      </c>
      <c r="BD57">
        <f t="shared" si="18"/>
        <v>-8.7946061322984409E-2</v>
      </c>
      <c r="BE57">
        <f t="shared" si="17"/>
        <v>0.1168839438463542</v>
      </c>
      <c r="BF57">
        <f t="shared" si="17"/>
        <v>1.083904188244395E-2</v>
      </c>
      <c r="BG57">
        <f t="shared" si="17"/>
        <v>-0.35992726983693973</v>
      </c>
      <c r="BH57">
        <f t="shared" si="16"/>
        <v>0.2931459463774978</v>
      </c>
      <c r="BI57">
        <f t="shared" si="16"/>
        <v>0.23490499058016528</v>
      </c>
      <c r="BJ57">
        <f t="shared" si="16"/>
        <v>0.2621736788114305</v>
      </c>
      <c r="BK57">
        <f t="shared" si="16"/>
        <v>0.21698325896754747</v>
      </c>
      <c r="BL57">
        <f t="shared" si="16"/>
        <v>0.37403411515734708</v>
      </c>
      <c r="BM57">
        <f t="shared" si="16"/>
        <v>9.0398129334088202E-3</v>
      </c>
      <c r="BN57">
        <f t="shared" si="16"/>
        <v>-0.12698508728290173</v>
      </c>
      <c r="BO57">
        <f t="shared" si="16"/>
        <v>-8.3705966079201416E-2</v>
      </c>
      <c r="BP57">
        <f t="shared" si="16"/>
        <v>-8.6333953646381495E-2</v>
      </c>
      <c r="BQ57">
        <f t="shared" si="16"/>
        <v>-6.4695794663678266E-2</v>
      </c>
      <c r="BR57">
        <f t="shared" si="19"/>
        <v>-0.1818000414950782</v>
      </c>
      <c r="BS57">
        <f t="shared" si="19"/>
        <v>-5.2094774218905474E-2</v>
      </c>
      <c r="BT57">
        <f t="shared" si="19"/>
        <v>-0.10914210665018181</v>
      </c>
      <c r="BU57">
        <f t="shared" si="19"/>
        <v>-6.7813794835919608E-2</v>
      </c>
      <c r="BV57">
        <f t="shared" si="19"/>
        <v>-9.7675164570426801E-3</v>
      </c>
      <c r="BW57">
        <f t="shared" si="15"/>
        <v>-4.4850802029498801E-2</v>
      </c>
      <c r="BX57">
        <f t="shared" si="15"/>
        <v>-0.1387681558285784</v>
      </c>
      <c r="BY57">
        <f t="shared" si="15"/>
        <v>-0.12662543748719296</v>
      </c>
      <c r="BZ57">
        <f t="shared" si="15"/>
        <v>2.457351855603856E-3</v>
      </c>
      <c r="CA57">
        <f t="shared" si="15"/>
        <v>-0.36484786751828402</v>
      </c>
      <c r="CB57">
        <f t="shared" si="15"/>
        <v>5.2371689614530259E-2</v>
      </c>
      <c r="CC57">
        <f t="shared" si="15"/>
        <v>0.1534535991795577</v>
      </c>
      <c r="CD57">
        <f t="shared" si="15"/>
        <v>-4.4222310893397614E-2</v>
      </c>
      <c r="CE57">
        <f t="shared" si="15"/>
        <v>-1.1679504499148742E-5</v>
      </c>
      <c r="CG57">
        <f t="shared" si="5"/>
        <v>1.0000000000000002</v>
      </c>
      <c r="CH57">
        <f t="shared" si="6"/>
        <v>1</v>
      </c>
      <c r="CJ57">
        <f t="shared" si="7"/>
        <v>-0.19994985623803033</v>
      </c>
      <c r="CL57">
        <f>SUMPRODUCT(AS57:CE57,Dimorfismo!AS57:CE57)</f>
        <v>-9.6829470406805479E-2</v>
      </c>
      <c r="CM57">
        <f t="shared" si="8"/>
        <v>9.6829470406805479E-2</v>
      </c>
      <c r="CN57">
        <f t="shared" si="9"/>
        <v>9.7133806955612717E-2</v>
      </c>
    </row>
    <row r="58" spans="1:92" x14ac:dyDescent="0.25">
      <c r="A58" t="s">
        <v>59</v>
      </c>
      <c r="B58">
        <v>-4.9114868603201287E-2</v>
      </c>
      <c r="C58">
        <v>-0.14017355299101103</v>
      </c>
      <c r="D58">
        <v>-0.1917337951139606</v>
      </c>
      <c r="E58">
        <v>-0.15524580733195378</v>
      </c>
      <c r="F58">
        <v>-0.15281619710060323</v>
      </c>
      <c r="G58">
        <v>-9.1537930057077152E-2</v>
      </c>
      <c r="H58">
        <v>-4.4524650995873195E-2</v>
      </c>
      <c r="I58">
        <v>-9.2209613943048566E-2</v>
      </c>
      <c r="J58">
        <v>-0.15610194040499586</v>
      </c>
      <c r="K58">
        <v>0.1121897196661059</v>
      </c>
      <c r="L58">
        <v>-6.4166622406589199E-2</v>
      </c>
      <c r="M58">
        <v>-8.7946061137770579E-2</v>
      </c>
      <c r="N58">
        <v>0.11688394360019737</v>
      </c>
      <c r="O58">
        <v>1.0839041859616998E-2</v>
      </c>
      <c r="P58">
        <v>-0.35992726907893524</v>
      </c>
      <c r="Q58">
        <v>0.29314594576013436</v>
      </c>
      <c r="R58">
        <v>0.2349049900854569</v>
      </c>
      <c r="S58">
        <v>0.26217367825929444</v>
      </c>
      <c r="T58">
        <v>0.21698325851058214</v>
      </c>
      <c r="U58">
        <v>0.37403411436963369</v>
      </c>
      <c r="V58">
        <v>9.0398129143710333E-3</v>
      </c>
      <c r="W58">
        <v>-0.12698508701547195</v>
      </c>
      <c r="X58">
        <v>-8.3705965902917193E-2</v>
      </c>
      <c r="Y58">
        <v>-8.6333953464562754E-2</v>
      </c>
      <c r="Z58">
        <v>-6.4695794527429337E-2</v>
      </c>
      <c r="AA58">
        <v>-0.18180004111220849</v>
      </c>
      <c r="AB58">
        <v>-5.209477410919422E-2</v>
      </c>
      <c r="AC58">
        <v>-0.10914210642032925</v>
      </c>
      <c r="AD58">
        <v>-6.7813794693104196E-2</v>
      </c>
      <c r="AE58">
        <v>-9.7675164364723534E-3</v>
      </c>
      <c r="AF58">
        <v>-4.4850801935043302E-2</v>
      </c>
      <c r="AG58">
        <v>-0.13876815553633357</v>
      </c>
      <c r="AH58">
        <v>-0.12662543722052061</v>
      </c>
      <c r="AI58">
        <v>2.4573518504286888E-3</v>
      </c>
      <c r="AJ58">
        <v>-0.36484786674991676</v>
      </c>
      <c r="AK58">
        <v>5.2371689504235819E-2</v>
      </c>
      <c r="AL58">
        <v>0.1534535988563854</v>
      </c>
      <c r="AM58">
        <v>-4.4222310800265716E-2</v>
      </c>
      <c r="AN58">
        <v>-1.1679504474551781E-5</v>
      </c>
      <c r="AP58">
        <f t="shared" si="2"/>
        <v>0.99999999578801302</v>
      </c>
      <c r="AQ58">
        <f t="shared" si="3"/>
        <v>0.99999999789400651</v>
      </c>
      <c r="AS58">
        <f t="shared" si="18"/>
        <v>-4.911486870663688E-2</v>
      </c>
      <c r="AT58">
        <f t="shared" si="18"/>
        <v>-0.14017355328621561</v>
      </c>
      <c r="AU58">
        <f t="shared" si="18"/>
        <v>-0.19173379551775072</v>
      </c>
      <c r="AV58">
        <f t="shared" si="18"/>
        <v>-0.15524580765890045</v>
      </c>
      <c r="AW58">
        <f t="shared" si="18"/>
        <v>-0.15281619742243316</v>
      </c>
      <c r="AX58">
        <f t="shared" si="18"/>
        <v>-9.1537930249855431E-2</v>
      </c>
      <c r="AY58">
        <f t="shared" si="18"/>
        <v>-4.452465108964182E-2</v>
      </c>
      <c r="AZ58">
        <f t="shared" si="18"/>
        <v>-9.2209614137241408E-2</v>
      </c>
      <c r="BA58">
        <f t="shared" si="18"/>
        <v>-0.15610194073374553</v>
      </c>
      <c r="BB58">
        <f t="shared" si="18"/>
        <v>0.11218971990237672</v>
      </c>
      <c r="BC58">
        <f t="shared" si="18"/>
        <v>-6.4166622541723686E-2</v>
      </c>
      <c r="BD58">
        <f t="shared" si="18"/>
        <v>-8.7946061322984409E-2</v>
      </c>
      <c r="BE58">
        <f t="shared" si="17"/>
        <v>0.1168839438463542</v>
      </c>
      <c r="BF58">
        <f t="shared" si="17"/>
        <v>1.083904188244395E-2</v>
      </c>
      <c r="BG58">
        <f t="shared" si="17"/>
        <v>-0.35992726983693973</v>
      </c>
      <c r="BH58">
        <f t="shared" si="16"/>
        <v>0.2931459463774978</v>
      </c>
      <c r="BI58">
        <f t="shared" si="16"/>
        <v>0.23490499058016528</v>
      </c>
      <c r="BJ58">
        <f t="shared" si="16"/>
        <v>0.2621736788114305</v>
      </c>
      <c r="BK58">
        <f t="shared" si="16"/>
        <v>0.21698325896754747</v>
      </c>
      <c r="BL58">
        <f t="shared" si="16"/>
        <v>0.37403411515734708</v>
      </c>
      <c r="BM58">
        <f t="shared" si="16"/>
        <v>9.0398129334088202E-3</v>
      </c>
      <c r="BN58">
        <f t="shared" si="16"/>
        <v>-0.12698508728290173</v>
      </c>
      <c r="BO58">
        <f t="shared" si="16"/>
        <v>-8.3705966079201416E-2</v>
      </c>
      <c r="BP58">
        <f t="shared" si="16"/>
        <v>-8.6333953646381495E-2</v>
      </c>
      <c r="BQ58">
        <f t="shared" si="16"/>
        <v>-6.4695794663678266E-2</v>
      </c>
      <c r="BR58">
        <f t="shared" si="19"/>
        <v>-0.1818000414950782</v>
      </c>
      <c r="BS58">
        <f t="shared" si="19"/>
        <v>-5.2094774218905474E-2</v>
      </c>
      <c r="BT58">
        <f t="shared" si="19"/>
        <v>-0.10914210665018181</v>
      </c>
      <c r="BU58">
        <f t="shared" si="19"/>
        <v>-6.7813794835919608E-2</v>
      </c>
      <c r="BV58">
        <f t="shared" si="19"/>
        <v>-9.7675164570426801E-3</v>
      </c>
      <c r="BW58">
        <f t="shared" si="15"/>
        <v>-4.4850802029498801E-2</v>
      </c>
      <c r="BX58">
        <f t="shared" si="15"/>
        <v>-0.1387681558285784</v>
      </c>
      <c r="BY58">
        <f t="shared" si="15"/>
        <v>-0.12662543748719296</v>
      </c>
      <c r="BZ58">
        <f t="shared" si="15"/>
        <v>2.457351855603856E-3</v>
      </c>
      <c r="CA58">
        <f t="shared" si="15"/>
        <v>-0.36484786751828402</v>
      </c>
      <c r="CB58">
        <f t="shared" si="15"/>
        <v>5.2371689614530259E-2</v>
      </c>
      <c r="CC58">
        <f t="shared" si="15"/>
        <v>0.1534535991795577</v>
      </c>
      <c r="CD58">
        <f t="shared" si="15"/>
        <v>-4.4222310893397614E-2</v>
      </c>
      <c r="CE58">
        <f t="shared" si="15"/>
        <v>-1.1679504499148742E-5</v>
      </c>
      <c r="CG58">
        <f t="shared" si="5"/>
        <v>1.0000000000000002</v>
      </c>
      <c r="CH58">
        <f t="shared" si="6"/>
        <v>1</v>
      </c>
      <c r="CJ58">
        <f t="shared" si="7"/>
        <v>-0.19994985623803033</v>
      </c>
      <c r="CL58">
        <f>SUMPRODUCT(AS58:CE58,Dimorfismo!AS58:CE58)</f>
        <v>-0.22978201148674612</v>
      </c>
      <c r="CM58">
        <f t="shared" si="8"/>
        <v>0.22978201148674612</v>
      </c>
      <c r="CN58">
        <f t="shared" si="9"/>
        <v>0.23395931473963438</v>
      </c>
    </row>
    <row r="59" spans="1:92" x14ac:dyDescent="0.25">
      <c r="A59" t="s">
        <v>60</v>
      </c>
      <c r="B59">
        <v>-4.9114868603201287E-2</v>
      </c>
      <c r="C59">
        <v>-0.14017355299101103</v>
      </c>
      <c r="D59">
        <v>-0.1917337951139606</v>
      </c>
      <c r="E59">
        <v>-0.15524580733195378</v>
      </c>
      <c r="F59">
        <v>-0.15281619710060323</v>
      </c>
      <c r="G59">
        <v>-9.1537930057077152E-2</v>
      </c>
      <c r="H59">
        <v>-4.4524650995873195E-2</v>
      </c>
      <c r="I59">
        <v>-9.2209613943048566E-2</v>
      </c>
      <c r="J59">
        <v>-0.15610194040499586</v>
      </c>
      <c r="K59">
        <v>0.1121897196661059</v>
      </c>
      <c r="L59">
        <v>-6.4166622406589199E-2</v>
      </c>
      <c r="M59">
        <v>-8.7946061137770579E-2</v>
      </c>
      <c r="N59">
        <v>0.11688394360019737</v>
      </c>
      <c r="O59">
        <v>1.0839041859616998E-2</v>
      </c>
      <c r="P59">
        <v>-0.35992726907893524</v>
      </c>
      <c r="Q59">
        <v>0.29314594576013436</v>
      </c>
      <c r="R59">
        <v>0.2349049900854569</v>
      </c>
      <c r="S59">
        <v>0.26217367825929444</v>
      </c>
      <c r="T59">
        <v>0.21698325851058214</v>
      </c>
      <c r="U59">
        <v>0.37403411436963369</v>
      </c>
      <c r="V59">
        <v>9.0398129143710333E-3</v>
      </c>
      <c r="W59">
        <v>-0.12698508701547195</v>
      </c>
      <c r="X59">
        <v>-8.3705965902917193E-2</v>
      </c>
      <c r="Y59">
        <v>-8.6333953464562754E-2</v>
      </c>
      <c r="Z59">
        <v>-6.4695794527429337E-2</v>
      </c>
      <c r="AA59">
        <v>-0.18180004111220849</v>
      </c>
      <c r="AB59">
        <v>-5.209477410919422E-2</v>
      </c>
      <c r="AC59">
        <v>-0.10914210642032925</v>
      </c>
      <c r="AD59">
        <v>-6.7813794693104196E-2</v>
      </c>
      <c r="AE59">
        <v>-9.7675164364723534E-3</v>
      </c>
      <c r="AF59">
        <v>-4.4850801935043302E-2</v>
      </c>
      <c r="AG59">
        <v>-0.13876815553633357</v>
      </c>
      <c r="AH59">
        <v>-0.12662543722052061</v>
      </c>
      <c r="AI59">
        <v>2.4573518504286888E-3</v>
      </c>
      <c r="AJ59">
        <v>-0.36484786674991676</v>
      </c>
      <c r="AK59">
        <v>5.2371689504235819E-2</v>
      </c>
      <c r="AL59">
        <v>0.1534535988563854</v>
      </c>
      <c r="AM59">
        <v>-4.4222310800265716E-2</v>
      </c>
      <c r="AN59">
        <v>-1.1679504474551781E-5</v>
      </c>
      <c r="AP59">
        <f t="shared" si="2"/>
        <v>0.99999999578801302</v>
      </c>
      <c r="AQ59">
        <f t="shared" si="3"/>
        <v>0.99999999789400651</v>
      </c>
      <c r="AS59">
        <f t="shared" si="18"/>
        <v>-4.911486870663688E-2</v>
      </c>
      <c r="AT59">
        <f t="shared" si="18"/>
        <v>-0.14017355328621561</v>
      </c>
      <c r="AU59">
        <f t="shared" si="18"/>
        <v>-0.19173379551775072</v>
      </c>
      <c r="AV59">
        <f t="shared" si="18"/>
        <v>-0.15524580765890045</v>
      </c>
      <c r="AW59">
        <f t="shared" si="18"/>
        <v>-0.15281619742243316</v>
      </c>
      <c r="AX59">
        <f t="shared" si="18"/>
        <v>-9.1537930249855431E-2</v>
      </c>
      <c r="AY59">
        <f t="shared" si="18"/>
        <v>-4.452465108964182E-2</v>
      </c>
      <c r="AZ59">
        <f t="shared" si="18"/>
        <v>-9.2209614137241408E-2</v>
      </c>
      <c r="BA59">
        <f t="shared" si="18"/>
        <v>-0.15610194073374553</v>
      </c>
      <c r="BB59">
        <f t="shared" si="18"/>
        <v>0.11218971990237672</v>
      </c>
      <c r="BC59">
        <f t="shared" si="18"/>
        <v>-6.4166622541723686E-2</v>
      </c>
      <c r="BD59">
        <f t="shared" si="18"/>
        <v>-8.7946061322984409E-2</v>
      </c>
      <c r="BE59">
        <f t="shared" si="17"/>
        <v>0.1168839438463542</v>
      </c>
      <c r="BF59">
        <f t="shared" si="17"/>
        <v>1.083904188244395E-2</v>
      </c>
      <c r="BG59">
        <f t="shared" si="17"/>
        <v>-0.35992726983693973</v>
      </c>
      <c r="BH59">
        <f t="shared" si="16"/>
        <v>0.2931459463774978</v>
      </c>
      <c r="BI59">
        <f t="shared" si="16"/>
        <v>0.23490499058016528</v>
      </c>
      <c r="BJ59">
        <f t="shared" si="16"/>
        <v>0.2621736788114305</v>
      </c>
      <c r="BK59">
        <f t="shared" si="16"/>
        <v>0.21698325896754747</v>
      </c>
      <c r="BL59">
        <f t="shared" si="16"/>
        <v>0.37403411515734708</v>
      </c>
      <c r="BM59">
        <f t="shared" si="16"/>
        <v>9.0398129334088202E-3</v>
      </c>
      <c r="BN59">
        <f t="shared" si="16"/>
        <v>-0.12698508728290173</v>
      </c>
      <c r="BO59">
        <f t="shared" si="16"/>
        <v>-8.3705966079201416E-2</v>
      </c>
      <c r="BP59">
        <f t="shared" si="16"/>
        <v>-8.6333953646381495E-2</v>
      </c>
      <c r="BQ59">
        <f t="shared" si="16"/>
        <v>-6.4695794663678266E-2</v>
      </c>
      <c r="BR59">
        <f t="shared" si="19"/>
        <v>-0.1818000414950782</v>
      </c>
      <c r="BS59">
        <f t="shared" si="19"/>
        <v>-5.2094774218905474E-2</v>
      </c>
      <c r="BT59">
        <f t="shared" si="19"/>
        <v>-0.10914210665018181</v>
      </c>
      <c r="BU59">
        <f t="shared" si="19"/>
        <v>-6.7813794835919608E-2</v>
      </c>
      <c r="BV59">
        <f t="shared" si="19"/>
        <v>-9.7675164570426801E-3</v>
      </c>
      <c r="BW59">
        <f t="shared" si="15"/>
        <v>-4.4850802029498801E-2</v>
      </c>
      <c r="BX59">
        <f t="shared" si="15"/>
        <v>-0.1387681558285784</v>
      </c>
      <c r="BY59">
        <f t="shared" si="15"/>
        <v>-0.12662543748719296</v>
      </c>
      <c r="BZ59">
        <f t="shared" ref="BZ59:CE65" si="20">AI59/$AQ59</f>
        <v>2.457351855603856E-3</v>
      </c>
      <c r="CA59">
        <f t="shared" si="20"/>
        <v>-0.36484786751828402</v>
      </c>
      <c r="CB59">
        <f t="shared" si="20"/>
        <v>5.2371689614530259E-2</v>
      </c>
      <c r="CC59">
        <f t="shared" si="20"/>
        <v>0.1534535991795577</v>
      </c>
      <c r="CD59">
        <f t="shared" si="20"/>
        <v>-4.4222310893397614E-2</v>
      </c>
      <c r="CE59">
        <f t="shared" si="20"/>
        <v>-1.1679504499148742E-5</v>
      </c>
      <c r="CG59">
        <f t="shared" si="5"/>
        <v>1.0000000000000002</v>
      </c>
      <c r="CH59">
        <f t="shared" si="6"/>
        <v>1</v>
      </c>
      <c r="CJ59">
        <f t="shared" si="7"/>
        <v>-0.19994985623803033</v>
      </c>
      <c r="CL59">
        <f>SUMPRODUCT(AS59:CE59,Dimorfismo!AS59:CE59)</f>
        <v>-0.1126538987323962</v>
      </c>
      <c r="CM59">
        <f t="shared" si="8"/>
        <v>0.1126538987323962</v>
      </c>
      <c r="CN59">
        <f t="shared" si="9"/>
        <v>0.11313412056083876</v>
      </c>
    </row>
    <row r="60" spans="1:92" x14ac:dyDescent="0.25">
      <c r="A60" t="s">
        <v>61</v>
      </c>
      <c r="B60">
        <v>-4.9114868603201287E-2</v>
      </c>
      <c r="C60">
        <v>-0.14017355299101103</v>
      </c>
      <c r="D60">
        <v>-0.1917337951139606</v>
      </c>
      <c r="E60">
        <v>-0.15524580733195378</v>
      </c>
      <c r="F60">
        <v>-0.15281619710060323</v>
      </c>
      <c r="G60">
        <v>-9.1537930057077152E-2</v>
      </c>
      <c r="H60">
        <v>-4.4524650995873195E-2</v>
      </c>
      <c r="I60">
        <v>-9.2209613943048566E-2</v>
      </c>
      <c r="J60">
        <v>-0.15610194040499586</v>
      </c>
      <c r="K60">
        <v>0.1121897196661059</v>
      </c>
      <c r="L60">
        <v>-6.4166622406589199E-2</v>
      </c>
      <c r="M60">
        <v>-8.7946061137770579E-2</v>
      </c>
      <c r="N60">
        <v>0.11688394360019737</v>
      </c>
      <c r="O60">
        <v>1.0839041859616998E-2</v>
      </c>
      <c r="P60">
        <v>-0.35992726907893524</v>
      </c>
      <c r="Q60">
        <v>0.29314594576013436</v>
      </c>
      <c r="R60">
        <v>0.2349049900854569</v>
      </c>
      <c r="S60">
        <v>0.26217367825929444</v>
      </c>
      <c r="T60">
        <v>0.21698325851058214</v>
      </c>
      <c r="U60">
        <v>0.37403411436963369</v>
      </c>
      <c r="V60">
        <v>9.0398129143710333E-3</v>
      </c>
      <c r="W60">
        <v>-0.12698508701547195</v>
      </c>
      <c r="X60">
        <v>-8.3705965902917193E-2</v>
      </c>
      <c r="Y60">
        <v>-8.6333953464562754E-2</v>
      </c>
      <c r="Z60">
        <v>-6.4695794527429337E-2</v>
      </c>
      <c r="AA60">
        <v>-0.18180004111220849</v>
      </c>
      <c r="AB60">
        <v>-5.209477410919422E-2</v>
      </c>
      <c r="AC60">
        <v>-0.10914210642032925</v>
      </c>
      <c r="AD60">
        <v>-6.7813794693104196E-2</v>
      </c>
      <c r="AE60">
        <v>-9.7675164364723534E-3</v>
      </c>
      <c r="AF60">
        <v>-4.4850801935043302E-2</v>
      </c>
      <c r="AG60">
        <v>-0.13876815553633357</v>
      </c>
      <c r="AH60">
        <v>-0.12662543722052061</v>
      </c>
      <c r="AI60">
        <v>2.4573518504286888E-3</v>
      </c>
      <c r="AJ60">
        <v>-0.36484786674991676</v>
      </c>
      <c r="AK60">
        <v>5.2371689504235819E-2</v>
      </c>
      <c r="AL60">
        <v>0.1534535988563854</v>
      </c>
      <c r="AM60">
        <v>-4.4222310800265716E-2</v>
      </c>
      <c r="AN60">
        <v>-1.1679504474551781E-5</v>
      </c>
      <c r="AP60">
        <f t="shared" si="2"/>
        <v>0.99999999578801302</v>
      </c>
      <c r="AQ60">
        <f t="shared" si="3"/>
        <v>0.99999999789400651</v>
      </c>
      <c r="AS60">
        <f t="shared" si="18"/>
        <v>-4.911486870663688E-2</v>
      </c>
      <c r="AT60">
        <f t="shared" si="18"/>
        <v>-0.14017355328621561</v>
      </c>
      <c r="AU60">
        <f t="shared" si="18"/>
        <v>-0.19173379551775072</v>
      </c>
      <c r="AV60">
        <f t="shared" si="18"/>
        <v>-0.15524580765890045</v>
      </c>
      <c r="AW60">
        <f t="shared" si="18"/>
        <v>-0.15281619742243316</v>
      </c>
      <c r="AX60">
        <f t="shared" si="18"/>
        <v>-9.1537930249855431E-2</v>
      </c>
      <c r="AY60">
        <f t="shared" si="18"/>
        <v>-4.452465108964182E-2</v>
      </c>
      <c r="AZ60">
        <f t="shared" si="18"/>
        <v>-9.2209614137241408E-2</v>
      </c>
      <c r="BA60">
        <f t="shared" si="18"/>
        <v>-0.15610194073374553</v>
      </c>
      <c r="BB60">
        <f t="shared" si="18"/>
        <v>0.11218971990237672</v>
      </c>
      <c r="BC60">
        <f t="shared" si="18"/>
        <v>-6.4166622541723686E-2</v>
      </c>
      <c r="BD60">
        <f t="shared" si="18"/>
        <v>-8.7946061322984409E-2</v>
      </c>
      <c r="BE60">
        <f t="shared" si="17"/>
        <v>0.1168839438463542</v>
      </c>
      <c r="BF60">
        <f t="shared" si="17"/>
        <v>1.083904188244395E-2</v>
      </c>
      <c r="BG60">
        <f t="shared" si="17"/>
        <v>-0.35992726983693973</v>
      </c>
      <c r="BH60">
        <f t="shared" si="16"/>
        <v>0.2931459463774978</v>
      </c>
      <c r="BI60">
        <f t="shared" si="16"/>
        <v>0.23490499058016528</v>
      </c>
      <c r="BJ60">
        <f t="shared" si="16"/>
        <v>0.2621736788114305</v>
      </c>
      <c r="BK60">
        <f t="shared" si="16"/>
        <v>0.21698325896754747</v>
      </c>
      <c r="BL60">
        <f t="shared" si="16"/>
        <v>0.37403411515734708</v>
      </c>
      <c r="BM60">
        <f t="shared" si="16"/>
        <v>9.0398129334088202E-3</v>
      </c>
      <c r="BN60">
        <f t="shared" si="16"/>
        <v>-0.12698508728290173</v>
      </c>
      <c r="BO60">
        <f t="shared" si="16"/>
        <v>-8.3705966079201416E-2</v>
      </c>
      <c r="BP60">
        <f t="shared" si="16"/>
        <v>-8.6333953646381495E-2</v>
      </c>
      <c r="BQ60">
        <f t="shared" si="16"/>
        <v>-6.4695794663678266E-2</v>
      </c>
      <c r="BR60">
        <f t="shared" si="19"/>
        <v>-0.1818000414950782</v>
      </c>
      <c r="BS60">
        <f t="shared" si="19"/>
        <v>-5.2094774218905474E-2</v>
      </c>
      <c r="BT60">
        <f t="shared" si="19"/>
        <v>-0.10914210665018181</v>
      </c>
      <c r="BU60">
        <f t="shared" si="19"/>
        <v>-6.7813794835919608E-2</v>
      </c>
      <c r="BV60">
        <f t="shared" si="19"/>
        <v>-9.7675164570426801E-3</v>
      </c>
      <c r="BW60">
        <f t="shared" si="19"/>
        <v>-4.4850802029498801E-2</v>
      </c>
      <c r="BX60">
        <f t="shared" si="19"/>
        <v>-0.1387681558285784</v>
      </c>
      <c r="BY60">
        <f t="shared" si="19"/>
        <v>-0.12662543748719296</v>
      </c>
      <c r="BZ60">
        <f t="shared" si="20"/>
        <v>2.457351855603856E-3</v>
      </c>
      <c r="CA60">
        <f t="shared" si="20"/>
        <v>-0.36484786751828402</v>
      </c>
      <c r="CB60">
        <f t="shared" si="20"/>
        <v>5.2371689614530259E-2</v>
      </c>
      <c r="CC60">
        <f t="shared" si="20"/>
        <v>0.1534535991795577</v>
      </c>
      <c r="CD60">
        <f t="shared" si="20"/>
        <v>-4.4222310893397614E-2</v>
      </c>
      <c r="CE60">
        <f t="shared" si="20"/>
        <v>-1.1679504499148742E-5</v>
      </c>
      <c r="CG60">
        <f t="shared" si="5"/>
        <v>1.0000000000000002</v>
      </c>
      <c r="CH60">
        <f t="shared" si="6"/>
        <v>1</v>
      </c>
      <c r="CJ60">
        <f t="shared" si="7"/>
        <v>-0.19994985623803033</v>
      </c>
      <c r="CL60">
        <f>SUMPRODUCT(AS60:CE60,Dimorfismo!AS60:CE60)</f>
        <v>-0.27590523440409054</v>
      </c>
      <c r="CM60">
        <f t="shared" si="8"/>
        <v>0.27590523440409054</v>
      </c>
      <c r="CN60">
        <f t="shared" si="9"/>
        <v>0.28324445895557898</v>
      </c>
    </row>
    <row r="61" spans="1:92" x14ac:dyDescent="0.25">
      <c r="A61" t="s">
        <v>62</v>
      </c>
      <c r="B61">
        <v>-4.9114868603201287E-2</v>
      </c>
      <c r="C61">
        <v>-0.14017355299101103</v>
      </c>
      <c r="D61">
        <v>-0.1917337951139606</v>
      </c>
      <c r="E61">
        <v>-0.15524580733195378</v>
      </c>
      <c r="F61">
        <v>-0.15281619710060323</v>
      </c>
      <c r="G61">
        <v>-9.1537930057077152E-2</v>
      </c>
      <c r="H61">
        <v>-4.4524650995873195E-2</v>
      </c>
      <c r="I61">
        <v>-9.2209613943048566E-2</v>
      </c>
      <c r="J61">
        <v>-0.15610194040499586</v>
      </c>
      <c r="K61">
        <v>0.1121897196661059</v>
      </c>
      <c r="L61">
        <v>-6.4166622406589199E-2</v>
      </c>
      <c r="M61">
        <v>-8.7946061137770579E-2</v>
      </c>
      <c r="N61">
        <v>0.11688394360019737</v>
      </c>
      <c r="O61">
        <v>1.0839041859616998E-2</v>
      </c>
      <c r="P61">
        <v>-0.35992726907893524</v>
      </c>
      <c r="Q61">
        <v>0.29314594576013436</v>
      </c>
      <c r="R61">
        <v>0.2349049900854569</v>
      </c>
      <c r="S61">
        <v>0.26217367825929444</v>
      </c>
      <c r="T61">
        <v>0.21698325851058214</v>
      </c>
      <c r="U61">
        <v>0.37403411436963369</v>
      </c>
      <c r="V61">
        <v>9.0398129143710333E-3</v>
      </c>
      <c r="W61">
        <v>-0.12698508701547195</v>
      </c>
      <c r="X61">
        <v>-8.3705965902917193E-2</v>
      </c>
      <c r="Y61">
        <v>-8.6333953464562754E-2</v>
      </c>
      <c r="Z61">
        <v>-6.4695794527429337E-2</v>
      </c>
      <c r="AA61">
        <v>-0.18180004111220849</v>
      </c>
      <c r="AB61">
        <v>-5.209477410919422E-2</v>
      </c>
      <c r="AC61">
        <v>-0.10914210642032925</v>
      </c>
      <c r="AD61">
        <v>-6.7813794693104196E-2</v>
      </c>
      <c r="AE61">
        <v>-9.7675164364723534E-3</v>
      </c>
      <c r="AF61">
        <v>-4.4850801935043302E-2</v>
      </c>
      <c r="AG61">
        <v>-0.13876815553633357</v>
      </c>
      <c r="AH61">
        <v>-0.12662543722052061</v>
      </c>
      <c r="AI61">
        <v>2.4573518504286888E-3</v>
      </c>
      <c r="AJ61">
        <v>-0.36484786674991676</v>
      </c>
      <c r="AK61">
        <v>5.2371689504235819E-2</v>
      </c>
      <c r="AL61">
        <v>0.1534535988563854</v>
      </c>
      <c r="AM61">
        <v>-4.4222310800265716E-2</v>
      </c>
      <c r="AN61">
        <v>-1.1679504474551781E-5</v>
      </c>
      <c r="AP61">
        <f t="shared" si="2"/>
        <v>0.99999999578801302</v>
      </c>
      <c r="AQ61">
        <f t="shared" si="3"/>
        <v>0.99999999789400651</v>
      </c>
      <c r="AS61">
        <f t="shared" si="18"/>
        <v>-4.911486870663688E-2</v>
      </c>
      <c r="AT61">
        <f t="shared" si="18"/>
        <v>-0.14017355328621561</v>
      </c>
      <c r="AU61">
        <f t="shared" si="18"/>
        <v>-0.19173379551775072</v>
      </c>
      <c r="AV61">
        <f t="shared" si="18"/>
        <v>-0.15524580765890045</v>
      </c>
      <c r="AW61">
        <f t="shared" si="18"/>
        <v>-0.15281619742243316</v>
      </c>
      <c r="AX61">
        <f t="shared" si="18"/>
        <v>-9.1537930249855431E-2</v>
      </c>
      <c r="AY61">
        <f t="shared" si="18"/>
        <v>-4.452465108964182E-2</v>
      </c>
      <c r="AZ61">
        <f t="shared" si="18"/>
        <v>-9.2209614137241408E-2</v>
      </c>
      <c r="BA61">
        <f t="shared" si="18"/>
        <v>-0.15610194073374553</v>
      </c>
      <c r="BB61">
        <f t="shared" si="18"/>
        <v>0.11218971990237672</v>
      </c>
      <c r="BC61">
        <f t="shared" si="18"/>
        <v>-6.4166622541723686E-2</v>
      </c>
      <c r="BD61">
        <f t="shared" si="18"/>
        <v>-8.7946061322984409E-2</v>
      </c>
      <c r="BE61">
        <f t="shared" si="17"/>
        <v>0.1168839438463542</v>
      </c>
      <c r="BF61">
        <f t="shared" si="17"/>
        <v>1.083904188244395E-2</v>
      </c>
      <c r="BG61">
        <f t="shared" si="17"/>
        <v>-0.35992726983693973</v>
      </c>
      <c r="BH61">
        <f t="shared" si="16"/>
        <v>0.2931459463774978</v>
      </c>
      <c r="BI61">
        <f t="shared" si="16"/>
        <v>0.23490499058016528</v>
      </c>
      <c r="BJ61">
        <f t="shared" si="16"/>
        <v>0.2621736788114305</v>
      </c>
      <c r="BK61">
        <f t="shared" si="16"/>
        <v>0.21698325896754747</v>
      </c>
      <c r="BL61">
        <f t="shared" si="16"/>
        <v>0.37403411515734708</v>
      </c>
      <c r="BM61">
        <f t="shared" si="16"/>
        <v>9.0398129334088202E-3</v>
      </c>
      <c r="BN61">
        <f t="shared" si="16"/>
        <v>-0.12698508728290173</v>
      </c>
      <c r="BO61">
        <f t="shared" si="16"/>
        <v>-8.3705966079201416E-2</v>
      </c>
      <c r="BP61">
        <f t="shared" si="16"/>
        <v>-8.6333953646381495E-2</v>
      </c>
      <c r="BQ61">
        <f t="shared" si="16"/>
        <v>-6.4695794663678266E-2</v>
      </c>
      <c r="BR61">
        <f t="shared" si="19"/>
        <v>-0.1818000414950782</v>
      </c>
      <c r="BS61">
        <f t="shared" si="19"/>
        <v>-5.2094774218905474E-2</v>
      </c>
      <c r="BT61">
        <f t="shared" si="19"/>
        <v>-0.10914210665018181</v>
      </c>
      <c r="BU61">
        <f t="shared" si="19"/>
        <v>-6.7813794835919608E-2</v>
      </c>
      <c r="BV61">
        <f t="shared" si="19"/>
        <v>-9.7675164570426801E-3</v>
      </c>
      <c r="BW61">
        <f t="shared" si="19"/>
        <v>-4.4850802029498801E-2</v>
      </c>
      <c r="BX61">
        <f t="shared" si="19"/>
        <v>-0.1387681558285784</v>
      </c>
      <c r="BY61">
        <f t="shared" si="19"/>
        <v>-0.12662543748719296</v>
      </c>
      <c r="BZ61">
        <f t="shared" si="20"/>
        <v>2.457351855603856E-3</v>
      </c>
      <c r="CA61">
        <f t="shared" si="20"/>
        <v>-0.36484786751828402</v>
      </c>
      <c r="CB61">
        <f t="shared" si="20"/>
        <v>5.2371689614530259E-2</v>
      </c>
      <c r="CC61">
        <f t="shared" si="20"/>
        <v>0.1534535991795577</v>
      </c>
      <c r="CD61">
        <f t="shared" si="20"/>
        <v>-4.4222310893397614E-2</v>
      </c>
      <c r="CE61">
        <f t="shared" si="20"/>
        <v>-1.1679504499148742E-5</v>
      </c>
      <c r="CG61">
        <f t="shared" si="5"/>
        <v>1.0000000000000002</v>
      </c>
      <c r="CH61">
        <f t="shared" si="6"/>
        <v>1</v>
      </c>
      <c r="CJ61">
        <f t="shared" si="7"/>
        <v>-0.19994985623803033</v>
      </c>
      <c r="CL61">
        <f>SUMPRODUCT(AS61:CE61,Dimorfismo!AS61:CE61)</f>
        <v>0.14787496421681026</v>
      </c>
      <c r="CM61">
        <f t="shared" si="8"/>
        <v>0.14787496421681026</v>
      </c>
      <c r="CN61">
        <f t="shared" si="9"/>
        <v>0.14896719154221452</v>
      </c>
    </row>
    <row r="62" spans="1:92" x14ac:dyDescent="0.25">
      <c r="A62" t="s">
        <v>63</v>
      </c>
      <c r="B62">
        <v>-4.9114868603201287E-2</v>
      </c>
      <c r="C62">
        <v>-0.14017355299101103</v>
      </c>
      <c r="D62">
        <v>-0.1917337951139606</v>
      </c>
      <c r="E62">
        <v>-0.15524580733195378</v>
      </c>
      <c r="F62">
        <v>-0.15281619710060323</v>
      </c>
      <c r="G62">
        <v>-9.1537930057077152E-2</v>
      </c>
      <c r="H62">
        <v>-4.4524650995873195E-2</v>
      </c>
      <c r="I62">
        <v>-9.2209613943048566E-2</v>
      </c>
      <c r="J62">
        <v>-0.15610194040499586</v>
      </c>
      <c r="K62">
        <v>0.1121897196661059</v>
      </c>
      <c r="L62">
        <v>-6.4166622406589199E-2</v>
      </c>
      <c r="M62">
        <v>-8.7946061137770579E-2</v>
      </c>
      <c r="N62">
        <v>0.11688394360019737</v>
      </c>
      <c r="O62">
        <v>1.0839041859616998E-2</v>
      </c>
      <c r="P62">
        <v>-0.35992726907893524</v>
      </c>
      <c r="Q62">
        <v>0.29314594576013436</v>
      </c>
      <c r="R62">
        <v>0.2349049900854569</v>
      </c>
      <c r="S62">
        <v>0.26217367825929444</v>
      </c>
      <c r="T62">
        <v>0.21698325851058214</v>
      </c>
      <c r="U62">
        <v>0.37403411436963369</v>
      </c>
      <c r="V62">
        <v>9.0398129143710333E-3</v>
      </c>
      <c r="W62">
        <v>-0.12698508701547195</v>
      </c>
      <c r="X62">
        <v>-8.3705965902917193E-2</v>
      </c>
      <c r="Y62">
        <v>-8.6333953464562754E-2</v>
      </c>
      <c r="Z62">
        <v>-6.4695794527429337E-2</v>
      </c>
      <c r="AA62">
        <v>-0.18180004111220849</v>
      </c>
      <c r="AB62">
        <v>-5.209477410919422E-2</v>
      </c>
      <c r="AC62">
        <v>-0.10914210642032925</v>
      </c>
      <c r="AD62">
        <v>-6.7813794693104196E-2</v>
      </c>
      <c r="AE62">
        <v>-9.7675164364723534E-3</v>
      </c>
      <c r="AF62">
        <v>-4.4850801935043302E-2</v>
      </c>
      <c r="AG62">
        <v>-0.13876815553633357</v>
      </c>
      <c r="AH62">
        <v>-0.12662543722052061</v>
      </c>
      <c r="AI62">
        <v>2.4573518504286888E-3</v>
      </c>
      <c r="AJ62">
        <v>-0.36484786674991676</v>
      </c>
      <c r="AK62">
        <v>5.2371689504235819E-2</v>
      </c>
      <c r="AL62">
        <v>0.1534535988563854</v>
      </c>
      <c r="AM62">
        <v>-4.4222310800265716E-2</v>
      </c>
      <c r="AN62">
        <v>-1.1679504474551781E-5</v>
      </c>
      <c r="AP62">
        <f t="shared" si="2"/>
        <v>0.99999999578801302</v>
      </c>
      <c r="AQ62">
        <f t="shared" si="3"/>
        <v>0.99999999789400651</v>
      </c>
      <c r="AS62">
        <f t="shared" si="18"/>
        <v>-4.911486870663688E-2</v>
      </c>
      <c r="AT62">
        <f t="shared" si="18"/>
        <v>-0.14017355328621561</v>
      </c>
      <c r="AU62">
        <f t="shared" si="18"/>
        <v>-0.19173379551775072</v>
      </c>
      <c r="AV62">
        <f t="shared" si="18"/>
        <v>-0.15524580765890045</v>
      </c>
      <c r="AW62">
        <f t="shared" si="18"/>
        <v>-0.15281619742243316</v>
      </c>
      <c r="AX62">
        <f t="shared" si="18"/>
        <v>-9.1537930249855431E-2</v>
      </c>
      <c r="AY62">
        <f t="shared" si="18"/>
        <v>-4.452465108964182E-2</v>
      </c>
      <c r="AZ62">
        <f t="shared" si="18"/>
        <v>-9.2209614137241408E-2</v>
      </c>
      <c r="BA62">
        <f t="shared" si="18"/>
        <v>-0.15610194073374553</v>
      </c>
      <c r="BB62">
        <f t="shared" si="18"/>
        <v>0.11218971990237672</v>
      </c>
      <c r="BC62">
        <f t="shared" si="18"/>
        <v>-6.4166622541723686E-2</v>
      </c>
      <c r="BD62">
        <f t="shared" si="18"/>
        <v>-8.7946061322984409E-2</v>
      </c>
      <c r="BE62">
        <f t="shared" si="17"/>
        <v>0.1168839438463542</v>
      </c>
      <c r="BF62">
        <f t="shared" si="17"/>
        <v>1.083904188244395E-2</v>
      </c>
      <c r="BG62">
        <f t="shared" si="17"/>
        <v>-0.35992726983693973</v>
      </c>
      <c r="BH62">
        <f t="shared" si="16"/>
        <v>0.2931459463774978</v>
      </c>
      <c r="BI62">
        <f t="shared" si="16"/>
        <v>0.23490499058016528</v>
      </c>
      <c r="BJ62">
        <f t="shared" si="16"/>
        <v>0.2621736788114305</v>
      </c>
      <c r="BK62">
        <f t="shared" si="16"/>
        <v>0.21698325896754747</v>
      </c>
      <c r="BL62">
        <f t="shared" si="16"/>
        <v>0.37403411515734708</v>
      </c>
      <c r="BM62">
        <f t="shared" si="16"/>
        <v>9.0398129334088202E-3</v>
      </c>
      <c r="BN62">
        <f t="shared" si="16"/>
        <v>-0.12698508728290173</v>
      </c>
      <c r="BO62">
        <f t="shared" si="16"/>
        <v>-8.3705966079201416E-2</v>
      </c>
      <c r="BP62">
        <f t="shared" si="16"/>
        <v>-8.6333953646381495E-2</v>
      </c>
      <c r="BQ62">
        <f t="shared" si="16"/>
        <v>-6.4695794663678266E-2</v>
      </c>
      <c r="BR62">
        <f t="shared" si="19"/>
        <v>-0.1818000414950782</v>
      </c>
      <c r="BS62">
        <f t="shared" si="19"/>
        <v>-5.2094774218905474E-2</v>
      </c>
      <c r="BT62">
        <f t="shared" si="19"/>
        <v>-0.10914210665018181</v>
      </c>
      <c r="BU62">
        <f t="shared" si="19"/>
        <v>-6.7813794835919608E-2</v>
      </c>
      <c r="BV62">
        <f t="shared" si="19"/>
        <v>-9.7675164570426801E-3</v>
      </c>
      <c r="BW62">
        <f t="shared" si="19"/>
        <v>-4.4850802029498801E-2</v>
      </c>
      <c r="BX62">
        <f t="shared" si="19"/>
        <v>-0.1387681558285784</v>
      </c>
      <c r="BY62">
        <f t="shared" si="19"/>
        <v>-0.12662543748719296</v>
      </c>
      <c r="BZ62">
        <f t="shared" si="20"/>
        <v>2.457351855603856E-3</v>
      </c>
      <c r="CA62">
        <f t="shared" si="20"/>
        <v>-0.36484786751828402</v>
      </c>
      <c r="CB62">
        <f t="shared" si="20"/>
        <v>5.2371689614530259E-2</v>
      </c>
      <c r="CC62">
        <f t="shared" si="20"/>
        <v>0.1534535991795577</v>
      </c>
      <c r="CD62">
        <f t="shared" si="20"/>
        <v>-4.4222310893397614E-2</v>
      </c>
      <c r="CE62">
        <f t="shared" si="20"/>
        <v>-1.1679504499148742E-5</v>
      </c>
      <c r="CG62">
        <f t="shared" si="5"/>
        <v>1.0000000000000002</v>
      </c>
      <c r="CH62">
        <f t="shared" si="6"/>
        <v>1</v>
      </c>
      <c r="CJ62">
        <f t="shared" si="7"/>
        <v>-0.19994985623803033</v>
      </c>
      <c r="CL62">
        <f>SUMPRODUCT(AS62:CE62,Dimorfismo!AS62:CE62)</f>
        <v>-0.15156767193710904</v>
      </c>
      <c r="CM62">
        <f t="shared" si="8"/>
        <v>0.15156767193710904</v>
      </c>
      <c r="CN62">
        <f t="shared" si="9"/>
        <v>0.15274457966788393</v>
      </c>
    </row>
    <row r="63" spans="1:92" x14ac:dyDescent="0.25">
      <c r="A63" t="s">
        <v>64</v>
      </c>
      <c r="B63">
        <v>-4.9114868603201287E-2</v>
      </c>
      <c r="C63">
        <v>-0.14017355299101103</v>
      </c>
      <c r="D63">
        <v>-0.1917337951139606</v>
      </c>
      <c r="E63">
        <v>-0.15524580733195378</v>
      </c>
      <c r="F63">
        <v>-0.15281619710060323</v>
      </c>
      <c r="G63">
        <v>-9.1537930057077152E-2</v>
      </c>
      <c r="H63">
        <v>-4.4524650995873195E-2</v>
      </c>
      <c r="I63">
        <v>-9.2209613943048566E-2</v>
      </c>
      <c r="J63">
        <v>-0.15610194040499586</v>
      </c>
      <c r="K63">
        <v>0.1121897196661059</v>
      </c>
      <c r="L63">
        <v>-6.4166622406589199E-2</v>
      </c>
      <c r="M63">
        <v>-8.7946061137770579E-2</v>
      </c>
      <c r="N63">
        <v>0.11688394360019737</v>
      </c>
      <c r="O63">
        <v>1.0839041859616998E-2</v>
      </c>
      <c r="P63">
        <v>-0.35992726907893524</v>
      </c>
      <c r="Q63">
        <v>0.29314594576013436</v>
      </c>
      <c r="R63">
        <v>0.2349049900854569</v>
      </c>
      <c r="S63">
        <v>0.26217367825929444</v>
      </c>
      <c r="T63">
        <v>0.21698325851058214</v>
      </c>
      <c r="U63">
        <v>0.37403411436963369</v>
      </c>
      <c r="V63">
        <v>9.0398129143710333E-3</v>
      </c>
      <c r="W63">
        <v>-0.12698508701547195</v>
      </c>
      <c r="X63">
        <v>-8.3705965902917193E-2</v>
      </c>
      <c r="Y63">
        <v>-8.6333953464562754E-2</v>
      </c>
      <c r="Z63">
        <v>-6.4695794527429337E-2</v>
      </c>
      <c r="AA63">
        <v>-0.18180004111220849</v>
      </c>
      <c r="AB63">
        <v>-5.209477410919422E-2</v>
      </c>
      <c r="AC63">
        <v>-0.10914210642032925</v>
      </c>
      <c r="AD63">
        <v>-6.7813794693104196E-2</v>
      </c>
      <c r="AE63">
        <v>-9.7675164364723534E-3</v>
      </c>
      <c r="AF63">
        <v>-4.4850801935043302E-2</v>
      </c>
      <c r="AG63">
        <v>-0.13876815553633357</v>
      </c>
      <c r="AH63">
        <v>-0.12662543722052061</v>
      </c>
      <c r="AI63">
        <v>2.4573518504286888E-3</v>
      </c>
      <c r="AJ63">
        <v>-0.36484786674991676</v>
      </c>
      <c r="AK63">
        <v>5.2371689504235819E-2</v>
      </c>
      <c r="AL63">
        <v>0.1534535988563854</v>
      </c>
      <c r="AM63">
        <v>-4.4222310800265716E-2</v>
      </c>
      <c r="AN63">
        <v>-1.1679504474551781E-5</v>
      </c>
      <c r="AP63">
        <f t="shared" si="2"/>
        <v>0.99999999578801302</v>
      </c>
      <c r="AQ63">
        <f t="shared" si="3"/>
        <v>0.99999999789400651</v>
      </c>
      <c r="AS63">
        <f t="shared" si="18"/>
        <v>-4.911486870663688E-2</v>
      </c>
      <c r="AT63">
        <f t="shared" si="18"/>
        <v>-0.14017355328621561</v>
      </c>
      <c r="AU63">
        <f t="shared" si="18"/>
        <v>-0.19173379551775072</v>
      </c>
      <c r="AV63">
        <f t="shared" si="18"/>
        <v>-0.15524580765890045</v>
      </c>
      <c r="AW63">
        <f t="shared" si="18"/>
        <v>-0.15281619742243316</v>
      </c>
      <c r="AX63">
        <f t="shared" si="18"/>
        <v>-9.1537930249855431E-2</v>
      </c>
      <c r="AY63">
        <f t="shared" si="18"/>
        <v>-4.452465108964182E-2</v>
      </c>
      <c r="AZ63">
        <f t="shared" si="18"/>
        <v>-9.2209614137241408E-2</v>
      </c>
      <c r="BA63">
        <f t="shared" si="18"/>
        <v>-0.15610194073374553</v>
      </c>
      <c r="BB63">
        <f t="shared" si="18"/>
        <v>0.11218971990237672</v>
      </c>
      <c r="BC63">
        <f t="shared" si="18"/>
        <v>-6.4166622541723686E-2</v>
      </c>
      <c r="BD63">
        <f t="shared" si="18"/>
        <v>-8.7946061322984409E-2</v>
      </c>
      <c r="BE63">
        <f t="shared" si="17"/>
        <v>0.1168839438463542</v>
      </c>
      <c r="BF63">
        <f t="shared" si="17"/>
        <v>1.083904188244395E-2</v>
      </c>
      <c r="BG63">
        <f t="shared" si="17"/>
        <v>-0.35992726983693973</v>
      </c>
      <c r="BH63">
        <f t="shared" si="16"/>
        <v>0.2931459463774978</v>
      </c>
      <c r="BI63">
        <f t="shared" si="16"/>
        <v>0.23490499058016528</v>
      </c>
      <c r="BJ63">
        <f t="shared" si="16"/>
        <v>0.2621736788114305</v>
      </c>
      <c r="BK63">
        <f t="shared" si="16"/>
        <v>0.21698325896754747</v>
      </c>
      <c r="BL63">
        <f t="shared" si="16"/>
        <v>0.37403411515734708</v>
      </c>
      <c r="BM63">
        <f t="shared" si="16"/>
        <v>9.0398129334088202E-3</v>
      </c>
      <c r="BN63">
        <f t="shared" si="16"/>
        <v>-0.12698508728290173</v>
      </c>
      <c r="BO63">
        <f t="shared" si="16"/>
        <v>-8.3705966079201416E-2</v>
      </c>
      <c r="BP63">
        <f t="shared" si="16"/>
        <v>-8.6333953646381495E-2</v>
      </c>
      <c r="BQ63">
        <f t="shared" si="16"/>
        <v>-6.4695794663678266E-2</v>
      </c>
      <c r="BR63">
        <f t="shared" si="19"/>
        <v>-0.1818000414950782</v>
      </c>
      <c r="BS63">
        <f t="shared" si="19"/>
        <v>-5.2094774218905474E-2</v>
      </c>
      <c r="BT63">
        <f t="shared" si="19"/>
        <v>-0.10914210665018181</v>
      </c>
      <c r="BU63">
        <f t="shared" si="19"/>
        <v>-6.7813794835919608E-2</v>
      </c>
      <c r="BV63">
        <f t="shared" si="19"/>
        <v>-9.7675164570426801E-3</v>
      </c>
      <c r="BW63">
        <f t="shared" si="19"/>
        <v>-4.4850802029498801E-2</v>
      </c>
      <c r="BX63">
        <f t="shared" si="19"/>
        <v>-0.1387681558285784</v>
      </c>
      <c r="BY63">
        <f t="shared" si="19"/>
        <v>-0.12662543748719296</v>
      </c>
      <c r="BZ63">
        <f t="shared" si="20"/>
        <v>2.457351855603856E-3</v>
      </c>
      <c r="CA63">
        <f t="shared" si="20"/>
        <v>-0.36484786751828402</v>
      </c>
      <c r="CB63">
        <f t="shared" si="20"/>
        <v>5.2371689614530259E-2</v>
      </c>
      <c r="CC63">
        <f t="shared" si="20"/>
        <v>0.1534535991795577</v>
      </c>
      <c r="CD63">
        <f t="shared" si="20"/>
        <v>-4.4222310893397614E-2</v>
      </c>
      <c r="CE63">
        <f t="shared" si="20"/>
        <v>-1.1679504499148742E-5</v>
      </c>
      <c r="CG63">
        <f t="shared" si="5"/>
        <v>1.0000000000000002</v>
      </c>
      <c r="CH63">
        <f t="shared" si="6"/>
        <v>1</v>
      </c>
      <c r="CJ63" s="2">
        <f t="shared" si="7"/>
        <v>-0.19994985623803033</v>
      </c>
      <c r="CL63">
        <f>SUMPRODUCT(AS63:CE63,Dimorfismo!AS63:CE63)</f>
        <v>-8.2570522592434165E-2</v>
      </c>
      <c r="CM63">
        <f t="shared" si="8"/>
        <v>8.2570522592434165E-2</v>
      </c>
      <c r="CN63">
        <f t="shared" si="9"/>
        <v>8.2758946266211803E-2</v>
      </c>
    </row>
    <row r="64" spans="1:92" x14ac:dyDescent="0.25">
      <c r="A64" t="s">
        <v>65</v>
      </c>
      <c r="B64">
        <v>-4.9114868603201287E-2</v>
      </c>
      <c r="C64">
        <v>-0.14017355299101103</v>
      </c>
      <c r="D64">
        <v>-0.1917337951139606</v>
      </c>
      <c r="E64">
        <v>-0.15524580733195378</v>
      </c>
      <c r="F64">
        <v>-0.15281619710060323</v>
      </c>
      <c r="G64">
        <v>-9.1537930057077152E-2</v>
      </c>
      <c r="H64">
        <v>-4.4524650995873195E-2</v>
      </c>
      <c r="I64">
        <v>-9.2209613943048566E-2</v>
      </c>
      <c r="J64">
        <v>-0.15610194040499586</v>
      </c>
      <c r="K64">
        <v>0.1121897196661059</v>
      </c>
      <c r="L64">
        <v>-6.4166622406589199E-2</v>
      </c>
      <c r="M64">
        <v>-8.7946061137770579E-2</v>
      </c>
      <c r="N64">
        <v>0.11688394360019737</v>
      </c>
      <c r="O64">
        <v>1.0839041859616998E-2</v>
      </c>
      <c r="P64">
        <v>-0.35992726907893524</v>
      </c>
      <c r="Q64">
        <v>0.29314594576013436</v>
      </c>
      <c r="R64">
        <v>0.2349049900854569</v>
      </c>
      <c r="S64">
        <v>0.26217367825929444</v>
      </c>
      <c r="T64">
        <v>0.21698325851058214</v>
      </c>
      <c r="U64">
        <v>0.37403411436963369</v>
      </c>
      <c r="V64">
        <v>9.0398129143710333E-3</v>
      </c>
      <c r="W64">
        <v>-0.12698508701547195</v>
      </c>
      <c r="X64">
        <v>-8.3705965902917193E-2</v>
      </c>
      <c r="Y64">
        <v>-8.6333953464562754E-2</v>
      </c>
      <c r="Z64">
        <v>-6.4695794527429337E-2</v>
      </c>
      <c r="AA64">
        <v>-0.18180004111220849</v>
      </c>
      <c r="AB64">
        <v>-5.209477410919422E-2</v>
      </c>
      <c r="AC64">
        <v>-0.10914210642032925</v>
      </c>
      <c r="AD64">
        <v>-6.7813794693104196E-2</v>
      </c>
      <c r="AE64">
        <v>-9.7675164364723534E-3</v>
      </c>
      <c r="AF64">
        <v>-4.4850801935043302E-2</v>
      </c>
      <c r="AG64">
        <v>-0.13876815553633357</v>
      </c>
      <c r="AH64">
        <v>-0.12662543722052061</v>
      </c>
      <c r="AI64">
        <v>2.4573518504286888E-3</v>
      </c>
      <c r="AJ64">
        <v>-0.36484786674991676</v>
      </c>
      <c r="AK64">
        <v>5.2371689504235819E-2</v>
      </c>
      <c r="AL64">
        <v>0.1534535988563854</v>
      </c>
      <c r="AM64">
        <v>-4.4222310800265716E-2</v>
      </c>
      <c r="AN64">
        <v>-1.1679504474551781E-5</v>
      </c>
      <c r="AP64">
        <f t="shared" si="2"/>
        <v>0.99999999578801302</v>
      </c>
      <c r="AQ64">
        <f t="shared" si="3"/>
        <v>0.99999999789400651</v>
      </c>
      <c r="AS64">
        <f t="shared" si="18"/>
        <v>-4.911486870663688E-2</v>
      </c>
      <c r="AT64">
        <f t="shared" si="18"/>
        <v>-0.14017355328621561</v>
      </c>
      <c r="AU64">
        <f t="shared" si="18"/>
        <v>-0.19173379551775072</v>
      </c>
      <c r="AV64">
        <f t="shared" si="18"/>
        <v>-0.15524580765890045</v>
      </c>
      <c r="AW64">
        <f t="shared" si="18"/>
        <v>-0.15281619742243316</v>
      </c>
      <c r="AX64">
        <f t="shared" si="18"/>
        <v>-9.1537930249855431E-2</v>
      </c>
      <c r="AY64">
        <f t="shared" si="18"/>
        <v>-4.452465108964182E-2</v>
      </c>
      <c r="AZ64">
        <f t="shared" si="18"/>
        <v>-9.2209614137241408E-2</v>
      </c>
      <c r="BA64">
        <f t="shared" si="18"/>
        <v>-0.15610194073374553</v>
      </c>
      <c r="BB64">
        <f t="shared" si="18"/>
        <v>0.11218971990237672</v>
      </c>
      <c r="BC64">
        <f t="shared" si="18"/>
        <v>-6.4166622541723686E-2</v>
      </c>
      <c r="BD64">
        <f t="shared" si="18"/>
        <v>-8.7946061322984409E-2</v>
      </c>
      <c r="BE64">
        <f t="shared" si="17"/>
        <v>0.1168839438463542</v>
      </c>
      <c r="BF64">
        <f t="shared" si="17"/>
        <v>1.083904188244395E-2</v>
      </c>
      <c r="BG64">
        <f t="shared" si="17"/>
        <v>-0.35992726983693973</v>
      </c>
      <c r="BH64">
        <f t="shared" si="16"/>
        <v>0.2931459463774978</v>
      </c>
      <c r="BI64">
        <f t="shared" si="16"/>
        <v>0.23490499058016528</v>
      </c>
      <c r="BJ64">
        <f t="shared" si="16"/>
        <v>0.2621736788114305</v>
      </c>
      <c r="BK64">
        <f t="shared" si="16"/>
        <v>0.21698325896754747</v>
      </c>
      <c r="BL64">
        <f t="shared" si="16"/>
        <v>0.37403411515734708</v>
      </c>
      <c r="BM64">
        <f t="shared" si="16"/>
        <v>9.0398129334088202E-3</v>
      </c>
      <c r="BN64">
        <f t="shared" si="16"/>
        <v>-0.12698508728290173</v>
      </c>
      <c r="BO64">
        <f t="shared" si="16"/>
        <v>-8.3705966079201416E-2</v>
      </c>
      <c r="BP64">
        <f t="shared" si="16"/>
        <v>-8.6333953646381495E-2</v>
      </c>
      <c r="BQ64">
        <f t="shared" si="16"/>
        <v>-6.4695794663678266E-2</v>
      </c>
      <c r="BR64">
        <f t="shared" si="19"/>
        <v>-0.1818000414950782</v>
      </c>
      <c r="BS64">
        <f t="shared" si="19"/>
        <v>-5.2094774218905474E-2</v>
      </c>
      <c r="BT64">
        <f t="shared" si="19"/>
        <v>-0.10914210665018181</v>
      </c>
      <c r="BU64">
        <f t="shared" si="19"/>
        <v>-6.7813794835919608E-2</v>
      </c>
      <c r="BV64">
        <f t="shared" si="19"/>
        <v>-9.7675164570426801E-3</v>
      </c>
      <c r="BW64">
        <f t="shared" si="19"/>
        <v>-4.4850802029498801E-2</v>
      </c>
      <c r="BX64">
        <f t="shared" si="19"/>
        <v>-0.1387681558285784</v>
      </c>
      <c r="BY64">
        <f t="shared" si="19"/>
        <v>-0.12662543748719296</v>
      </c>
      <c r="BZ64">
        <f t="shared" si="20"/>
        <v>2.457351855603856E-3</v>
      </c>
      <c r="CA64">
        <f t="shared" si="20"/>
        <v>-0.36484786751828402</v>
      </c>
      <c r="CB64">
        <f t="shared" si="20"/>
        <v>5.2371689614530259E-2</v>
      </c>
      <c r="CC64">
        <f t="shared" si="20"/>
        <v>0.1534535991795577</v>
      </c>
      <c r="CD64">
        <f t="shared" si="20"/>
        <v>-4.4222310893397614E-2</v>
      </c>
      <c r="CE64">
        <f t="shared" si="20"/>
        <v>-1.1679504499148742E-5</v>
      </c>
      <c r="CG64">
        <f t="shared" si="5"/>
        <v>1.0000000000000002</v>
      </c>
      <c r="CH64">
        <f t="shared" si="6"/>
        <v>1</v>
      </c>
      <c r="CJ64">
        <f t="shared" si="7"/>
        <v>-0.19994985623803033</v>
      </c>
      <c r="CL64">
        <f>SUMPRODUCT(AS64:CE64,Dimorfismo!AS64:CE64)</f>
        <v>2.77472666819857E-2</v>
      </c>
      <c r="CM64">
        <f t="shared" si="8"/>
        <v>2.77472666819857E-2</v>
      </c>
      <c r="CN64">
        <f t="shared" si="9"/>
        <v>2.7754390946811095E-2</v>
      </c>
    </row>
    <row r="65" spans="1:92" x14ac:dyDescent="0.25">
      <c r="A65" t="s">
        <v>66</v>
      </c>
      <c r="B65">
        <v>-4.9114868603201287E-2</v>
      </c>
      <c r="C65">
        <v>-0.14017355299101103</v>
      </c>
      <c r="D65">
        <v>-0.1917337951139606</v>
      </c>
      <c r="E65">
        <v>-0.15524580733195378</v>
      </c>
      <c r="F65">
        <v>-0.15281619710060323</v>
      </c>
      <c r="G65">
        <v>-9.1537930057077152E-2</v>
      </c>
      <c r="H65">
        <v>-4.4524650995873195E-2</v>
      </c>
      <c r="I65">
        <v>-9.2209613943048566E-2</v>
      </c>
      <c r="J65">
        <v>-0.15610194040499586</v>
      </c>
      <c r="K65">
        <v>0.1121897196661059</v>
      </c>
      <c r="L65">
        <v>-6.4166622406589199E-2</v>
      </c>
      <c r="M65">
        <v>-8.7946061137770579E-2</v>
      </c>
      <c r="N65">
        <v>0.11688394360019737</v>
      </c>
      <c r="O65">
        <v>1.0839041859616998E-2</v>
      </c>
      <c r="P65">
        <v>-0.35992726907893524</v>
      </c>
      <c r="Q65">
        <v>0.29314594576013436</v>
      </c>
      <c r="R65">
        <v>0.2349049900854569</v>
      </c>
      <c r="S65">
        <v>0.26217367825929444</v>
      </c>
      <c r="T65">
        <v>0.21698325851058214</v>
      </c>
      <c r="U65">
        <v>0.37403411436963369</v>
      </c>
      <c r="V65">
        <v>9.0398129143710333E-3</v>
      </c>
      <c r="W65">
        <v>-0.12698508701547195</v>
      </c>
      <c r="X65">
        <v>-8.3705965902917193E-2</v>
      </c>
      <c r="Y65">
        <v>-8.6333953464562754E-2</v>
      </c>
      <c r="Z65">
        <v>-6.4695794527429337E-2</v>
      </c>
      <c r="AA65">
        <v>-0.18180004111220849</v>
      </c>
      <c r="AB65">
        <v>-5.209477410919422E-2</v>
      </c>
      <c r="AC65">
        <v>-0.10914210642032925</v>
      </c>
      <c r="AD65">
        <v>-6.7813794693104196E-2</v>
      </c>
      <c r="AE65">
        <v>-9.7675164364723534E-3</v>
      </c>
      <c r="AF65">
        <v>-4.4850801935043302E-2</v>
      </c>
      <c r="AG65">
        <v>-0.13876815553633357</v>
      </c>
      <c r="AH65">
        <v>-0.12662543722052061</v>
      </c>
      <c r="AI65">
        <v>2.4573518504286888E-3</v>
      </c>
      <c r="AJ65">
        <v>-0.36484786674991676</v>
      </c>
      <c r="AK65">
        <v>5.2371689504235819E-2</v>
      </c>
      <c r="AL65">
        <v>0.1534535988563854</v>
      </c>
      <c r="AM65">
        <v>-4.4222310800265716E-2</v>
      </c>
      <c r="AN65">
        <v>-1.1679504474551781E-5</v>
      </c>
      <c r="AP65">
        <f t="shared" si="2"/>
        <v>0.99999999578801302</v>
      </c>
      <c r="AQ65">
        <f t="shared" si="3"/>
        <v>0.99999999789400651</v>
      </c>
      <c r="AS65">
        <f t="shared" si="18"/>
        <v>-4.911486870663688E-2</v>
      </c>
      <c r="AT65">
        <f t="shared" si="18"/>
        <v>-0.14017355328621561</v>
      </c>
      <c r="AU65">
        <f t="shared" si="18"/>
        <v>-0.19173379551775072</v>
      </c>
      <c r="AV65">
        <f t="shared" si="18"/>
        <v>-0.15524580765890045</v>
      </c>
      <c r="AW65">
        <f t="shared" si="18"/>
        <v>-0.15281619742243316</v>
      </c>
      <c r="AX65">
        <f t="shared" si="18"/>
        <v>-9.1537930249855431E-2</v>
      </c>
      <c r="AY65">
        <f t="shared" si="18"/>
        <v>-4.452465108964182E-2</v>
      </c>
      <c r="AZ65">
        <f t="shared" si="18"/>
        <v>-9.2209614137241408E-2</v>
      </c>
      <c r="BA65">
        <f t="shared" si="18"/>
        <v>-0.15610194073374553</v>
      </c>
      <c r="BB65">
        <f t="shared" si="18"/>
        <v>0.11218971990237672</v>
      </c>
      <c r="BC65">
        <f t="shared" si="18"/>
        <v>-6.4166622541723686E-2</v>
      </c>
      <c r="BD65">
        <f t="shared" si="18"/>
        <v>-8.7946061322984409E-2</v>
      </c>
      <c r="BE65">
        <f t="shared" si="17"/>
        <v>0.1168839438463542</v>
      </c>
      <c r="BF65">
        <f t="shared" si="17"/>
        <v>1.083904188244395E-2</v>
      </c>
      <c r="BG65">
        <f t="shared" si="17"/>
        <v>-0.35992726983693973</v>
      </c>
      <c r="BH65">
        <f t="shared" si="16"/>
        <v>0.2931459463774978</v>
      </c>
      <c r="BI65">
        <f t="shared" si="16"/>
        <v>0.23490499058016528</v>
      </c>
      <c r="BJ65">
        <f t="shared" si="16"/>
        <v>0.2621736788114305</v>
      </c>
      <c r="BK65">
        <f t="shared" si="16"/>
        <v>0.21698325896754747</v>
      </c>
      <c r="BL65">
        <f t="shared" si="16"/>
        <v>0.37403411515734708</v>
      </c>
      <c r="BM65">
        <f t="shared" si="16"/>
        <v>9.0398129334088202E-3</v>
      </c>
      <c r="BN65">
        <f t="shared" si="16"/>
        <v>-0.12698508728290173</v>
      </c>
      <c r="BO65">
        <f t="shared" si="16"/>
        <v>-8.3705966079201416E-2</v>
      </c>
      <c r="BP65">
        <f t="shared" si="16"/>
        <v>-8.6333953646381495E-2</v>
      </c>
      <c r="BQ65">
        <f t="shared" si="16"/>
        <v>-6.4695794663678266E-2</v>
      </c>
      <c r="BR65">
        <f t="shared" si="19"/>
        <v>-0.1818000414950782</v>
      </c>
      <c r="BS65">
        <f t="shared" si="19"/>
        <v>-5.2094774218905474E-2</v>
      </c>
      <c r="BT65">
        <f t="shared" si="19"/>
        <v>-0.10914210665018181</v>
      </c>
      <c r="BU65">
        <f t="shared" si="19"/>
        <v>-6.7813794835919608E-2</v>
      </c>
      <c r="BV65">
        <f t="shared" si="19"/>
        <v>-9.7675164570426801E-3</v>
      </c>
      <c r="BW65">
        <f t="shared" si="19"/>
        <v>-4.4850802029498801E-2</v>
      </c>
      <c r="BX65">
        <f t="shared" si="19"/>
        <v>-0.1387681558285784</v>
      </c>
      <c r="BY65">
        <f t="shared" si="19"/>
        <v>-0.12662543748719296</v>
      </c>
      <c r="BZ65">
        <f t="shared" si="20"/>
        <v>2.457351855603856E-3</v>
      </c>
      <c r="CA65">
        <f t="shared" si="20"/>
        <v>-0.36484786751828402</v>
      </c>
      <c r="CB65">
        <f t="shared" si="20"/>
        <v>5.2371689614530259E-2</v>
      </c>
      <c r="CC65">
        <f t="shared" si="20"/>
        <v>0.1534535991795577</v>
      </c>
      <c r="CD65">
        <f t="shared" si="20"/>
        <v>-4.4222310893397614E-2</v>
      </c>
      <c r="CE65">
        <f t="shared" si="20"/>
        <v>-1.1679504499148742E-5</v>
      </c>
      <c r="CG65">
        <f t="shared" si="5"/>
        <v>1.0000000000000002</v>
      </c>
      <c r="CH65">
        <f t="shared" si="6"/>
        <v>1</v>
      </c>
      <c r="CJ65">
        <f t="shared" si="7"/>
        <v>-0.19994985623803033</v>
      </c>
      <c r="CL65">
        <f>SUMPRODUCT(AS65:CE65,Dimorfismo!AS65:CE65)</f>
        <v>-9.4565300130060079E-2</v>
      </c>
      <c r="CM65">
        <f t="shared" si="8"/>
        <v>9.4565300130060079E-2</v>
      </c>
      <c r="CN65">
        <f t="shared" si="9"/>
        <v>9.4848708761190462E-2</v>
      </c>
    </row>
    <row r="68" spans="1:92" x14ac:dyDescent="0.25">
      <c r="AP68">
        <f t="shared" ref="AP68:AP69" si="21">SUMSQ(A68:AN68)</f>
        <v>0</v>
      </c>
      <c r="AQ68">
        <f t="shared" ref="AQ68:AQ69" si="22">SQRT(AP68)</f>
        <v>0</v>
      </c>
      <c r="AS68" t="e">
        <f t="shared" ref="AS68:CE69" si="23">B68/$AQ68</f>
        <v>#DIV/0!</v>
      </c>
      <c r="AT68" t="e">
        <f t="shared" si="23"/>
        <v>#DIV/0!</v>
      </c>
      <c r="AU68" t="e">
        <f t="shared" si="23"/>
        <v>#DIV/0!</v>
      </c>
      <c r="AV68" t="e">
        <f t="shared" si="23"/>
        <v>#DIV/0!</v>
      </c>
      <c r="AW68" t="e">
        <f t="shared" si="23"/>
        <v>#DIV/0!</v>
      </c>
      <c r="AX68" t="e">
        <f t="shared" si="23"/>
        <v>#DIV/0!</v>
      </c>
      <c r="AY68" t="e">
        <f t="shared" si="23"/>
        <v>#DIV/0!</v>
      </c>
      <c r="AZ68" t="e">
        <f t="shared" si="23"/>
        <v>#DIV/0!</v>
      </c>
      <c r="BA68" t="e">
        <f t="shared" si="23"/>
        <v>#DIV/0!</v>
      </c>
      <c r="BB68" t="e">
        <f t="shared" si="23"/>
        <v>#DIV/0!</v>
      </c>
      <c r="BC68" t="e">
        <f t="shared" si="23"/>
        <v>#DIV/0!</v>
      </c>
      <c r="BD68" t="e">
        <f t="shared" si="23"/>
        <v>#DIV/0!</v>
      </c>
      <c r="BE68" t="e">
        <f t="shared" si="23"/>
        <v>#DIV/0!</v>
      </c>
      <c r="BF68" t="e">
        <f t="shared" si="23"/>
        <v>#DIV/0!</v>
      </c>
      <c r="BG68" t="e">
        <f t="shared" si="23"/>
        <v>#DIV/0!</v>
      </c>
      <c r="BH68" t="e">
        <f t="shared" si="23"/>
        <v>#DIV/0!</v>
      </c>
      <c r="BI68" t="e">
        <f t="shared" si="23"/>
        <v>#DIV/0!</v>
      </c>
      <c r="BJ68" t="e">
        <f t="shared" si="23"/>
        <v>#DIV/0!</v>
      </c>
      <c r="BK68" t="e">
        <f t="shared" si="23"/>
        <v>#DIV/0!</v>
      </c>
      <c r="BL68" t="e">
        <f t="shared" si="23"/>
        <v>#DIV/0!</v>
      </c>
      <c r="BM68" t="e">
        <f t="shared" si="23"/>
        <v>#DIV/0!</v>
      </c>
      <c r="BN68" t="e">
        <f t="shared" si="23"/>
        <v>#DIV/0!</v>
      </c>
      <c r="BO68" t="e">
        <f t="shared" si="23"/>
        <v>#DIV/0!</v>
      </c>
      <c r="BP68" t="e">
        <f t="shared" si="23"/>
        <v>#DIV/0!</v>
      </c>
      <c r="BQ68" t="e">
        <f t="shared" si="23"/>
        <v>#DIV/0!</v>
      </c>
      <c r="BR68" t="e">
        <f t="shared" si="23"/>
        <v>#DIV/0!</v>
      </c>
      <c r="BS68" t="e">
        <f t="shared" si="23"/>
        <v>#DIV/0!</v>
      </c>
      <c r="BT68" t="e">
        <f t="shared" si="23"/>
        <v>#DIV/0!</v>
      </c>
      <c r="BU68" t="e">
        <f t="shared" si="23"/>
        <v>#DIV/0!</v>
      </c>
      <c r="BV68" t="e">
        <f t="shared" si="23"/>
        <v>#DIV/0!</v>
      </c>
      <c r="BW68" t="e">
        <f t="shared" si="23"/>
        <v>#DIV/0!</v>
      </c>
      <c r="BX68" t="e">
        <f t="shared" si="23"/>
        <v>#DIV/0!</v>
      </c>
      <c r="BY68" t="e">
        <f t="shared" si="23"/>
        <v>#DIV/0!</v>
      </c>
      <c r="BZ68" t="e">
        <f t="shared" si="23"/>
        <v>#DIV/0!</v>
      </c>
      <c r="CA68" t="e">
        <f t="shared" si="23"/>
        <v>#DIV/0!</v>
      </c>
      <c r="CB68" t="e">
        <f t="shared" si="23"/>
        <v>#DIV/0!</v>
      </c>
      <c r="CC68" t="e">
        <f t="shared" si="23"/>
        <v>#DIV/0!</v>
      </c>
      <c r="CD68" t="e">
        <f t="shared" si="23"/>
        <v>#DIV/0!</v>
      </c>
      <c r="CE68" t="e">
        <f t="shared" si="23"/>
        <v>#DIV/0!</v>
      </c>
      <c r="CG68" t="e">
        <f t="shared" ref="CG68:CG69" si="24">SUMSQ(AR68:CE68)</f>
        <v>#DIV/0!</v>
      </c>
      <c r="CH68" t="e">
        <f t="shared" ref="CH68:CH69" si="25">SQRT(CG68)</f>
        <v>#DIV/0!</v>
      </c>
      <c r="CJ68" t="e">
        <f t="shared" ref="CJ68" si="26">SUMPRODUCT($AS$1:$CE$1,AS68:CE68)</f>
        <v>#DIV/0!</v>
      </c>
    </row>
    <row r="69" spans="1:92" x14ac:dyDescent="0.25">
      <c r="AP69">
        <f t="shared" si="21"/>
        <v>0</v>
      </c>
      <c r="AQ69">
        <f t="shared" si="22"/>
        <v>0</v>
      </c>
      <c r="AS69" t="e">
        <f t="shared" si="23"/>
        <v>#DIV/0!</v>
      </c>
      <c r="AT69" t="e">
        <f t="shared" si="23"/>
        <v>#DIV/0!</v>
      </c>
      <c r="AU69" t="e">
        <f t="shared" si="23"/>
        <v>#DIV/0!</v>
      </c>
      <c r="AV69" t="e">
        <f t="shared" si="23"/>
        <v>#DIV/0!</v>
      </c>
      <c r="AW69" t="e">
        <f t="shared" si="23"/>
        <v>#DIV/0!</v>
      </c>
      <c r="AX69" t="e">
        <f t="shared" si="23"/>
        <v>#DIV/0!</v>
      </c>
      <c r="AY69" t="e">
        <f t="shared" si="23"/>
        <v>#DIV/0!</v>
      </c>
      <c r="AZ69" t="e">
        <f t="shared" si="23"/>
        <v>#DIV/0!</v>
      </c>
      <c r="BA69" t="e">
        <f t="shared" si="23"/>
        <v>#DIV/0!</v>
      </c>
      <c r="BB69" t="e">
        <f t="shared" si="23"/>
        <v>#DIV/0!</v>
      </c>
      <c r="BC69" t="e">
        <f t="shared" si="23"/>
        <v>#DIV/0!</v>
      </c>
      <c r="BD69" t="e">
        <f t="shared" si="23"/>
        <v>#DIV/0!</v>
      </c>
      <c r="BE69" t="e">
        <f t="shared" si="23"/>
        <v>#DIV/0!</v>
      </c>
      <c r="BF69" t="e">
        <f t="shared" si="23"/>
        <v>#DIV/0!</v>
      </c>
      <c r="BG69" t="e">
        <f t="shared" si="23"/>
        <v>#DIV/0!</v>
      </c>
      <c r="BH69" t="e">
        <f t="shared" si="23"/>
        <v>#DIV/0!</v>
      </c>
      <c r="BI69" t="e">
        <f t="shared" si="23"/>
        <v>#DIV/0!</v>
      </c>
      <c r="BJ69" t="e">
        <f t="shared" si="23"/>
        <v>#DIV/0!</v>
      </c>
      <c r="BK69" t="e">
        <f t="shared" si="23"/>
        <v>#DIV/0!</v>
      </c>
      <c r="BL69" t="e">
        <f t="shared" si="23"/>
        <v>#DIV/0!</v>
      </c>
      <c r="BM69" t="e">
        <f t="shared" si="23"/>
        <v>#DIV/0!</v>
      </c>
      <c r="BN69" t="e">
        <f t="shared" si="23"/>
        <v>#DIV/0!</v>
      </c>
      <c r="BO69" t="e">
        <f t="shared" si="23"/>
        <v>#DIV/0!</v>
      </c>
      <c r="BP69" t="e">
        <f t="shared" si="23"/>
        <v>#DIV/0!</v>
      </c>
      <c r="BQ69" t="e">
        <f t="shared" si="23"/>
        <v>#DIV/0!</v>
      </c>
      <c r="BR69" t="e">
        <f t="shared" si="23"/>
        <v>#DIV/0!</v>
      </c>
      <c r="BS69" t="e">
        <f t="shared" si="23"/>
        <v>#DIV/0!</v>
      </c>
      <c r="BT69" t="e">
        <f t="shared" si="23"/>
        <v>#DIV/0!</v>
      </c>
      <c r="BU69" t="e">
        <f t="shared" si="23"/>
        <v>#DIV/0!</v>
      </c>
      <c r="BV69" t="e">
        <f t="shared" si="23"/>
        <v>#DIV/0!</v>
      </c>
      <c r="BW69" t="e">
        <f t="shared" si="23"/>
        <v>#DIV/0!</v>
      </c>
      <c r="BX69" t="e">
        <f t="shared" si="23"/>
        <v>#DIV/0!</v>
      </c>
      <c r="BY69" t="e">
        <f t="shared" si="23"/>
        <v>#DIV/0!</v>
      </c>
      <c r="BZ69" t="e">
        <f t="shared" si="23"/>
        <v>#DIV/0!</v>
      </c>
      <c r="CA69" t="e">
        <f t="shared" si="23"/>
        <v>#DIV/0!</v>
      </c>
      <c r="CB69" t="e">
        <f t="shared" si="23"/>
        <v>#DIV/0!</v>
      </c>
      <c r="CC69" t="e">
        <f t="shared" si="23"/>
        <v>#DIV/0!</v>
      </c>
      <c r="CD69" t="e">
        <f t="shared" si="23"/>
        <v>#DIV/0!</v>
      </c>
      <c r="CE69" t="e">
        <f t="shared" si="23"/>
        <v>#DIV/0!</v>
      </c>
      <c r="CG69" t="e">
        <f t="shared" si="24"/>
        <v>#DIV/0!</v>
      </c>
      <c r="CH69" t="e">
        <f t="shared" si="25"/>
        <v>#DIV/0!</v>
      </c>
      <c r="CJ69" t="e">
        <f>SUMPRODUCT($AS$50:$CE$50,AS69:CE69)</f>
        <v>#DIV/0!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69"/>
  <sheetViews>
    <sheetView topLeftCell="CA14" zoomScale="85" zoomScaleNormal="85" workbookViewId="0">
      <selection activeCell="CM2" sqref="CM2:CN65"/>
    </sheetView>
  </sheetViews>
  <sheetFormatPr defaultColWidth="11.5546875" defaultRowHeight="13.2" x14ac:dyDescent="0.25"/>
  <cols>
    <col min="1" max="1" width="22.109375" customWidth="1"/>
  </cols>
  <sheetData>
    <row r="1" spans="1:92" x14ac:dyDescent="0.25">
      <c r="A1" s="1" t="s">
        <v>0</v>
      </c>
      <c r="AS1">
        <f>1/SQRT(39)</f>
        <v>0.16012815380508713</v>
      </c>
      <c r="AT1">
        <f t="shared" ref="AT1:CE1" si="0">1/SQRT(39)</f>
        <v>0.16012815380508713</v>
      </c>
      <c r="AU1">
        <f t="shared" si="0"/>
        <v>0.16012815380508713</v>
      </c>
      <c r="AV1">
        <f t="shared" si="0"/>
        <v>0.16012815380508713</v>
      </c>
      <c r="AW1">
        <f t="shared" si="0"/>
        <v>0.16012815380508713</v>
      </c>
      <c r="AX1">
        <f t="shared" si="0"/>
        <v>0.16012815380508713</v>
      </c>
      <c r="AY1">
        <f t="shared" si="0"/>
        <v>0.16012815380508713</v>
      </c>
      <c r="AZ1">
        <f t="shared" si="0"/>
        <v>0.16012815380508713</v>
      </c>
      <c r="BA1">
        <f t="shared" si="0"/>
        <v>0.16012815380508713</v>
      </c>
      <c r="BB1">
        <f t="shared" si="0"/>
        <v>0.16012815380508713</v>
      </c>
      <c r="BC1">
        <f t="shared" si="0"/>
        <v>0.16012815380508713</v>
      </c>
      <c r="BD1">
        <f t="shared" si="0"/>
        <v>0.16012815380508713</v>
      </c>
      <c r="BE1">
        <f t="shared" si="0"/>
        <v>0.16012815380508713</v>
      </c>
      <c r="BF1">
        <f t="shared" si="0"/>
        <v>0.16012815380508713</v>
      </c>
      <c r="BG1">
        <f t="shared" si="0"/>
        <v>0.16012815380508713</v>
      </c>
      <c r="BH1">
        <f t="shared" si="0"/>
        <v>0.16012815380508713</v>
      </c>
      <c r="BI1">
        <f t="shared" si="0"/>
        <v>0.16012815380508713</v>
      </c>
      <c r="BJ1">
        <f t="shared" si="0"/>
        <v>0.16012815380508713</v>
      </c>
      <c r="BK1">
        <f t="shared" si="0"/>
        <v>0.16012815380508713</v>
      </c>
      <c r="BL1">
        <f t="shared" si="0"/>
        <v>0.16012815380508713</v>
      </c>
      <c r="BM1">
        <f t="shared" si="0"/>
        <v>0.16012815380508713</v>
      </c>
      <c r="BN1">
        <f t="shared" si="0"/>
        <v>0.16012815380508713</v>
      </c>
      <c r="BO1">
        <f t="shared" si="0"/>
        <v>0.16012815380508713</v>
      </c>
      <c r="BP1">
        <f t="shared" si="0"/>
        <v>0.16012815380508713</v>
      </c>
      <c r="BQ1">
        <f t="shared" si="0"/>
        <v>0.16012815380508713</v>
      </c>
      <c r="BR1">
        <f t="shared" si="0"/>
        <v>0.16012815380508713</v>
      </c>
      <c r="BS1">
        <f t="shared" si="0"/>
        <v>0.16012815380508713</v>
      </c>
      <c r="BT1">
        <f t="shared" si="0"/>
        <v>0.16012815380508713</v>
      </c>
      <c r="BU1">
        <f t="shared" si="0"/>
        <v>0.16012815380508713</v>
      </c>
      <c r="BV1">
        <f t="shared" si="0"/>
        <v>0.16012815380508713</v>
      </c>
      <c r="BW1">
        <f t="shared" si="0"/>
        <v>0.16012815380508713</v>
      </c>
      <c r="BX1">
        <f t="shared" si="0"/>
        <v>0.16012815380508713</v>
      </c>
      <c r="BY1">
        <f t="shared" si="0"/>
        <v>0.16012815380508713</v>
      </c>
      <c r="BZ1">
        <f t="shared" si="0"/>
        <v>0.16012815380508713</v>
      </c>
      <c r="CA1">
        <f t="shared" si="0"/>
        <v>0.16012815380508713</v>
      </c>
      <c r="CB1">
        <f t="shared" si="0"/>
        <v>0.16012815380508713</v>
      </c>
      <c r="CC1">
        <f t="shared" si="0"/>
        <v>0.16012815380508713</v>
      </c>
      <c r="CD1">
        <f t="shared" si="0"/>
        <v>0.16012815380508713</v>
      </c>
      <c r="CE1">
        <f t="shared" si="0"/>
        <v>0.16012815380508713</v>
      </c>
    </row>
    <row r="2" spans="1:92" x14ac:dyDescent="0.25">
      <c r="A2" t="s">
        <v>3</v>
      </c>
      <c r="B2">
        <v>-2.9362200712533554E-2</v>
      </c>
      <c r="C2">
        <v>-7.0072307582740842E-2</v>
      </c>
      <c r="D2">
        <v>-0.16518181588019409</v>
      </c>
      <c r="E2">
        <v>-0.1347529013816888</v>
      </c>
      <c r="F2">
        <v>-9.886111458755463E-2</v>
      </c>
      <c r="G2">
        <v>-3.7178040073035733E-2</v>
      </c>
      <c r="H2">
        <v>-0.10895631776659655</v>
      </c>
      <c r="I2">
        <v>-9.9479667289281273E-2</v>
      </c>
      <c r="J2">
        <v>-4.7897560854370273E-3</v>
      </c>
      <c r="K2">
        <v>8.5180952407853158E-2</v>
      </c>
      <c r="L2">
        <v>5.4542224373702094E-3</v>
      </c>
      <c r="M2">
        <v>-2.5150507275873563E-2</v>
      </c>
      <c r="N2">
        <v>-0.20525139072712775</v>
      </c>
      <c r="O2">
        <v>-9.6735200218855483E-2</v>
      </c>
      <c r="P2">
        <v>-6.527951370343972E-2</v>
      </c>
      <c r="Q2">
        <v>0.27453043780223862</v>
      </c>
      <c r="R2">
        <v>0.31093526778059222</v>
      </c>
      <c r="S2">
        <v>0.38099720415345673</v>
      </c>
      <c r="T2">
        <v>0.37931574750038716</v>
      </c>
      <c r="U2">
        <v>0.12856286860435756</v>
      </c>
      <c r="V2">
        <v>2.1879298380514268E-2</v>
      </c>
      <c r="W2">
        <v>-1.7018360110856712E-2</v>
      </c>
      <c r="X2">
        <v>5.3049583603134484E-2</v>
      </c>
      <c r="Y2">
        <v>-2.4111663684389179E-2</v>
      </c>
      <c r="Z2">
        <v>1.8553372745941946E-2</v>
      </c>
      <c r="AA2">
        <v>0.20630871493835756</v>
      </c>
      <c r="AB2">
        <v>-4.171670739467518E-2</v>
      </c>
      <c r="AC2">
        <v>6.1232397278530283E-2</v>
      </c>
      <c r="AD2">
        <v>2.6081221426880359E-2</v>
      </c>
      <c r="AE2">
        <v>2.2164436656045682E-2</v>
      </c>
      <c r="AF2">
        <v>1.8534050554993301E-2</v>
      </c>
      <c r="AG2">
        <v>6.5143690030403892E-2</v>
      </c>
      <c r="AH2">
        <v>0.21900142344868384</v>
      </c>
      <c r="AI2">
        <v>-0.2069777866053632</v>
      </c>
      <c r="AJ2">
        <v>-0.27197482989465854</v>
      </c>
      <c r="AK2">
        <v>-0.2825229400740541</v>
      </c>
      <c r="AL2">
        <v>0.26649379365159032</v>
      </c>
      <c r="AM2">
        <v>-1.6361375704662191E-2</v>
      </c>
      <c r="AN2">
        <v>1.8968224972038601E-2</v>
      </c>
      <c r="AP2">
        <f>SUMSQ(A2:AN2)</f>
        <v>0.99999999713866938</v>
      </c>
      <c r="AQ2">
        <f>SQRT(AP2)</f>
        <v>0.99999999856933464</v>
      </c>
      <c r="AS2">
        <f>B2/$AQ2</f>
        <v>-2.9362200754541039E-2</v>
      </c>
      <c r="AT2">
        <f t="shared" ref="AT2:CE8" si="1">C2/$AQ2</f>
        <v>-7.0072307682990873E-2</v>
      </c>
      <c r="AU2">
        <f t="shared" si="1"/>
        <v>-0.165181816116514</v>
      </c>
      <c r="AV2">
        <f t="shared" si="1"/>
        <v>-0.13475290157447511</v>
      </c>
      <c r="AW2">
        <f t="shared" si="1"/>
        <v>-9.8861114728991797E-2</v>
      </c>
      <c r="AX2">
        <f t="shared" si="1"/>
        <v>-3.7178040126225068E-2</v>
      </c>
      <c r="AY2">
        <f t="shared" si="1"/>
        <v>-0.10895631792247658</v>
      </c>
      <c r="AZ2">
        <f t="shared" si="1"/>
        <v>-9.9479667431603386E-2</v>
      </c>
      <c r="BA2">
        <f t="shared" si="1"/>
        <v>-4.7897560922895658E-3</v>
      </c>
      <c r="BB2">
        <f t="shared" si="1"/>
        <v>8.5180952529718593E-2</v>
      </c>
      <c r="BC2">
        <f t="shared" si="1"/>
        <v>5.4542224451733764E-3</v>
      </c>
      <c r="BD2">
        <f t="shared" si="1"/>
        <v>-2.5150507311855523E-2</v>
      </c>
      <c r="BE2">
        <f t="shared" si="1"/>
        <v>-0.2052513910207738</v>
      </c>
      <c r="BF2">
        <f t="shared" si="1"/>
        <v>-9.673520035725118E-2</v>
      </c>
      <c r="BG2">
        <f t="shared" si="1"/>
        <v>-6.5279513796832861E-2</v>
      </c>
      <c r="BH2">
        <f t="shared" si="1"/>
        <v>0.27453043819499984</v>
      </c>
      <c r="BI2">
        <f t="shared" si="1"/>
        <v>0.31093526822543655</v>
      </c>
      <c r="BJ2">
        <f t="shared" si="1"/>
        <v>0.38099720469853621</v>
      </c>
      <c r="BK2">
        <f t="shared" si="1"/>
        <v>0.37931574804306106</v>
      </c>
      <c r="BL2">
        <f t="shared" si="1"/>
        <v>0.12856286878828802</v>
      </c>
      <c r="BM2">
        <f t="shared" si="1"/>
        <v>2.1879298411816222E-2</v>
      </c>
      <c r="BN2">
        <f t="shared" si="1"/>
        <v>-1.7018360135204292E-2</v>
      </c>
      <c r="BO2">
        <f t="shared" si="1"/>
        <v>5.3049583679030683E-2</v>
      </c>
      <c r="BP2">
        <f t="shared" si="1"/>
        <v>-2.4111663718884901E-2</v>
      </c>
      <c r="BQ2">
        <f t="shared" si="1"/>
        <v>1.8553372772485612E-2</v>
      </c>
      <c r="BR2">
        <f t="shared" si="1"/>
        <v>0.20630871523351629</v>
      </c>
      <c r="BS2">
        <f t="shared" si="1"/>
        <v>-4.1716707454357828E-2</v>
      </c>
      <c r="BT2">
        <f t="shared" si="1"/>
        <v>6.1232397366133354E-2</v>
      </c>
      <c r="BU2">
        <f t="shared" si="1"/>
        <v>2.6081221464193859E-2</v>
      </c>
      <c r="BV2">
        <f t="shared" si="1"/>
        <v>2.2164436687755574E-2</v>
      </c>
      <c r="BW2">
        <f t="shared" si="1"/>
        <v>1.8534050581509327E-2</v>
      </c>
      <c r="BX2">
        <f t="shared" si="1"/>
        <v>6.5143690123602715E-2</v>
      </c>
      <c r="BY2">
        <f t="shared" si="1"/>
        <v>0.2190014237620016</v>
      </c>
      <c r="BZ2">
        <f t="shared" si="1"/>
        <v>-0.20697778690147914</v>
      </c>
      <c r="CA2">
        <f t="shared" si="1"/>
        <v>-0.27197483028376351</v>
      </c>
      <c r="CB2">
        <f t="shared" si="1"/>
        <v>-0.28252294047824988</v>
      </c>
      <c r="CC2">
        <f t="shared" si="1"/>
        <v>0.26649379403285378</v>
      </c>
      <c r="CD2">
        <f t="shared" si="1"/>
        <v>-1.6361375728069845E-2</v>
      </c>
      <c r="CE2">
        <f t="shared" si="1"/>
        <v>1.8968224999175783E-2</v>
      </c>
      <c r="CG2">
        <f>SUMSQ(AR2:CE2)</f>
        <v>0.99999999999999956</v>
      </c>
      <c r="CH2">
        <f>SQRT(CG2)</f>
        <v>0.99999999999999978</v>
      </c>
      <c r="CJ2">
        <f>SUMPRODUCT($AS$1:$CE$1,AS2:CE2)</f>
        <v>8.9776251740391902E-2</v>
      </c>
      <c r="CL2">
        <f>SUMPRODUCT(AS2:CE2,Dimorfismo!AS2:CE2)</f>
        <v>4.0932081996403268E-2</v>
      </c>
      <c r="CM2">
        <f>ABS(CL2)</f>
        <v>4.0932081996403268E-2</v>
      </c>
      <c r="CN2">
        <f>FISHER(CM2)</f>
        <v>4.0954964689420337E-2</v>
      </c>
    </row>
    <row r="3" spans="1:92" x14ac:dyDescent="0.25">
      <c r="A3" t="s">
        <v>4</v>
      </c>
      <c r="B3">
        <v>-2.9362200712533554E-2</v>
      </c>
      <c r="C3">
        <v>-7.0072307582740842E-2</v>
      </c>
      <c r="D3">
        <v>-0.16518181588019409</v>
      </c>
      <c r="E3">
        <v>-0.1347529013816888</v>
      </c>
      <c r="F3">
        <v>-9.886111458755463E-2</v>
      </c>
      <c r="G3">
        <v>-3.7178040073035733E-2</v>
      </c>
      <c r="H3">
        <v>-0.10895631776659655</v>
      </c>
      <c r="I3">
        <v>-9.9479667289281273E-2</v>
      </c>
      <c r="J3">
        <v>-4.7897560854370273E-3</v>
      </c>
      <c r="K3">
        <v>8.5180952407853158E-2</v>
      </c>
      <c r="L3">
        <v>5.4542224373702094E-3</v>
      </c>
      <c r="M3">
        <v>-2.5150507275873563E-2</v>
      </c>
      <c r="N3">
        <v>-0.20525139072712775</v>
      </c>
      <c r="O3">
        <v>-9.6735200218855483E-2</v>
      </c>
      <c r="P3">
        <v>-6.527951370343972E-2</v>
      </c>
      <c r="Q3">
        <v>0.27453043780223862</v>
      </c>
      <c r="R3">
        <v>0.31093526778059222</v>
      </c>
      <c r="S3">
        <v>0.38099720415345673</v>
      </c>
      <c r="T3">
        <v>0.37931574750038716</v>
      </c>
      <c r="U3">
        <v>0.12856286860435756</v>
      </c>
      <c r="V3">
        <v>2.1879298380514268E-2</v>
      </c>
      <c r="W3">
        <v>-1.7018360110856712E-2</v>
      </c>
      <c r="X3">
        <v>5.3049583603134484E-2</v>
      </c>
      <c r="Y3">
        <v>-2.4111663684389179E-2</v>
      </c>
      <c r="Z3">
        <v>1.8553372745941946E-2</v>
      </c>
      <c r="AA3">
        <v>0.20630871493835756</v>
      </c>
      <c r="AB3">
        <v>-4.171670739467518E-2</v>
      </c>
      <c r="AC3">
        <v>6.1232397278530283E-2</v>
      </c>
      <c r="AD3">
        <v>2.6081221426880359E-2</v>
      </c>
      <c r="AE3">
        <v>2.2164436656045682E-2</v>
      </c>
      <c r="AF3">
        <v>1.8534050554993301E-2</v>
      </c>
      <c r="AG3">
        <v>6.5143690030403892E-2</v>
      </c>
      <c r="AH3">
        <v>0.21900142344868384</v>
      </c>
      <c r="AI3">
        <v>-0.2069777866053632</v>
      </c>
      <c r="AJ3">
        <v>-0.27197482989465854</v>
      </c>
      <c r="AK3">
        <v>-0.2825229400740541</v>
      </c>
      <c r="AL3">
        <v>0.26649379365159032</v>
      </c>
      <c r="AM3">
        <v>-1.6361375704662191E-2</v>
      </c>
      <c r="AN3">
        <v>1.8968224972038601E-2</v>
      </c>
      <c r="AP3">
        <f t="shared" ref="AP3:AP65" si="2">SUMSQ(A3:AN3)</f>
        <v>0.99999999713866938</v>
      </c>
      <c r="AQ3">
        <f t="shared" ref="AQ3:AQ65" si="3">SQRT(AP3)</f>
        <v>0.99999999856933464</v>
      </c>
      <c r="AS3">
        <f t="shared" ref="AS3:BH24" si="4">B3/$AQ3</f>
        <v>-2.9362200754541039E-2</v>
      </c>
      <c r="AT3">
        <f t="shared" si="1"/>
        <v>-7.0072307682990873E-2</v>
      </c>
      <c r="AU3">
        <f t="shared" si="1"/>
        <v>-0.165181816116514</v>
      </c>
      <c r="AV3">
        <f t="shared" si="1"/>
        <v>-0.13475290157447511</v>
      </c>
      <c r="AW3">
        <f t="shared" si="1"/>
        <v>-9.8861114728991797E-2</v>
      </c>
      <c r="AX3">
        <f t="shared" si="1"/>
        <v>-3.7178040126225068E-2</v>
      </c>
      <c r="AY3">
        <f t="shared" si="1"/>
        <v>-0.10895631792247658</v>
      </c>
      <c r="AZ3">
        <f t="shared" si="1"/>
        <v>-9.9479667431603386E-2</v>
      </c>
      <c r="BA3">
        <f t="shared" si="1"/>
        <v>-4.7897560922895658E-3</v>
      </c>
      <c r="BB3">
        <f t="shared" si="1"/>
        <v>8.5180952529718593E-2</v>
      </c>
      <c r="BC3">
        <f t="shared" si="1"/>
        <v>5.4542224451733764E-3</v>
      </c>
      <c r="BD3">
        <f t="shared" si="1"/>
        <v>-2.5150507311855523E-2</v>
      </c>
      <c r="BE3">
        <f t="shared" si="1"/>
        <v>-0.2052513910207738</v>
      </c>
      <c r="BF3">
        <f t="shared" si="1"/>
        <v>-9.673520035725118E-2</v>
      </c>
      <c r="BG3">
        <f t="shared" si="1"/>
        <v>-6.5279513796832861E-2</v>
      </c>
      <c r="BH3">
        <f t="shared" si="1"/>
        <v>0.27453043819499984</v>
      </c>
      <c r="BI3">
        <f t="shared" si="1"/>
        <v>0.31093526822543655</v>
      </c>
      <c r="BJ3">
        <f t="shared" si="1"/>
        <v>0.38099720469853621</v>
      </c>
      <c r="BK3">
        <f t="shared" si="1"/>
        <v>0.37931574804306106</v>
      </c>
      <c r="BL3">
        <f t="shared" si="1"/>
        <v>0.12856286878828802</v>
      </c>
      <c r="BM3">
        <f t="shared" si="1"/>
        <v>2.1879298411816222E-2</v>
      </c>
      <c r="BN3">
        <f t="shared" si="1"/>
        <v>-1.7018360135204292E-2</v>
      </c>
      <c r="BO3">
        <f t="shared" si="1"/>
        <v>5.3049583679030683E-2</v>
      </c>
      <c r="BP3">
        <f t="shared" si="1"/>
        <v>-2.4111663718884901E-2</v>
      </c>
      <c r="BQ3">
        <f t="shared" si="1"/>
        <v>1.8553372772485612E-2</v>
      </c>
      <c r="BR3">
        <f t="shared" si="1"/>
        <v>0.20630871523351629</v>
      </c>
      <c r="BS3">
        <f t="shared" si="1"/>
        <v>-4.1716707454357828E-2</v>
      </c>
      <c r="BT3">
        <f t="shared" si="1"/>
        <v>6.1232397366133354E-2</v>
      </c>
      <c r="BU3">
        <f t="shared" si="1"/>
        <v>2.6081221464193859E-2</v>
      </c>
      <c r="BV3">
        <f t="shared" si="1"/>
        <v>2.2164436687755574E-2</v>
      </c>
      <c r="BW3">
        <f t="shared" si="1"/>
        <v>1.8534050581509327E-2</v>
      </c>
      <c r="BX3">
        <f t="shared" si="1"/>
        <v>6.5143690123602715E-2</v>
      </c>
      <c r="BY3">
        <f t="shared" si="1"/>
        <v>0.2190014237620016</v>
      </c>
      <c r="BZ3">
        <f t="shared" si="1"/>
        <v>-0.20697778690147914</v>
      </c>
      <c r="CA3">
        <f t="shared" si="1"/>
        <v>-0.27197483028376351</v>
      </c>
      <c r="CB3">
        <f t="shared" si="1"/>
        <v>-0.28252294047824988</v>
      </c>
      <c r="CC3">
        <f t="shared" si="1"/>
        <v>0.26649379403285378</v>
      </c>
      <c r="CD3">
        <f t="shared" si="1"/>
        <v>-1.6361375728069845E-2</v>
      </c>
      <c r="CE3">
        <f t="shared" si="1"/>
        <v>1.8968224999175783E-2</v>
      </c>
      <c r="CG3">
        <f t="shared" ref="CG3:CG65" si="5">SUMSQ(AR3:CE3)</f>
        <v>0.99999999999999956</v>
      </c>
      <c r="CH3">
        <f t="shared" ref="CH3:CH65" si="6">SQRT(CG3)</f>
        <v>0.99999999999999978</v>
      </c>
      <c r="CJ3">
        <f t="shared" ref="CJ3:CJ65" si="7">SUMPRODUCT($AS$1:$CE$1,AS3:CE3)</f>
        <v>8.9776251740391902E-2</v>
      </c>
      <c r="CL3">
        <f>SUMPRODUCT(AS3:CE3,Dimorfismo!AS3:CE3)</f>
        <v>6.0420846347369828E-2</v>
      </c>
      <c r="CM3">
        <f t="shared" ref="CM3:CM65" si="8">ABS(CL3)</f>
        <v>6.0420846347369828E-2</v>
      </c>
      <c r="CN3">
        <f t="shared" ref="CN3:CN65" si="9">FISHER(CM3)</f>
        <v>6.0494533518141921E-2</v>
      </c>
    </row>
    <row r="4" spans="1:92" x14ac:dyDescent="0.25">
      <c r="A4" t="s">
        <v>5</v>
      </c>
      <c r="B4">
        <v>-2.9362200712533554E-2</v>
      </c>
      <c r="C4">
        <v>-7.0072307582740842E-2</v>
      </c>
      <c r="D4">
        <v>-0.16518181588019409</v>
      </c>
      <c r="E4">
        <v>-0.1347529013816888</v>
      </c>
      <c r="F4">
        <v>-9.886111458755463E-2</v>
      </c>
      <c r="G4">
        <v>-3.7178040073035733E-2</v>
      </c>
      <c r="H4">
        <v>-0.10895631776659655</v>
      </c>
      <c r="I4">
        <v>-9.9479667289281273E-2</v>
      </c>
      <c r="J4">
        <v>-4.7897560854370273E-3</v>
      </c>
      <c r="K4">
        <v>8.5180952407853158E-2</v>
      </c>
      <c r="L4">
        <v>5.4542224373702094E-3</v>
      </c>
      <c r="M4">
        <v>-2.5150507275873563E-2</v>
      </c>
      <c r="N4">
        <v>-0.20525139072712775</v>
      </c>
      <c r="O4">
        <v>-9.6735200218855483E-2</v>
      </c>
      <c r="P4">
        <v>-6.527951370343972E-2</v>
      </c>
      <c r="Q4">
        <v>0.27453043780223862</v>
      </c>
      <c r="R4">
        <v>0.31093526778059222</v>
      </c>
      <c r="S4">
        <v>0.38099720415345673</v>
      </c>
      <c r="T4">
        <v>0.37931574750038716</v>
      </c>
      <c r="U4">
        <v>0.12856286860435756</v>
      </c>
      <c r="V4">
        <v>2.1879298380514268E-2</v>
      </c>
      <c r="W4">
        <v>-1.7018360110856712E-2</v>
      </c>
      <c r="X4">
        <v>5.3049583603134484E-2</v>
      </c>
      <c r="Y4">
        <v>-2.4111663684389179E-2</v>
      </c>
      <c r="Z4">
        <v>1.8553372745941946E-2</v>
      </c>
      <c r="AA4">
        <v>0.20630871493835756</v>
      </c>
      <c r="AB4">
        <v>-4.171670739467518E-2</v>
      </c>
      <c r="AC4">
        <v>6.1232397278530283E-2</v>
      </c>
      <c r="AD4">
        <v>2.6081221426880359E-2</v>
      </c>
      <c r="AE4">
        <v>2.2164436656045682E-2</v>
      </c>
      <c r="AF4">
        <v>1.8534050554993301E-2</v>
      </c>
      <c r="AG4">
        <v>6.5143690030403892E-2</v>
      </c>
      <c r="AH4">
        <v>0.21900142344868384</v>
      </c>
      <c r="AI4">
        <v>-0.2069777866053632</v>
      </c>
      <c r="AJ4">
        <v>-0.27197482989465854</v>
      </c>
      <c r="AK4">
        <v>-0.2825229400740541</v>
      </c>
      <c r="AL4">
        <v>0.26649379365159032</v>
      </c>
      <c r="AM4">
        <v>-1.6361375704662191E-2</v>
      </c>
      <c r="AN4">
        <v>1.8968224972038601E-2</v>
      </c>
      <c r="AP4">
        <f t="shared" si="2"/>
        <v>0.99999999713866938</v>
      </c>
      <c r="AQ4">
        <f t="shared" si="3"/>
        <v>0.99999999856933464</v>
      </c>
      <c r="AS4">
        <f t="shared" si="4"/>
        <v>-2.9362200754541039E-2</v>
      </c>
      <c r="AT4">
        <f t="shared" si="1"/>
        <v>-7.0072307682990873E-2</v>
      </c>
      <c r="AU4">
        <f t="shared" si="1"/>
        <v>-0.165181816116514</v>
      </c>
      <c r="AV4">
        <f t="shared" si="1"/>
        <v>-0.13475290157447511</v>
      </c>
      <c r="AW4">
        <f t="shared" si="1"/>
        <v>-9.8861114728991797E-2</v>
      </c>
      <c r="AX4">
        <f t="shared" si="1"/>
        <v>-3.7178040126225068E-2</v>
      </c>
      <c r="AY4">
        <f t="shared" si="1"/>
        <v>-0.10895631792247658</v>
      </c>
      <c r="AZ4">
        <f t="shared" si="1"/>
        <v>-9.9479667431603386E-2</v>
      </c>
      <c r="BA4">
        <f t="shared" si="1"/>
        <v>-4.7897560922895658E-3</v>
      </c>
      <c r="BB4">
        <f t="shared" si="1"/>
        <v>8.5180952529718593E-2</v>
      </c>
      <c r="BC4">
        <f t="shared" si="1"/>
        <v>5.4542224451733764E-3</v>
      </c>
      <c r="BD4">
        <f t="shared" si="1"/>
        <v>-2.5150507311855523E-2</v>
      </c>
      <c r="BE4">
        <f t="shared" si="1"/>
        <v>-0.2052513910207738</v>
      </c>
      <c r="BF4">
        <f t="shared" si="1"/>
        <v>-9.673520035725118E-2</v>
      </c>
      <c r="BG4">
        <f t="shared" si="1"/>
        <v>-6.5279513796832861E-2</v>
      </c>
      <c r="BH4">
        <f t="shared" si="1"/>
        <v>0.27453043819499984</v>
      </c>
      <c r="BI4">
        <f t="shared" si="1"/>
        <v>0.31093526822543655</v>
      </c>
      <c r="BJ4">
        <f t="shared" si="1"/>
        <v>0.38099720469853621</v>
      </c>
      <c r="BK4">
        <f t="shared" si="1"/>
        <v>0.37931574804306106</v>
      </c>
      <c r="BL4">
        <f t="shared" si="1"/>
        <v>0.12856286878828802</v>
      </c>
      <c r="BM4">
        <f t="shared" si="1"/>
        <v>2.1879298411816222E-2</v>
      </c>
      <c r="BN4">
        <f t="shared" si="1"/>
        <v>-1.7018360135204292E-2</v>
      </c>
      <c r="BO4">
        <f t="shared" si="1"/>
        <v>5.3049583679030683E-2</v>
      </c>
      <c r="BP4">
        <f t="shared" si="1"/>
        <v>-2.4111663718884901E-2</v>
      </c>
      <c r="BQ4">
        <f t="shared" si="1"/>
        <v>1.8553372772485612E-2</v>
      </c>
      <c r="BR4">
        <f t="shared" si="1"/>
        <v>0.20630871523351629</v>
      </c>
      <c r="BS4">
        <f t="shared" si="1"/>
        <v>-4.1716707454357828E-2</v>
      </c>
      <c r="BT4">
        <f t="shared" si="1"/>
        <v>6.1232397366133354E-2</v>
      </c>
      <c r="BU4">
        <f t="shared" si="1"/>
        <v>2.6081221464193859E-2</v>
      </c>
      <c r="BV4">
        <f t="shared" si="1"/>
        <v>2.2164436687755574E-2</v>
      </c>
      <c r="BW4">
        <f t="shared" si="1"/>
        <v>1.8534050581509327E-2</v>
      </c>
      <c r="BX4">
        <f t="shared" si="1"/>
        <v>6.5143690123602715E-2</v>
      </c>
      <c r="BY4">
        <f t="shared" si="1"/>
        <v>0.2190014237620016</v>
      </c>
      <c r="BZ4">
        <f t="shared" si="1"/>
        <v>-0.20697778690147914</v>
      </c>
      <c r="CA4">
        <f t="shared" si="1"/>
        <v>-0.27197483028376351</v>
      </c>
      <c r="CB4">
        <f t="shared" si="1"/>
        <v>-0.28252294047824988</v>
      </c>
      <c r="CC4">
        <f t="shared" si="1"/>
        <v>0.26649379403285378</v>
      </c>
      <c r="CD4">
        <f t="shared" si="1"/>
        <v>-1.6361375728069845E-2</v>
      </c>
      <c r="CE4">
        <f t="shared" si="1"/>
        <v>1.8968224999175783E-2</v>
      </c>
      <c r="CG4">
        <f t="shared" si="5"/>
        <v>0.99999999999999956</v>
      </c>
      <c r="CH4">
        <f t="shared" si="6"/>
        <v>0.99999999999999978</v>
      </c>
      <c r="CJ4">
        <f t="shared" si="7"/>
        <v>8.9776251740391902E-2</v>
      </c>
      <c r="CL4">
        <f>SUMPRODUCT(AS4:CE4,Dimorfismo!AS4:CE4)</f>
        <v>0.10073989968345287</v>
      </c>
      <c r="CM4">
        <f t="shared" si="8"/>
        <v>0.10073989968345287</v>
      </c>
      <c r="CN4">
        <f t="shared" si="9"/>
        <v>0.10108277714876623</v>
      </c>
    </row>
    <row r="5" spans="1:92" x14ac:dyDescent="0.25">
      <c r="A5" t="s">
        <v>6</v>
      </c>
      <c r="B5">
        <v>-2.9362200712533554E-2</v>
      </c>
      <c r="C5">
        <v>-7.0072307582740842E-2</v>
      </c>
      <c r="D5">
        <v>-0.16518181588019409</v>
      </c>
      <c r="E5">
        <v>-0.1347529013816888</v>
      </c>
      <c r="F5">
        <v>-9.886111458755463E-2</v>
      </c>
      <c r="G5">
        <v>-3.7178040073035733E-2</v>
      </c>
      <c r="H5">
        <v>-0.10895631776659655</v>
      </c>
      <c r="I5">
        <v>-9.9479667289281273E-2</v>
      </c>
      <c r="J5">
        <v>-4.7897560854370273E-3</v>
      </c>
      <c r="K5">
        <v>8.5180952407853158E-2</v>
      </c>
      <c r="L5">
        <v>5.4542224373702094E-3</v>
      </c>
      <c r="M5">
        <v>-2.5150507275873563E-2</v>
      </c>
      <c r="N5">
        <v>-0.20525139072712775</v>
      </c>
      <c r="O5">
        <v>-9.6735200218855483E-2</v>
      </c>
      <c r="P5">
        <v>-6.527951370343972E-2</v>
      </c>
      <c r="Q5">
        <v>0.27453043780223862</v>
      </c>
      <c r="R5">
        <v>0.31093526778059222</v>
      </c>
      <c r="S5">
        <v>0.38099720415345673</v>
      </c>
      <c r="T5">
        <v>0.37931574750038716</v>
      </c>
      <c r="U5">
        <v>0.12856286860435756</v>
      </c>
      <c r="V5">
        <v>2.1879298380514268E-2</v>
      </c>
      <c r="W5">
        <v>-1.7018360110856712E-2</v>
      </c>
      <c r="X5">
        <v>5.3049583603134484E-2</v>
      </c>
      <c r="Y5">
        <v>-2.4111663684389179E-2</v>
      </c>
      <c r="Z5">
        <v>1.8553372745941946E-2</v>
      </c>
      <c r="AA5">
        <v>0.20630871493835756</v>
      </c>
      <c r="AB5">
        <v>-4.171670739467518E-2</v>
      </c>
      <c r="AC5">
        <v>6.1232397278530283E-2</v>
      </c>
      <c r="AD5">
        <v>2.6081221426880359E-2</v>
      </c>
      <c r="AE5">
        <v>2.2164436656045682E-2</v>
      </c>
      <c r="AF5">
        <v>1.8534050554993301E-2</v>
      </c>
      <c r="AG5">
        <v>6.5143690030403892E-2</v>
      </c>
      <c r="AH5">
        <v>0.21900142344868384</v>
      </c>
      <c r="AI5">
        <v>-0.2069777866053632</v>
      </c>
      <c r="AJ5">
        <v>-0.27197482989465854</v>
      </c>
      <c r="AK5">
        <v>-0.2825229400740541</v>
      </c>
      <c r="AL5">
        <v>0.26649379365159032</v>
      </c>
      <c r="AM5">
        <v>-1.6361375704662191E-2</v>
      </c>
      <c r="AN5">
        <v>1.8968224972038601E-2</v>
      </c>
      <c r="AP5">
        <f t="shared" si="2"/>
        <v>0.99999999713866938</v>
      </c>
      <c r="AQ5">
        <f t="shared" si="3"/>
        <v>0.99999999856933464</v>
      </c>
      <c r="AS5">
        <f t="shared" si="4"/>
        <v>-2.9362200754541039E-2</v>
      </c>
      <c r="AT5">
        <f t="shared" si="1"/>
        <v>-7.0072307682990873E-2</v>
      </c>
      <c r="AU5">
        <f t="shared" si="1"/>
        <v>-0.165181816116514</v>
      </c>
      <c r="AV5">
        <f t="shared" si="1"/>
        <v>-0.13475290157447511</v>
      </c>
      <c r="AW5">
        <f t="shared" si="1"/>
        <v>-9.8861114728991797E-2</v>
      </c>
      <c r="AX5">
        <f t="shared" si="1"/>
        <v>-3.7178040126225068E-2</v>
      </c>
      <c r="AY5">
        <f t="shared" si="1"/>
        <v>-0.10895631792247658</v>
      </c>
      <c r="AZ5">
        <f t="shared" si="1"/>
        <v>-9.9479667431603386E-2</v>
      </c>
      <c r="BA5">
        <f t="shared" si="1"/>
        <v>-4.7897560922895658E-3</v>
      </c>
      <c r="BB5">
        <f t="shared" si="1"/>
        <v>8.5180952529718593E-2</v>
      </c>
      <c r="BC5">
        <f t="shared" si="1"/>
        <v>5.4542224451733764E-3</v>
      </c>
      <c r="BD5">
        <f t="shared" si="1"/>
        <v>-2.5150507311855523E-2</v>
      </c>
      <c r="BE5">
        <f t="shared" si="1"/>
        <v>-0.2052513910207738</v>
      </c>
      <c r="BF5">
        <f t="shared" si="1"/>
        <v>-9.673520035725118E-2</v>
      </c>
      <c r="BG5">
        <f t="shared" si="1"/>
        <v>-6.5279513796832861E-2</v>
      </c>
      <c r="BH5">
        <f t="shared" si="1"/>
        <v>0.27453043819499984</v>
      </c>
      <c r="BI5">
        <f t="shared" si="1"/>
        <v>0.31093526822543655</v>
      </c>
      <c r="BJ5">
        <f t="shared" si="1"/>
        <v>0.38099720469853621</v>
      </c>
      <c r="BK5">
        <f t="shared" si="1"/>
        <v>0.37931574804306106</v>
      </c>
      <c r="BL5">
        <f t="shared" si="1"/>
        <v>0.12856286878828802</v>
      </c>
      <c r="BM5">
        <f t="shared" si="1"/>
        <v>2.1879298411816222E-2</v>
      </c>
      <c r="BN5">
        <f t="shared" si="1"/>
        <v>-1.7018360135204292E-2</v>
      </c>
      <c r="BO5">
        <f t="shared" si="1"/>
        <v>5.3049583679030683E-2</v>
      </c>
      <c r="BP5">
        <f t="shared" si="1"/>
        <v>-2.4111663718884901E-2</v>
      </c>
      <c r="BQ5">
        <f t="shared" si="1"/>
        <v>1.8553372772485612E-2</v>
      </c>
      <c r="BR5">
        <f t="shared" si="1"/>
        <v>0.20630871523351629</v>
      </c>
      <c r="BS5">
        <f t="shared" si="1"/>
        <v>-4.1716707454357828E-2</v>
      </c>
      <c r="BT5">
        <f t="shared" si="1"/>
        <v>6.1232397366133354E-2</v>
      </c>
      <c r="BU5">
        <f t="shared" si="1"/>
        <v>2.6081221464193859E-2</v>
      </c>
      <c r="BV5">
        <f t="shared" si="1"/>
        <v>2.2164436687755574E-2</v>
      </c>
      <c r="BW5">
        <f t="shared" si="1"/>
        <v>1.8534050581509327E-2</v>
      </c>
      <c r="BX5">
        <f t="shared" si="1"/>
        <v>6.5143690123602715E-2</v>
      </c>
      <c r="BY5">
        <f t="shared" si="1"/>
        <v>0.2190014237620016</v>
      </c>
      <c r="BZ5">
        <f t="shared" si="1"/>
        <v>-0.20697778690147914</v>
      </c>
      <c r="CA5">
        <f t="shared" si="1"/>
        <v>-0.27197483028376351</v>
      </c>
      <c r="CB5">
        <f t="shared" si="1"/>
        <v>-0.28252294047824988</v>
      </c>
      <c r="CC5">
        <f t="shared" si="1"/>
        <v>0.26649379403285378</v>
      </c>
      <c r="CD5">
        <f t="shared" si="1"/>
        <v>-1.6361375728069845E-2</v>
      </c>
      <c r="CE5">
        <f t="shared" si="1"/>
        <v>1.8968224999175783E-2</v>
      </c>
      <c r="CG5">
        <f t="shared" si="5"/>
        <v>0.99999999999999956</v>
      </c>
      <c r="CH5">
        <f t="shared" si="6"/>
        <v>0.99999999999999978</v>
      </c>
      <c r="CJ5">
        <f t="shared" si="7"/>
        <v>8.9776251740391902E-2</v>
      </c>
      <c r="CL5">
        <f>SUMPRODUCT(AS5:CE5,Dimorfismo!AS5:CE5)</f>
        <v>0.11745230737154765</v>
      </c>
      <c r="CM5">
        <f t="shared" si="8"/>
        <v>0.11745230737154765</v>
      </c>
      <c r="CN5">
        <f t="shared" si="9"/>
        <v>0.11799690881201222</v>
      </c>
    </row>
    <row r="6" spans="1:92" x14ac:dyDescent="0.25">
      <c r="A6" t="s">
        <v>7</v>
      </c>
      <c r="B6">
        <v>-2.9362200712533554E-2</v>
      </c>
      <c r="C6">
        <v>-7.0072307582740842E-2</v>
      </c>
      <c r="D6">
        <v>-0.16518181588019409</v>
      </c>
      <c r="E6">
        <v>-0.1347529013816888</v>
      </c>
      <c r="F6">
        <v>-9.886111458755463E-2</v>
      </c>
      <c r="G6">
        <v>-3.7178040073035733E-2</v>
      </c>
      <c r="H6">
        <v>-0.10895631776659655</v>
      </c>
      <c r="I6">
        <v>-9.9479667289281273E-2</v>
      </c>
      <c r="J6">
        <v>-4.7897560854370273E-3</v>
      </c>
      <c r="K6">
        <v>8.5180952407853158E-2</v>
      </c>
      <c r="L6">
        <v>5.4542224373702094E-3</v>
      </c>
      <c r="M6">
        <v>-2.5150507275873563E-2</v>
      </c>
      <c r="N6">
        <v>-0.20525139072712775</v>
      </c>
      <c r="O6">
        <v>-9.6735200218855483E-2</v>
      </c>
      <c r="P6">
        <v>-6.527951370343972E-2</v>
      </c>
      <c r="Q6">
        <v>0.27453043780223862</v>
      </c>
      <c r="R6">
        <v>0.31093526778059222</v>
      </c>
      <c r="S6">
        <v>0.38099720415345673</v>
      </c>
      <c r="T6">
        <v>0.37931574750038716</v>
      </c>
      <c r="U6">
        <v>0.12856286860435756</v>
      </c>
      <c r="V6">
        <v>2.1879298380514268E-2</v>
      </c>
      <c r="W6">
        <v>-1.7018360110856712E-2</v>
      </c>
      <c r="X6">
        <v>5.3049583603134484E-2</v>
      </c>
      <c r="Y6">
        <v>-2.4111663684389179E-2</v>
      </c>
      <c r="Z6">
        <v>1.8553372745941946E-2</v>
      </c>
      <c r="AA6">
        <v>0.20630871493835756</v>
      </c>
      <c r="AB6">
        <v>-4.171670739467518E-2</v>
      </c>
      <c r="AC6">
        <v>6.1232397278530283E-2</v>
      </c>
      <c r="AD6">
        <v>2.6081221426880359E-2</v>
      </c>
      <c r="AE6">
        <v>2.2164436656045682E-2</v>
      </c>
      <c r="AF6">
        <v>1.8534050554993301E-2</v>
      </c>
      <c r="AG6">
        <v>6.5143690030403892E-2</v>
      </c>
      <c r="AH6">
        <v>0.21900142344868384</v>
      </c>
      <c r="AI6">
        <v>-0.2069777866053632</v>
      </c>
      <c r="AJ6">
        <v>-0.27197482989465854</v>
      </c>
      <c r="AK6">
        <v>-0.2825229400740541</v>
      </c>
      <c r="AL6">
        <v>0.26649379365159032</v>
      </c>
      <c r="AM6">
        <v>-1.6361375704662191E-2</v>
      </c>
      <c r="AN6">
        <v>1.8968224972038601E-2</v>
      </c>
      <c r="AP6">
        <f t="shared" si="2"/>
        <v>0.99999999713866938</v>
      </c>
      <c r="AQ6">
        <f t="shared" si="3"/>
        <v>0.99999999856933464</v>
      </c>
      <c r="AS6">
        <f t="shared" si="4"/>
        <v>-2.9362200754541039E-2</v>
      </c>
      <c r="AT6">
        <f t="shared" si="1"/>
        <v>-7.0072307682990873E-2</v>
      </c>
      <c r="AU6">
        <f t="shared" si="1"/>
        <v>-0.165181816116514</v>
      </c>
      <c r="AV6">
        <f t="shared" si="1"/>
        <v>-0.13475290157447511</v>
      </c>
      <c r="AW6">
        <f t="shared" si="1"/>
        <v>-9.8861114728991797E-2</v>
      </c>
      <c r="AX6">
        <f t="shared" si="1"/>
        <v>-3.7178040126225068E-2</v>
      </c>
      <c r="AY6">
        <f t="shared" si="1"/>
        <v>-0.10895631792247658</v>
      </c>
      <c r="AZ6">
        <f t="shared" si="1"/>
        <v>-9.9479667431603386E-2</v>
      </c>
      <c r="BA6">
        <f t="shared" si="1"/>
        <v>-4.7897560922895658E-3</v>
      </c>
      <c r="BB6">
        <f t="shared" si="1"/>
        <v>8.5180952529718593E-2</v>
      </c>
      <c r="BC6">
        <f t="shared" si="1"/>
        <v>5.4542224451733764E-3</v>
      </c>
      <c r="BD6">
        <f t="shared" si="1"/>
        <v>-2.5150507311855523E-2</v>
      </c>
      <c r="BE6">
        <f t="shared" si="1"/>
        <v>-0.2052513910207738</v>
      </c>
      <c r="BF6">
        <f t="shared" si="1"/>
        <v>-9.673520035725118E-2</v>
      </c>
      <c r="BG6">
        <f t="shared" si="1"/>
        <v>-6.5279513796832861E-2</v>
      </c>
      <c r="BH6">
        <f t="shared" si="1"/>
        <v>0.27453043819499984</v>
      </c>
      <c r="BI6">
        <f t="shared" si="1"/>
        <v>0.31093526822543655</v>
      </c>
      <c r="BJ6">
        <f t="shared" si="1"/>
        <v>0.38099720469853621</v>
      </c>
      <c r="BK6">
        <f t="shared" si="1"/>
        <v>0.37931574804306106</v>
      </c>
      <c r="BL6">
        <f t="shared" si="1"/>
        <v>0.12856286878828802</v>
      </c>
      <c r="BM6">
        <f t="shared" si="1"/>
        <v>2.1879298411816222E-2</v>
      </c>
      <c r="BN6">
        <f t="shared" si="1"/>
        <v>-1.7018360135204292E-2</v>
      </c>
      <c r="BO6">
        <f t="shared" si="1"/>
        <v>5.3049583679030683E-2</v>
      </c>
      <c r="BP6">
        <f t="shared" si="1"/>
        <v>-2.4111663718884901E-2</v>
      </c>
      <c r="BQ6">
        <f t="shared" si="1"/>
        <v>1.8553372772485612E-2</v>
      </c>
      <c r="BR6">
        <f t="shared" si="1"/>
        <v>0.20630871523351629</v>
      </c>
      <c r="BS6">
        <f t="shared" si="1"/>
        <v>-4.1716707454357828E-2</v>
      </c>
      <c r="BT6">
        <f t="shared" si="1"/>
        <v>6.1232397366133354E-2</v>
      </c>
      <c r="BU6">
        <f t="shared" si="1"/>
        <v>2.6081221464193859E-2</v>
      </c>
      <c r="BV6">
        <f t="shared" si="1"/>
        <v>2.2164436687755574E-2</v>
      </c>
      <c r="BW6">
        <f t="shared" si="1"/>
        <v>1.8534050581509327E-2</v>
      </c>
      <c r="BX6">
        <f t="shared" si="1"/>
        <v>6.5143690123602715E-2</v>
      </c>
      <c r="BY6">
        <f t="shared" si="1"/>
        <v>0.2190014237620016</v>
      </c>
      <c r="BZ6">
        <f t="shared" si="1"/>
        <v>-0.20697778690147914</v>
      </c>
      <c r="CA6">
        <f t="shared" si="1"/>
        <v>-0.27197483028376351</v>
      </c>
      <c r="CB6">
        <f t="shared" si="1"/>
        <v>-0.28252294047824988</v>
      </c>
      <c r="CC6">
        <f t="shared" si="1"/>
        <v>0.26649379403285378</v>
      </c>
      <c r="CD6">
        <f t="shared" si="1"/>
        <v>-1.6361375728069845E-2</v>
      </c>
      <c r="CE6">
        <f t="shared" si="1"/>
        <v>1.8968224999175783E-2</v>
      </c>
      <c r="CG6">
        <f t="shared" si="5"/>
        <v>0.99999999999999956</v>
      </c>
      <c r="CH6">
        <f t="shared" si="6"/>
        <v>0.99999999999999978</v>
      </c>
      <c r="CJ6">
        <f t="shared" si="7"/>
        <v>8.9776251740391902E-2</v>
      </c>
      <c r="CL6">
        <f>SUMPRODUCT(AS6:CE6,Dimorfismo!AS6:CE6)</f>
        <v>-2.2579832281099711E-2</v>
      </c>
      <c r="CM6">
        <f t="shared" si="8"/>
        <v>2.2579832281099711E-2</v>
      </c>
      <c r="CN6">
        <f t="shared" si="9"/>
        <v>2.2583670889092737E-2</v>
      </c>
    </row>
    <row r="7" spans="1:92" x14ac:dyDescent="0.25">
      <c r="A7" t="s">
        <v>8</v>
      </c>
      <c r="B7">
        <v>-2.9362200712533554E-2</v>
      </c>
      <c r="C7">
        <v>-7.0072307582740842E-2</v>
      </c>
      <c r="D7">
        <v>-0.16518181588019409</v>
      </c>
      <c r="E7">
        <v>-0.1347529013816888</v>
      </c>
      <c r="F7">
        <v>-9.886111458755463E-2</v>
      </c>
      <c r="G7">
        <v>-3.7178040073035733E-2</v>
      </c>
      <c r="H7">
        <v>-0.10895631776659655</v>
      </c>
      <c r="I7">
        <v>-9.9479667289281273E-2</v>
      </c>
      <c r="J7">
        <v>-4.7897560854370273E-3</v>
      </c>
      <c r="K7">
        <v>8.5180952407853158E-2</v>
      </c>
      <c r="L7">
        <v>5.4542224373702094E-3</v>
      </c>
      <c r="M7">
        <v>-2.5150507275873563E-2</v>
      </c>
      <c r="N7">
        <v>-0.20525139072712775</v>
      </c>
      <c r="O7">
        <v>-9.6735200218855483E-2</v>
      </c>
      <c r="P7">
        <v>-6.527951370343972E-2</v>
      </c>
      <c r="Q7">
        <v>0.27453043780223862</v>
      </c>
      <c r="R7">
        <v>0.31093526778059222</v>
      </c>
      <c r="S7">
        <v>0.38099720415345673</v>
      </c>
      <c r="T7">
        <v>0.37931574750038716</v>
      </c>
      <c r="U7">
        <v>0.12856286860435756</v>
      </c>
      <c r="V7">
        <v>2.1879298380514268E-2</v>
      </c>
      <c r="W7">
        <v>-1.7018360110856712E-2</v>
      </c>
      <c r="X7">
        <v>5.3049583603134484E-2</v>
      </c>
      <c r="Y7">
        <v>-2.4111663684389179E-2</v>
      </c>
      <c r="Z7">
        <v>1.8553372745941946E-2</v>
      </c>
      <c r="AA7">
        <v>0.20630871493835756</v>
      </c>
      <c r="AB7">
        <v>-4.171670739467518E-2</v>
      </c>
      <c r="AC7">
        <v>6.1232397278530283E-2</v>
      </c>
      <c r="AD7">
        <v>2.6081221426880359E-2</v>
      </c>
      <c r="AE7">
        <v>2.2164436656045682E-2</v>
      </c>
      <c r="AF7">
        <v>1.8534050554993301E-2</v>
      </c>
      <c r="AG7">
        <v>6.5143690030403892E-2</v>
      </c>
      <c r="AH7">
        <v>0.21900142344868384</v>
      </c>
      <c r="AI7">
        <v>-0.2069777866053632</v>
      </c>
      <c r="AJ7">
        <v>-0.27197482989465854</v>
      </c>
      <c r="AK7">
        <v>-0.2825229400740541</v>
      </c>
      <c r="AL7">
        <v>0.26649379365159032</v>
      </c>
      <c r="AM7">
        <v>-1.6361375704662191E-2</v>
      </c>
      <c r="AN7">
        <v>1.8968224972038601E-2</v>
      </c>
      <c r="AP7">
        <f t="shared" si="2"/>
        <v>0.99999999713866938</v>
      </c>
      <c r="AQ7">
        <f t="shared" si="3"/>
        <v>0.99999999856933464</v>
      </c>
      <c r="AS7">
        <f t="shared" si="4"/>
        <v>-2.9362200754541039E-2</v>
      </c>
      <c r="AT7">
        <f t="shared" si="1"/>
        <v>-7.0072307682990873E-2</v>
      </c>
      <c r="AU7">
        <f t="shared" si="1"/>
        <v>-0.165181816116514</v>
      </c>
      <c r="AV7">
        <f t="shared" si="1"/>
        <v>-0.13475290157447511</v>
      </c>
      <c r="AW7">
        <f t="shared" si="1"/>
        <v>-9.8861114728991797E-2</v>
      </c>
      <c r="AX7">
        <f t="shared" si="1"/>
        <v>-3.7178040126225068E-2</v>
      </c>
      <c r="AY7">
        <f t="shared" si="1"/>
        <v>-0.10895631792247658</v>
      </c>
      <c r="AZ7">
        <f t="shared" si="1"/>
        <v>-9.9479667431603386E-2</v>
      </c>
      <c r="BA7">
        <f t="shared" si="1"/>
        <v>-4.7897560922895658E-3</v>
      </c>
      <c r="BB7">
        <f t="shared" si="1"/>
        <v>8.5180952529718593E-2</v>
      </c>
      <c r="BC7">
        <f t="shared" si="1"/>
        <v>5.4542224451733764E-3</v>
      </c>
      <c r="BD7">
        <f t="shared" si="1"/>
        <v>-2.5150507311855523E-2</v>
      </c>
      <c r="BE7">
        <f t="shared" si="1"/>
        <v>-0.2052513910207738</v>
      </c>
      <c r="BF7">
        <f t="shared" si="1"/>
        <v>-9.673520035725118E-2</v>
      </c>
      <c r="BG7">
        <f t="shared" si="1"/>
        <v>-6.5279513796832861E-2</v>
      </c>
      <c r="BH7">
        <f t="shared" si="1"/>
        <v>0.27453043819499984</v>
      </c>
      <c r="BI7">
        <f t="shared" si="1"/>
        <v>0.31093526822543655</v>
      </c>
      <c r="BJ7">
        <f t="shared" si="1"/>
        <v>0.38099720469853621</v>
      </c>
      <c r="BK7">
        <f t="shared" si="1"/>
        <v>0.37931574804306106</v>
      </c>
      <c r="BL7">
        <f t="shared" si="1"/>
        <v>0.12856286878828802</v>
      </c>
      <c r="BM7">
        <f t="shared" si="1"/>
        <v>2.1879298411816222E-2</v>
      </c>
      <c r="BN7">
        <f t="shared" si="1"/>
        <v>-1.7018360135204292E-2</v>
      </c>
      <c r="BO7">
        <f t="shared" si="1"/>
        <v>5.3049583679030683E-2</v>
      </c>
      <c r="BP7">
        <f t="shared" si="1"/>
        <v>-2.4111663718884901E-2</v>
      </c>
      <c r="BQ7">
        <f t="shared" si="1"/>
        <v>1.8553372772485612E-2</v>
      </c>
      <c r="BR7">
        <f t="shared" si="1"/>
        <v>0.20630871523351629</v>
      </c>
      <c r="BS7">
        <f t="shared" si="1"/>
        <v>-4.1716707454357828E-2</v>
      </c>
      <c r="BT7">
        <f t="shared" si="1"/>
        <v>6.1232397366133354E-2</v>
      </c>
      <c r="BU7">
        <f t="shared" si="1"/>
        <v>2.6081221464193859E-2</v>
      </c>
      <c r="BV7">
        <f t="shared" si="1"/>
        <v>2.2164436687755574E-2</v>
      </c>
      <c r="BW7">
        <f t="shared" si="1"/>
        <v>1.8534050581509327E-2</v>
      </c>
      <c r="BX7">
        <f t="shared" si="1"/>
        <v>6.5143690123602715E-2</v>
      </c>
      <c r="BY7">
        <f t="shared" si="1"/>
        <v>0.2190014237620016</v>
      </c>
      <c r="BZ7">
        <f t="shared" si="1"/>
        <v>-0.20697778690147914</v>
      </c>
      <c r="CA7">
        <f t="shared" si="1"/>
        <v>-0.27197483028376351</v>
      </c>
      <c r="CB7">
        <f t="shared" si="1"/>
        <v>-0.28252294047824988</v>
      </c>
      <c r="CC7">
        <f t="shared" si="1"/>
        <v>0.26649379403285378</v>
      </c>
      <c r="CD7">
        <f t="shared" si="1"/>
        <v>-1.6361375728069845E-2</v>
      </c>
      <c r="CE7">
        <f t="shared" si="1"/>
        <v>1.8968224999175783E-2</v>
      </c>
      <c r="CG7">
        <f t="shared" si="5"/>
        <v>0.99999999999999956</v>
      </c>
      <c r="CH7">
        <f t="shared" si="6"/>
        <v>0.99999999999999978</v>
      </c>
      <c r="CJ7">
        <f t="shared" si="7"/>
        <v>8.9776251740391902E-2</v>
      </c>
      <c r="CL7">
        <f>SUMPRODUCT(AS7:CE7,Dimorfismo!AS7:CE7)</f>
        <v>8.1076245948822651E-2</v>
      </c>
      <c r="CM7">
        <f t="shared" si="8"/>
        <v>8.1076245948822651E-2</v>
      </c>
      <c r="CN7">
        <f t="shared" si="9"/>
        <v>8.1254597621350885E-2</v>
      </c>
    </row>
    <row r="8" spans="1:92" x14ac:dyDescent="0.25">
      <c r="A8" t="s">
        <v>9</v>
      </c>
      <c r="B8">
        <v>-2.9362200712533554E-2</v>
      </c>
      <c r="C8">
        <v>-7.0072307582740842E-2</v>
      </c>
      <c r="D8">
        <v>-0.16518181588019409</v>
      </c>
      <c r="E8">
        <v>-0.1347529013816888</v>
      </c>
      <c r="F8">
        <v>-9.886111458755463E-2</v>
      </c>
      <c r="G8">
        <v>-3.7178040073035733E-2</v>
      </c>
      <c r="H8">
        <v>-0.10895631776659655</v>
      </c>
      <c r="I8">
        <v>-9.9479667289281273E-2</v>
      </c>
      <c r="J8">
        <v>-4.7897560854370273E-3</v>
      </c>
      <c r="K8">
        <v>8.5180952407853158E-2</v>
      </c>
      <c r="L8">
        <v>5.4542224373702094E-3</v>
      </c>
      <c r="M8">
        <v>-2.5150507275873563E-2</v>
      </c>
      <c r="N8">
        <v>-0.20525139072712775</v>
      </c>
      <c r="O8">
        <v>-9.6735200218855483E-2</v>
      </c>
      <c r="P8">
        <v>-6.527951370343972E-2</v>
      </c>
      <c r="Q8">
        <v>0.27453043780223862</v>
      </c>
      <c r="R8">
        <v>0.31093526778059222</v>
      </c>
      <c r="S8">
        <v>0.38099720415345673</v>
      </c>
      <c r="T8">
        <v>0.37931574750038716</v>
      </c>
      <c r="U8">
        <v>0.12856286860435756</v>
      </c>
      <c r="V8">
        <v>2.1879298380514268E-2</v>
      </c>
      <c r="W8">
        <v>-1.7018360110856712E-2</v>
      </c>
      <c r="X8">
        <v>5.3049583603134484E-2</v>
      </c>
      <c r="Y8">
        <v>-2.4111663684389179E-2</v>
      </c>
      <c r="Z8">
        <v>1.8553372745941946E-2</v>
      </c>
      <c r="AA8">
        <v>0.20630871493835756</v>
      </c>
      <c r="AB8">
        <v>-4.171670739467518E-2</v>
      </c>
      <c r="AC8">
        <v>6.1232397278530283E-2</v>
      </c>
      <c r="AD8">
        <v>2.6081221426880359E-2</v>
      </c>
      <c r="AE8">
        <v>2.2164436656045682E-2</v>
      </c>
      <c r="AF8">
        <v>1.8534050554993301E-2</v>
      </c>
      <c r="AG8">
        <v>6.5143690030403892E-2</v>
      </c>
      <c r="AH8">
        <v>0.21900142344868384</v>
      </c>
      <c r="AI8">
        <v>-0.2069777866053632</v>
      </c>
      <c r="AJ8">
        <v>-0.27197482989465854</v>
      </c>
      <c r="AK8">
        <v>-0.2825229400740541</v>
      </c>
      <c r="AL8">
        <v>0.26649379365159032</v>
      </c>
      <c r="AM8">
        <v>-1.6361375704662191E-2</v>
      </c>
      <c r="AN8">
        <v>1.8968224972038601E-2</v>
      </c>
      <c r="AP8">
        <f t="shared" si="2"/>
        <v>0.99999999713866938</v>
      </c>
      <c r="AQ8">
        <f t="shared" si="3"/>
        <v>0.99999999856933464</v>
      </c>
      <c r="AS8">
        <f t="shared" si="4"/>
        <v>-2.9362200754541039E-2</v>
      </c>
      <c r="AT8">
        <f t="shared" si="1"/>
        <v>-7.0072307682990873E-2</v>
      </c>
      <c r="AU8">
        <f t="shared" si="1"/>
        <v>-0.165181816116514</v>
      </c>
      <c r="AV8">
        <f t="shared" si="1"/>
        <v>-0.13475290157447511</v>
      </c>
      <c r="AW8">
        <f t="shared" si="1"/>
        <v>-9.8861114728991797E-2</v>
      </c>
      <c r="AX8">
        <f t="shared" si="1"/>
        <v>-3.7178040126225068E-2</v>
      </c>
      <c r="AY8">
        <f t="shared" si="1"/>
        <v>-0.10895631792247658</v>
      </c>
      <c r="AZ8">
        <f t="shared" si="1"/>
        <v>-9.9479667431603386E-2</v>
      </c>
      <c r="BA8">
        <f t="shared" si="1"/>
        <v>-4.7897560922895658E-3</v>
      </c>
      <c r="BB8">
        <f t="shared" si="1"/>
        <v>8.5180952529718593E-2</v>
      </c>
      <c r="BC8">
        <f t="shared" si="1"/>
        <v>5.4542224451733764E-3</v>
      </c>
      <c r="BD8">
        <f t="shared" si="1"/>
        <v>-2.5150507311855523E-2</v>
      </c>
      <c r="BE8">
        <f t="shared" si="1"/>
        <v>-0.2052513910207738</v>
      </c>
      <c r="BF8">
        <f t="shared" si="1"/>
        <v>-9.673520035725118E-2</v>
      </c>
      <c r="BG8">
        <f t="shared" si="1"/>
        <v>-6.5279513796832861E-2</v>
      </c>
      <c r="BH8">
        <f t="shared" si="1"/>
        <v>0.27453043819499984</v>
      </c>
      <c r="BI8">
        <f t="shared" si="1"/>
        <v>0.31093526822543655</v>
      </c>
      <c r="BJ8">
        <f t="shared" si="1"/>
        <v>0.38099720469853621</v>
      </c>
      <c r="BK8">
        <f t="shared" si="1"/>
        <v>0.37931574804306106</v>
      </c>
      <c r="BL8">
        <f t="shared" si="1"/>
        <v>0.12856286878828802</v>
      </c>
      <c r="BM8">
        <f t="shared" si="1"/>
        <v>2.1879298411816222E-2</v>
      </c>
      <c r="BN8">
        <f t="shared" si="1"/>
        <v>-1.7018360135204292E-2</v>
      </c>
      <c r="BO8">
        <f t="shared" si="1"/>
        <v>5.3049583679030683E-2</v>
      </c>
      <c r="BP8">
        <f t="shared" si="1"/>
        <v>-2.4111663718884901E-2</v>
      </c>
      <c r="BQ8">
        <f t="shared" si="1"/>
        <v>1.8553372772485612E-2</v>
      </c>
      <c r="BR8">
        <f t="shared" si="1"/>
        <v>0.20630871523351629</v>
      </c>
      <c r="BS8">
        <f t="shared" si="1"/>
        <v>-4.1716707454357828E-2</v>
      </c>
      <c r="BT8">
        <f t="shared" si="1"/>
        <v>6.1232397366133354E-2</v>
      </c>
      <c r="BU8">
        <f t="shared" ref="BU8:CE31" si="10">AD8/$AQ8</f>
        <v>2.6081221464193859E-2</v>
      </c>
      <c r="BV8">
        <f t="shared" si="10"/>
        <v>2.2164436687755574E-2</v>
      </c>
      <c r="BW8">
        <f t="shared" si="10"/>
        <v>1.8534050581509327E-2</v>
      </c>
      <c r="BX8">
        <f t="shared" si="10"/>
        <v>6.5143690123602715E-2</v>
      </c>
      <c r="BY8">
        <f t="shared" si="10"/>
        <v>0.2190014237620016</v>
      </c>
      <c r="BZ8">
        <f t="shared" si="10"/>
        <v>-0.20697778690147914</v>
      </c>
      <c r="CA8">
        <f t="shared" si="10"/>
        <v>-0.27197483028376351</v>
      </c>
      <c r="CB8">
        <f t="shared" si="10"/>
        <v>-0.28252294047824988</v>
      </c>
      <c r="CC8">
        <f t="shared" si="10"/>
        <v>0.26649379403285378</v>
      </c>
      <c r="CD8">
        <f t="shared" si="10"/>
        <v>-1.6361375728069845E-2</v>
      </c>
      <c r="CE8">
        <f t="shared" si="10"/>
        <v>1.8968224999175783E-2</v>
      </c>
      <c r="CG8">
        <f t="shared" si="5"/>
        <v>0.99999999999999956</v>
      </c>
      <c r="CH8">
        <f t="shared" si="6"/>
        <v>0.99999999999999978</v>
      </c>
      <c r="CJ8">
        <f t="shared" si="7"/>
        <v>8.9776251740391902E-2</v>
      </c>
      <c r="CL8">
        <f>SUMPRODUCT(AS8:CE8,Dimorfismo!AS8:CE8)</f>
        <v>0.10656589866221215</v>
      </c>
      <c r="CM8">
        <f t="shared" si="8"/>
        <v>0.10656589866221215</v>
      </c>
      <c r="CN8">
        <f t="shared" si="9"/>
        <v>0.10697206759528938</v>
      </c>
    </row>
    <row r="9" spans="1:92" x14ac:dyDescent="0.25">
      <c r="A9" t="s">
        <v>10</v>
      </c>
      <c r="B9">
        <v>-2.9362200712533554E-2</v>
      </c>
      <c r="C9">
        <v>-7.0072307582740842E-2</v>
      </c>
      <c r="D9">
        <v>-0.16518181588019409</v>
      </c>
      <c r="E9">
        <v>-0.1347529013816888</v>
      </c>
      <c r="F9">
        <v>-9.886111458755463E-2</v>
      </c>
      <c r="G9">
        <v>-3.7178040073035733E-2</v>
      </c>
      <c r="H9">
        <v>-0.10895631776659655</v>
      </c>
      <c r="I9">
        <v>-9.9479667289281273E-2</v>
      </c>
      <c r="J9">
        <v>-4.7897560854370273E-3</v>
      </c>
      <c r="K9">
        <v>8.5180952407853158E-2</v>
      </c>
      <c r="L9">
        <v>5.4542224373702094E-3</v>
      </c>
      <c r="M9">
        <v>-2.5150507275873563E-2</v>
      </c>
      <c r="N9">
        <v>-0.20525139072712775</v>
      </c>
      <c r="O9">
        <v>-9.6735200218855483E-2</v>
      </c>
      <c r="P9">
        <v>-6.527951370343972E-2</v>
      </c>
      <c r="Q9">
        <v>0.27453043780223862</v>
      </c>
      <c r="R9">
        <v>0.31093526778059222</v>
      </c>
      <c r="S9">
        <v>0.38099720415345673</v>
      </c>
      <c r="T9">
        <v>0.37931574750038716</v>
      </c>
      <c r="U9">
        <v>0.12856286860435756</v>
      </c>
      <c r="V9">
        <v>2.1879298380514268E-2</v>
      </c>
      <c r="W9">
        <v>-1.7018360110856712E-2</v>
      </c>
      <c r="X9">
        <v>5.3049583603134484E-2</v>
      </c>
      <c r="Y9">
        <v>-2.4111663684389179E-2</v>
      </c>
      <c r="Z9">
        <v>1.8553372745941946E-2</v>
      </c>
      <c r="AA9">
        <v>0.20630871493835756</v>
      </c>
      <c r="AB9">
        <v>-4.171670739467518E-2</v>
      </c>
      <c r="AC9">
        <v>6.1232397278530283E-2</v>
      </c>
      <c r="AD9">
        <v>2.6081221426880359E-2</v>
      </c>
      <c r="AE9">
        <v>2.2164436656045682E-2</v>
      </c>
      <c r="AF9">
        <v>1.8534050554993301E-2</v>
      </c>
      <c r="AG9">
        <v>6.5143690030403892E-2</v>
      </c>
      <c r="AH9">
        <v>0.21900142344868384</v>
      </c>
      <c r="AI9">
        <v>-0.2069777866053632</v>
      </c>
      <c r="AJ9">
        <v>-0.27197482989465854</v>
      </c>
      <c r="AK9">
        <v>-0.2825229400740541</v>
      </c>
      <c r="AL9">
        <v>0.26649379365159032</v>
      </c>
      <c r="AM9">
        <v>-1.6361375704662191E-2</v>
      </c>
      <c r="AN9">
        <v>1.8968224972038601E-2</v>
      </c>
      <c r="AP9">
        <f t="shared" si="2"/>
        <v>0.99999999713866938</v>
      </c>
      <c r="AQ9">
        <f t="shared" si="3"/>
        <v>0.99999999856933464</v>
      </c>
      <c r="AS9">
        <f t="shared" si="4"/>
        <v>-2.9362200754541039E-2</v>
      </c>
      <c r="AT9">
        <f t="shared" si="4"/>
        <v>-7.0072307682990873E-2</v>
      </c>
      <c r="AU9">
        <f t="shared" si="4"/>
        <v>-0.165181816116514</v>
      </c>
      <c r="AV9">
        <f t="shared" si="4"/>
        <v>-0.13475290157447511</v>
      </c>
      <c r="AW9">
        <f t="shared" si="4"/>
        <v>-9.8861114728991797E-2</v>
      </c>
      <c r="AX9">
        <f t="shared" si="4"/>
        <v>-3.7178040126225068E-2</v>
      </c>
      <c r="AY9">
        <f t="shared" si="4"/>
        <v>-0.10895631792247658</v>
      </c>
      <c r="AZ9">
        <f t="shared" si="4"/>
        <v>-9.9479667431603386E-2</v>
      </c>
      <c r="BA9">
        <f t="shared" si="4"/>
        <v>-4.7897560922895658E-3</v>
      </c>
      <c r="BB9">
        <f t="shared" si="4"/>
        <v>8.5180952529718593E-2</v>
      </c>
      <c r="BC9">
        <f t="shared" si="4"/>
        <v>5.4542224451733764E-3</v>
      </c>
      <c r="BD9">
        <f t="shared" si="4"/>
        <v>-2.5150507311855523E-2</v>
      </c>
      <c r="BE9">
        <f t="shared" si="4"/>
        <v>-0.2052513910207738</v>
      </c>
      <c r="BF9">
        <f t="shared" si="4"/>
        <v>-9.673520035725118E-2</v>
      </c>
      <c r="BG9">
        <f t="shared" si="4"/>
        <v>-6.5279513796832861E-2</v>
      </c>
      <c r="BH9">
        <f t="shared" si="4"/>
        <v>0.27453043819499984</v>
      </c>
      <c r="BI9">
        <f t="shared" ref="BI9:BT30" si="11">R9/$AQ9</f>
        <v>0.31093526822543655</v>
      </c>
      <c r="BJ9">
        <f t="shared" si="11"/>
        <v>0.38099720469853621</v>
      </c>
      <c r="BK9">
        <f t="shared" si="11"/>
        <v>0.37931574804306106</v>
      </c>
      <c r="BL9">
        <f t="shared" si="11"/>
        <v>0.12856286878828802</v>
      </c>
      <c r="BM9">
        <f t="shared" si="11"/>
        <v>2.1879298411816222E-2</v>
      </c>
      <c r="BN9">
        <f t="shared" si="11"/>
        <v>-1.7018360135204292E-2</v>
      </c>
      <c r="BO9">
        <f t="shared" si="11"/>
        <v>5.3049583679030683E-2</v>
      </c>
      <c r="BP9">
        <f t="shared" si="11"/>
        <v>-2.4111663718884901E-2</v>
      </c>
      <c r="BQ9">
        <f t="shared" si="11"/>
        <v>1.8553372772485612E-2</v>
      </c>
      <c r="BR9">
        <f t="shared" si="11"/>
        <v>0.20630871523351629</v>
      </c>
      <c r="BS9">
        <f t="shared" si="11"/>
        <v>-4.1716707454357828E-2</v>
      </c>
      <c r="BT9">
        <f t="shared" si="11"/>
        <v>6.1232397366133354E-2</v>
      </c>
      <c r="BU9">
        <f t="shared" si="10"/>
        <v>2.6081221464193859E-2</v>
      </c>
      <c r="BV9">
        <f t="shared" si="10"/>
        <v>2.2164436687755574E-2</v>
      </c>
      <c r="BW9">
        <f t="shared" si="10"/>
        <v>1.8534050581509327E-2</v>
      </c>
      <c r="BX9">
        <f t="shared" si="10"/>
        <v>6.5143690123602715E-2</v>
      </c>
      <c r="BY9">
        <f t="shared" si="10"/>
        <v>0.2190014237620016</v>
      </c>
      <c r="BZ9">
        <f t="shared" si="10"/>
        <v>-0.20697778690147914</v>
      </c>
      <c r="CA9">
        <f t="shared" si="10"/>
        <v>-0.27197483028376351</v>
      </c>
      <c r="CB9">
        <f t="shared" si="10"/>
        <v>-0.28252294047824988</v>
      </c>
      <c r="CC9">
        <f t="shared" si="10"/>
        <v>0.26649379403285378</v>
      </c>
      <c r="CD9">
        <f t="shared" si="10"/>
        <v>-1.6361375728069845E-2</v>
      </c>
      <c r="CE9">
        <f t="shared" si="10"/>
        <v>1.8968224999175783E-2</v>
      </c>
      <c r="CG9">
        <f t="shared" si="5"/>
        <v>0.99999999999999956</v>
      </c>
      <c r="CH9">
        <f t="shared" si="6"/>
        <v>0.99999999999999978</v>
      </c>
      <c r="CJ9">
        <f t="shared" si="7"/>
        <v>8.9776251740391902E-2</v>
      </c>
      <c r="CL9">
        <f>SUMPRODUCT(AS9:CE9,Dimorfismo!AS9:CE9)</f>
        <v>4.881810937409585E-2</v>
      </c>
      <c r="CM9">
        <f t="shared" si="8"/>
        <v>4.881810937409585E-2</v>
      </c>
      <c r="CN9">
        <f t="shared" si="9"/>
        <v>4.8856946155973177E-2</v>
      </c>
    </row>
    <row r="10" spans="1:92" x14ac:dyDescent="0.25">
      <c r="A10" t="s">
        <v>11</v>
      </c>
      <c r="B10">
        <v>-2.9362200712533554E-2</v>
      </c>
      <c r="C10">
        <v>-7.0072307582740842E-2</v>
      </c>
      <c r="D10">
        <v>-0.16518181588019409</v>
      </c>
      <c r="E10">
        <v>-0.1347529013816888</v>
      </c>
      <c r="F10">
        <v>-9.886111458755463E-2</v>
      </c>
      <c r="G10">
        <v>-3.7178040073035733E-2</v>
      </c>
      <c r="H10">
        <v>-0.10895631776659655</v>
      </c>
      <c r="I10">
        <v>-9.9479667289281273E-2</v>
      </c>
      <c r="J10">
        <v>-4.7897560854370273E-3</v>
      </c>
      <c r="K10">
        <v>8.5180952407853158E-2</v>
      </c>
      <c r="L10">
        <v>5.4542224373702094E-3</v>
      </c>
      <c r="M10">
        <v>-2.5150507275873563E-2</v>
      </c>
      <c r="N10">
        <v>-0.20525139072712775</v>
      </c>
      <c r="O10">
        <v>-9.6735200218855483E-2</v>
      </c>
      <c r="P10">
        <v>-6.527951370343972E-2</v>
      </c>
      <c r="Q10">
        <v>0.27453043780223862</v>
      </c>
      <c r="R10">
        <v>0.31093526778059222</v>
      </c>
      <c r="S10">
        <v>0.38099720415345673</v>
      </c>
      <c r="T10">
        <v>0.37931574750038716</v>
      </c>
      <c r="U10">
        <v>0.12856286860435756</v>
      </c>
      <c r="V10">
        <v>2.1879298380514268E-2</v>
      </c>
      <c r="W10">
        <v>-1.7018360110856712E-2</v>
      </c>
      <c r="X10">
        <v>5.3049583603134484E-2</v>
      </c>
      <c r="Y10">
        <v>-2.4111663684389179E-2</v>
      </c>
      <c r="Z10">
        <v>1.8553372745941946E-2</v>
      </c>
      <c r="AA10">
        <v>0.20630871493835756</v>
      </c>
      <c r="AB10">
        <v>-4.171670739467518E-2</v>
      </c>
      <c r="AC10">
        <v>6.1232397278530283E-2</v>
      </c>
      <c r="AD10">
        <v>2.6081221426880359E-2</v>
      </c>
      <c r="AE10">
        <v>2.2164436656045682E-2</v>
      </c>
      <c r="AF10">
        <v>1.8534050554993301E-2</v>
      </c>
      <c r="AG10">
        <v>6.5143690030403892E-2</v>
      </c>
      <c r="AH10">
        <v>0.21900142344868384</v>
      </c>
      <c r="AI10">
        <v>-0.2069777866053632</v>
      </c>
      <c r="AJ10">
        <v>-0.27197482989465854</v>
      </c>
      <c r="AK10">
        <v>-0.2825229400740541</v>
      </c>
      <c r="AL10">
        <v>0.26649379365159032</v>
      </c>
      <c r="AM10">
        <v>-1.6361375704662191E-2</v>
      </c>
      <c r="AN10">
        <v>1.8968224972038601E-2</v>
      </c>
      <c r="AP10">
        <f t="shared" si="2"/>
        <v>0.99999999713866938</v>
      </c>
      <c r="AQ10">
        <f t="shared" si="3"/>
        <v>0.99999999856933464</v>
      </c>
      <c r="AS10">
        <f t="shared" si="4"/>
        <v>-2.9362200754541039E-2</v>
      </c>
      <c r="AT10">
        <f t="shared" si="4"/>
        <v>-7.0072307682990873E-2</v>
      </c>
      <c r="AU10">
        <f t="shared" si="4"/>
        <v>-0.165181816116514</v>
      </c>
      <c r="AV10">
        <f t="shared" si="4"/>
        <v>-0.13475290157447511</v>
      </c>
      <c r="AW10">
        <f t="shared" si="4"/>
        <v>-9.8861114728991797E-2</v>
      </c>
      <c r="AX10">
        <f t="shared" si="4"/>
        <v>-3.7178040126225068E-2</v>
      </c>
      <c r="AY10">
        <f t="shared" si="4"/>
        <v>-0.10895631792247658</v>
      </c>
      <c r="AZ10">
        <f t="shared" si="4"/>
        <v>-9.9479667431603386E-2</v>
      </c>
      <c r="BA10">
        <f t="shared" si="4"/>
        <v>-4.7897560922895658E-3</v>
      </c>
      <c r="BB10">
        <f t="shared" si="4"/>
        <v>8.5180952529718593E-2</v>
      </c>
      <c r="BC10">
        <f t="shared" si="4"/>
        <v>5.4542224451733764E-3</v>
      </c>
      <c r="BD10">
        <f t="shared" si="4"/>
        <v>-2.5150507311855523E-2</v>
      </c>
      <c r="BE10">
        <f t="shared" si="4"/>
        <v>-0.2052513910207738</v>
      </c>
      <c r="BF10">
        <f t="shared" si="4"/>
        <v>-9.673520035725118E-2</v>
      </c>
      <c r="BG10">
        <f t="shared" si="4"/>
        <v>-6.5279513796832861E-2</v>
      </c>
      <c r="BH10">
        <f t="shared" si="4"/>
        <v>0.27453043819499984</v>
      </c>
      <c r="BI10">
        <f t="shared" si="11"/>
        <v>0.31093526822543655</v>
      </c>
      <c r="BJ10">
        <f t="shared" si="11"/>
        <v>0.38099720469853621</v>
      </c>
      <c r="BK10">
        <f t="shared" si="11"/>
        <v>0.37931574804306106</v>
      </c>
      <c r="BL10">
        <f t="shared" si="11"/>
        <v>0.12856286878828802</v>
      </c>
      <c r="BM10">
        <f t="shared" si="11"/>
        <v>2.1879298411816222E-2</v>
      </c>
      <c r="BN10">
        <f t="shared" si="11"/>
        <v>-1.7018360135204292E-2</v>
      </c>
      <c r="BO10">
        <f t="shared" si="11"/>
        <v>5.3049583679030683E-2</v>
      </c>
      <c r="BP10">
        <f t="shared" si="11"/>
        <v>-2.4111663718884901E-2</v>
      </c>
      <c r="BQ10">
        <f t="shared" si="11"/>
        <v>1.8553372772485612E-2</v>
      </c>
      <c r="BR10">
        <f t="shared" si="11"/>
        <v>0.20630871523351629</v>
      </c>
      <c r="BS10">
        <f t="shared" si="11"/>
        <v>-4.1716707454357828E-2</v>
      </c>
      <c r="BT10">
        <f t="shared" si="11"/>
        <v>6.1232397366133354E-2</v>
      </c>
      <c r="BU10">
        <f t="shared" si="10"/>
        <v>2.6081221464193859E-2</v>
      </c>
      <c r="BV10">
        <f t="shared" si="10"/>
        <v>2.2164436687755574E-2</v>
      </c>
      <c r="BW10">
        <f t="shared" si="10"/>
        <v>1.8534050581509327E-2</v>
      </c>
      <c r="BX10">
        <f t="shared" si="10"/>
        <v>6.5143690123602715E-2</v>
      </c>
      <c r="BY10">
        <f t="shared" si="10"/>
        <v>0.2190014237620016</v>
      </c>
      <c r="BZ10">
        <f t="shared" si="10"/>
        <v>-0.20697778690147914</v>
      </c>
      <c r="CA10">
        <f t="shared" si="10"/>
        <v>-0.27197483028376351</v>
      </c>
      <c r="CB10">
        <f t="shared" si="10"/>
        <v>-0.28252294047824988</v>
      </c>
      <c r="CC10">
        <f t="shared" si="10"/>
        <v>0.26649379403285378</v>
      </c>
      <c r="CD10">
        <f t="shared" si="10"/>
        <v>-1.6361375728069845E-2</v>
      </c>
      <c r="CE10">
        <f t="shared" si="10"/>
        <v>1.8968224999175783E-2</v>
      </c>
      <c r="CG10">
        <f t="shared" si="5"/>
        <v>0.99999999999999956</v>
      </c>
      <c r="CH10">
        <f t="shared" si="6"/>
        <v>0.99999999999999978</v>
      </c>
      <c r="CJ10">
        <f t="shared" si="7"/>
        <v>8.9776251740391902E-2</v>
      </c>
      <c r="CL10">
        <f>SUMPRODUCT(AS10:CE10,Dimorfismo!AS10:CE10)</f>
        <v>4.6803025361601455E-2</v>
      </c>
      <c r="CM10">
        <f t="shared" si="8"/>
        <v>4.6803025361601455E-2</v>
      </c>
      <c r="CN10">
        <f t="shared" si="9"/>
        <v>4.6837244718546493E-2</v>
      </c>
    </row>
    <row r="11" spans="1:92" x14ac:dyDescent="0.25">
      <c r="A11" t="s">
        <v>12</v>
      </c>
      <c r="B11">
        <v>-2.9362200712533554E-2</v>
      </c>
      <c r="C11">
        <v>-7.0072307582740842E-2</v>
      </c>
      <c r="D11">
        <v>-0.16518181588019409</v>
      </c>
      <c r="E11">
        <v>-0.1347529013816888</v>
      </c>
      <c r="F11">
        <v>-9.886111458755463E-2</v>
      </c>
      <c r="G11">
        <v>-3.7178040073035733E-2</v>
      </c>
      <c r="H11">
        <v>-0.10895631776659655</v>
      </c>
      <c r="I11">
        <v>-9.9479667289281273E-2</v>
      </c>
      <c r="J11">
        <v>-4.7897560854370273E-3</v>
      </c>
      <c r="K11">
        <v>8.5180952407853158E-2</v>
      </c>
      <c r="L11">
        <v>5.4542224373702094E-3</v>
      </c>
      <c r="M11">
        <v>-2.5150507275873563E-2</v>
      </c>
      <c r="N11">
        <v>-0.20525139072712775</v>
      </c>
      <c r="O11">
        <v>-9.6735200218855483E-2</v>
      </c>
      <c r="P11">
        <v>-6.527951370343972E-2</v>
      </c>
      <c r="Q11">
        <v>0.27453043780223862</v>
      </c>
      <c r="R11">
        <v>0.31093526778059222</v>
      </c>
      <c r="S11">
        <v>0.38099720415345673</v>
      </c>
      <c r="T11">
        <v>0.37931574750038716</v>
      </c>
      <c r="U11">
        <v>0.12856286860435756</v>
      </c>
      <c r="V11">
        <v>2.1879298380514268E-2</v>
      </c>
      <c r="W11">
        <v>-1.7018360110856712E-2</v>
      </c>
      <c r="X11">
        <v>5.3049583603134484E-2</v>
      </c>
      <c r="Y11">
        <v>-2.4111663684389179E-2</v>
      </c>
      <c r="Z11">
        <v>1.8553372745941946E-2</v>
      </c>
      <c r="AA11">
        <v>0.20630871493835756</v>
      </c>
      <c r="AB11">
        <v>-4.171670739467518E-2</v>
      </c>
      <c r="AC11">
        <v>6.1232397278530283E-2</v>
      </c>
      <c r="AD11">
        <v>2.6081221426880359E-2</v>
      </c>
      <c r="AE11">
        <v>2.2164436656045682E-2</v>
      </c>
      <c r="AF11">
        <v>1.8534050554993301E-2</v>
      </c>
      <c r="AG11">
        <v>6.5143690030403892E-2</v>
      </c>
      <c r="AH11">
        <v>0.21900142344868384</v>
      </c>
      <c r="AI11">
        <v>-0.2069777866053632</v>
      </c>
      <c r="AJ11">
        <v>-0.27197482989465854</v>
      </c>
      <c r="AK11">
        <v>-0.2825229400740541</v>
      </c>
      <c r="AL11">
        <v>0.26649379365159032</v>
      </c>
      <c r="AM11">
        <v>-1.6361375704662191E-2</v>
      </c>
      <c r="AN11">
        <v>1.8968224972038601E-2</v>
      </c>
      <c r="AP11">
        <f t="shared" si="2"/>
        <v>0.99999999713866938</v>
      </c>
      <c r="AQ11">
        <f t="shared" si="3"/>
        <v>0.99999999856933464</v>
      </c>
      <c r="AS11">
        <f t="shared" si="4"/>
        <v>-2.9362200754541039E-2</v>
      </c>
      <c r="AT11">
        <f t="shared" si="4"/>
        <v>-7.0072307682990873E-2</v>
      </c>
      <c r="AU11">
        <f t="shared" si="4"/>
        <v>-0.165181816116514</v>
      </c>
      <c r="AV11">
        <f t="shared" si="4"/>
        <v>-0.13475290157447511</v>
      </c>
      <c r="AW11">
        <f t="shared" si="4"/>
        <v>-9.8861114728991797E-2</v>
      </c>
      <c r="AX11">
        <f t="shared" si="4"/>
        <v>-3.7178040126225068E-2</v>
      </c>
      <c r="AY11">
        <f t="shared" si="4"/>
        <v>-0.10895631792247658</v>
      </c>
      <c r="AZ11">
        <f t="shared" si="4"/>
        <v>-9.9479667431603386E-2</v>
      </c>
      <c r="BA11">
        <f t="shared" si="4"/>
        <v>-4.7897560922895658E-3</v>
      </c>
      <c r="BB11">
        <f t="shared" si="4"/>
        <v>8.5180952529718593E-2</v>
      </c>
      <c r="BC11">
        <f t="shared" si="4"/>
        <v>5.4542224451733764E-3</v>
      </c>
      <c r="BD11">
        <f t="shared" si="4"/>
        <v>-2.5150507311855523E-2</v>
      </c>
      <c r="BE11">
        <f t="shared" si="4"/>
        <v>-0.2052513910207738</v>
      </c>
      <c r="BF11">
        <f t="shared" si="4"/>
        <v>-9.673520035725118E-2</v>
      </c>
      <c r="BG11">
        <f t="shared" si="4"/>
        <v>-6.5279513796832861E-2</v>
      </c>
      <c r="BH11">
        <f t="shared" si="4"/>
        <v>0.27453043819499984</v>
      </c>
      <c r="BI11">
        <f t="shared" si="11"/>
        <v>0.31093526822543655</v>
      </c>
      <c r="BJ11">
        <f t="shared" si="11"/>
        <v>0.38099720469853621</v>
      </c>
      <c r="BK11">
        <f t="shared" si="11"/>
        <v>0.37931574804306106</v>
      </c>
      <c r="BL11">
        <f t="shared" si="11"/>
        <v>0.12856286878828802</v>
      </c>
      <c r="BM11">
        <f t="shared" si="11"/>
        <v>2.1879298411816222E-2</v>
      </c>
      <c r="BN11">
        <f t="shared" si="11"/>
        <v>-1.7018360135204292E-2</v>
      </c>
      <c r="BO11">
        <f t="shared" si="11"/>
        <v>5.3049583679030683E-2</v>
      </c>
      <c r="BP11">
        <f t="shared" si="11"/>
        <v>-2.4111663718884901E-2</v>
      </c>
      <c r="BQ11">
        <f t="shared" si="11"/>
        <v>1.8553372772485612E-2</v>
      </c>
      <c r="BR11">
        <f t="shared" si="11"/>
        <v>0.20630871523351629</v>
      </c>
      <c r="BS11">
        <f t="shared" si="11"/>
        <v>-4.1716707454357828E-2</v>
      </c>
      <c r="BT11">
        <f t="shared" si="11"/>
        <v>6.1232397366133354E-2</v>
      </c>
      <c r="BU11">
        <f t="shared" si="10"/>
        <v>2.6081221464193859E-2</v>
      </c>
      <c r="BV11">
        <f t="shared" si="10"/>
        <v>2.2164436687755574E-2</v>
      </c>
      <c r="BW11">
        <f t="shared" si="10"/>
        <v>1.8534050581509327E-2</v>
      </c>
      <c r="BX11">
        <f t="shared" si="10"/>
        <v>6.5143690123602715E-2</v>
      </c>
      <c r="BY11">
        <f t="shared" si="10"/>
        <v>0.2190014237620016</v>
      </c>
      <c r="BZ11">
        <f t="shared" si="10"/>
        <v>-0.20697778690147914</v>
      </c>
      <c r="CA11">
        <f t="shared" si="10"/>
        <v>-0.27197483028376351</v>
      </c>
      <c r="CB11">
        <f t="shared" si="10"/>
        <v>-0.28252294047824988</v>
      </c>
      <c r="CC11">
        <f t="shared" si="10"/>
        <v>0.26649379403285378</v>
      </c>
      <c r="CD11">
        <f t="shared" si="10"/>
        <v>-1.6361375728069845E-2</v>
      </c>
      <c r="CE11">
        <f t="shared" si="10"/>
        <v>1.8968224999175783E-2</v>
      </c>
      <c r="CG11">
        <f t="shared" si="5"/>
        <v>0.99999999999999956</v>
      </c>
      <c r="CH11">
        <f t="shared" si="6"/>
        <v>0.99999999999999978</v>
      </c>
      <c r="CJ11">
        <f t="shared" si="7"/>
        <v>8.9776251740391902E-2</v>
      </c>
      <c r="CL11">
        <f>SUMPRODUCT(AS11:CE11,Dimorfismo!AS11:CE11)</f>
        <v>5.2201480591323686E-2</v>
      </c>
      <c r="CM11">
        <f t="shared" si="8"/>
        <v>5.2201480591323686E-2</v>
      </c>
      <c r="CN11">
        <f t="shared" si="9"/>
        <v>5.2248974518445734E-2</v>
      </c>
    </row>
    <row r="12" spans="1:92" x14ac:dyDescent="0.25">
      <c r="A12" t="s">
        <v>13</v>
      </c>
      <c r="B12">
        <v>-2.9362200712533554E-2</v>
      </c>
      <c r="C12">
        <v>-7.0072307582740842E-2</v>
      </c>
      <c r="D12">
        <v>-0.16518181588019409</v>
      </c>
      <c r="E12">
        <v>-0.1347529013816888</v>
      </c>
      <c r="F12">
        <v>-9.886111458755463E-2</v>
      </c>
      <c r="G12">
        <v>-3.7178040073035733E-2</v>
      </c>
      <c r="H12">
        <v>-0.10895631776659655</v>
      </c>
      <c r="I12">
        <v>-9.9479667289281273E-2</v>
      </c>
      <c r="J12">
        <v>-4.7897560854370273E-3</v>
      </c>
      <c r="K12">
        <v>8.5180952407853158E-2</v>
      </c>
      <c r="L12">
        <v>5.4542224373702094E-3</v>
      </c>
      <c r="M12">
        <v>-2.5150507275873563E-2</v>
      </c>
      <c r="N12">
        <v>-0.20525139072712775</v>
      </c>
      <c r="O12">
        <v>-9.6735200218855483E-2</v>
      </c>
      <c r="P12">
        <v>-6.527951370343972E-2</v>
      </c>
      <c r="Q12">
        <v>0.27453043780223862</v>
      </c>
      <c r="R12">
        <v>0.31093526778059222</v>
      </c>
      <c r="S12">
        <v>0.38099720415345673</v>
      </c>
      <c r="T12">
        <v>0.37931574750038716</v>
      </c>
      <c r="U12">
        <v>0.12856286860435756</v>
      </c>
      <c r="V12">
        <v>2.1879298380514268E-2</v>
      </c>
      <c r="W12">
        <v>-1.7018360110856712E-2</v>
      </c>
      <c r="X12">
        <v>5.3049583603134484E-2</v>
      </c>
      <c r="Y12">
        <v>-2.4111663684389179E-2</v>
      </c>
      <c r="Z12">
        <v>1.8553372745941946E-2</v>
      </c>
      <c r="AA12">
        <v>0.20630871493835756</v>
      </c>
      <c r="AB12">
        <v>-4.171670739467518E-2</v>
      </c>
      <c r="AC12">
        <v>6.1232397278530283E-2</v>
      </c>
      <c r="AD12">
        <v>2.6081221426880359E-2</v>
      </c>
      <c r="AE12">
        <v>2.2164436656045682E-2</v>
      </c>
      <c r="AF12">
        <v>1.8534050554993301E-2</v>
      </c>
      <c r="AG12">
        <v>6.5143690030403892E-2</v>
      </c>
      <c r="AH12">
        <v>0.21900142344868384</v>
      </c>
      <c r="AI12">
        <v>-0.2069777866053632</v>
      </c>
      <c r="AJ12">
        <v>-0.27197482989465854</v>
      </c>
      <c r="AK12">
        <v>-0.2825229400740541</v>
      </c>
      <c r="AL12">
        <v>0.26649379365159032</v>
      </c>
      <c r="AM12">
        <v>-1.6361375704662191E-2</v>
      </c>
      <c r="AN12">
        <v>1.8968224972038601E-2</v>
      </c>
      <c r="AP12">
        <f t="shared" si="2"/>
        <v>0.99999999713866938</v>
      </c>
      <c r="AQ12">
        <f t="shared" si="3"/>
        <v>0.99999999856933464</v>
      </c>
      <c r="AS12">
        <f t="shared" si="4"/>
        <v>-2.9362200754541039E-2</v>
      </c>
      <c r="AT12">
        <f t="shared" si="4"/>
        <v>-7.0072307682990873E-2</v>
      </c>
      <c r="AU12">
        <f t="shared" si="4"/>
        <v>-0.165181816116514</v>
      </c>
      <c r="AV12">
        <f t="shared" si="4"/>
        <v>-0.13475290157447511</v>
      </c>
      <c r="AW12">
        <f t="shared" si="4"/>
        <v>-9.8861114728991797E-2</v>
      </c>
      <c r="AX12">
        <f t="shared" si="4"/>
        <v>-3.7178040126225068E-2</v>
      </c>
      <c r="AY12">
        <f t="shared" si="4"/>
        <v>-0.10895631792247658</v>
      </c>
      <c r="AZ12">
        <f t="shared" si="4"/>
        <v>-9.9479667431603386E-2</v>
      </c>
      <c r="BA12">
        <f t="shared" si="4"/>
        <v>-4.7897560922895658E-3</v>
      </c>
      <c r="BB12">
        <f t="shared" si="4"/>
        <v>8.5180952529718593E-2</v>
      </c>
      <c r="BC12">
        <f t="shared" si="4"/>
        <v>5.4542224451733764E-3</v>
      </c>
      <c r="BD12">
        <f t="shared" si="4"/>
        <v>-2.5150507311855523E-2</v>
      </c>
      <c r="BE12">
        <f t="shared" si="4"/>
        <v>-0.2052513910207738</v>
      </c>
      <c r="BF12">
        <f t="shared" si="4"/>
        <v>-9.673520035725118E-2</v>
      </c>
      <c r="BG12">
        <f t="shared" si="4"/>
        <v>-6.5279513796832861E-2</v>
      </c>
      <c r="BH12">
        <f t="shared" si="4"/>
        <v>0.27453043819499984</v>
      </c>
      <c r="BI12">
        <f t="shared" si="11"/>
        <v>0.31093526822543655</v>
      </c>
      <c r="BJ12">
        <f t="shared" si="11"/>
        <v>0.38099720469853621</v>
      </c>
      <c r="BK12">
        <f t="shared" si="11"/>
        <v>0.37931574804306106</v>
      </c>
      <c r="BL12">
        <f t="shared" si="11"/>
        <v>0.12856286878828802</v>
      </c>
      <c r="BM12">
        <f t="shared" si="11"/>
        <v>2.1879298411816222E-2</v>
      </c>
      <c r="BN12">
        <f t="shared" si="11"/>
        <v>-1.7018360135204292E-2</v>
      </c>
      <c r="BO12">
        <f t="shared" si="11"/>
        <v>5.3049583679030683E-2</v>
      </c>
      <c r="BP12">
        <f t="shared" si="11"/>
        <v>-2.4111663718884901E-2</v>
      </c>
      <c r="BQ12">
        <f t="shared" si="11"/>
        <v>1.8553372772485612E-2</v>
      </c>
      <c r="BR12">
        <f t="shared" si="11"/>
        <v>0.20630871523351629</v>
      </c>
      <c r="BS12">
        <f t="shared" si="11"/>
        <v>-4.1716707454357828E-2</v>
      </c>
      <c r="BT12">
        <f t="shared" si="11"/>
        <v>6.1232397366133354E-2</v>
      </c>
      <c r="BU12">
        <f t="shared" si="10"/>
        <v>2.6081221464193859E-2</v>
      </c>
      <c r="BV12">
        <f t="shared" si="10"/>
        <v>2.2164436687755574E-2</v>
      </c>
      <c r="BW12">
        <f t="shared" si="10"/>
        <v>1.8534050581509327E-2</v>
      </c>
      <c r="BX12">
        <f t="shared" si="10"/>
        <v>6.5143690123602715E-2</v>
      </c>
      <c r="BY12">
        <f t="shared" si="10"/>
        <v>0.2190014237620016</v>
      </c>
      <c r="BZ12">
        <f t="shared" si="10"/>
        <v>-0.20697778690147914</v>
      </c>
      <c r="CA12">
        <f t="shared" si="10"/>
        <v>-0.27197483028376351</v>
      </c>
      <c r="CB12">
        <f t="shared" si="10"/>
        <v>-0.28252294047824988</v>
      </c>
      <c r="CC12">
        <f t="shared" si="10"/>
        <v>0.26649379403285378</v>
      </c>
      <c r="CD12">
        <f t="shared" si="10"/>
        <v>-1.6361375728069845E-2</v>
      </c>
      <c r="CE12">
        <f t="shared" si="10"/>
        <v>1.8968224999175783E-2</v>
      </c>
      <c r="CG12">
        <f t="shared" si="5"/>
        <v>0.99999999999999956</v>
      </c>
      <c r="CH12">
        <f t="shared" si="6"/>
        <v>0.99999999999999978</v>
      </c>
      <c r="CJ12">
        <f t="shared" si="7"/>
        <v>8.9776251740391902E-2</v>
      </c>
      <c r="CL12">
        <f>SUMPRODUCT(AS12:CE12,Dimorfismo!AS12:CE12)</f>
        <v>0.10902937213123313</v>
      </c>
      <c r="CM12">
        <f t="shared" si="8"/>
        <v>0.10902937213123313</v>
      </c>
      <c r="CN12">
        <f t="shared" si="9"/>
        <v>0.10946450533359224</v>
      </c>
    </row>
    <row r="13" spans="1:92" x14ac:dyDescent="0.25">
      <c r="A13" t="s">
        <v>14</v>
      </c>
      <c r="B13">
        <v>-2.9362200712533554E-2</v>
      </c>
      <c r="C13">
        <v>-7.0072307582740842E-2</v>
      </c>
      <c r="D13">
        <v>-0.16518181588019409</v>
      </c>
      <c r="E13">
        <v>-0.1347529013816888</v>
      </c>
      <c r="F13">
        <v>-9.886111458755463E-2</v>
      </c>
      <c r="G13">
        <v>-3.7178040073035733E-2</v>
      </c>
      <c r="H13">
        <v>-0.10895631776659655</v>
      </c>
      <c r="I13">
        <v>-9.9479667289281273E-2</v>
      </c>
      <c r="J13">
        <v>-4.7897560854370273E-3</v>
      </c>
      <c r="K13">
        <v>8.5180952407853158E-2</v>
      </c>
      <c r="L13">
        <v>5.4542224373702094E-3</v>
      </c>
      <c r="M13">
        <v>-2.5150507275873563E-2</v>
      </c>
      <c r="N13">
        <v>-0.20525139072712775</v>
      </c>
      <c r="O13">
        <v>-9.6735200218855483E-2</v>
      </c>
      <c r="P13">
        <v>-6.527951370343972E-2</v>
      </c>
      <c r="Q13">
        <v>0.27453043780223862</v>
      </c>
      <c r="R13">
        <v>0.31093526778059222</v>
      </c>
      <c r="S13">
        <v>0.38099720415345673</v>
      </c>
      <c r="T13">
        <v>0.37931574750038716</v>
      </c>
      <c r="U13">
        <v>0.12856286860435756</v>
      </c>
      <c r="V13">
        <v>2.1879298380514268E-2</v>
      </c>
      <c r="W13">
        <v>-1.7018360110856712E-2</v>
      </c>
      <c r="X13">
        <v>5.3049583603134484E-2</v>
      </c>
      <c r="Y13">
        <v>-2.4111663684389179E-2</v>
      </c>
      <c r="Z13">
        <v>1.8553372745941946E-2</v>
      </c>
      <c r="AA13">
        <v>0.20630871493835756</v>
      </c>
      <c r="AB13">
        <v>-4.171670739467518E-2</v>
      </c>
      <c r="AC13">
        <v>6.1232397278530283E-2</v>
      </c>
      <c r="AD13">
        <v>2.6081221426880359E-2</v>
      </c>
      <c r="AE13">
        <v>2.2164436656045682E-2</v>
      </c>
      <c r="AF13">
        <v>1.8534050554993301E-2</v>
      </c>
      <c r="AG13">
        <v>6.5143690030403892E-2</v>
      </c>
      <c r="AH13">
        <v>0.21900142344868384</v>
      </c>
      <c r="AI13">
        <v>-0.2069777866053632</v>
      </c>
      <c r="AJ13">
        <v>-0.27197482989465854</v>
      </c>
      <c r="AK13">
        <v>-0.2825229400740541</v>
      </c>
      <c r="AL13">
        <v>0.26649379365159032</v>
      </c>
      <c r="AM13">
        <v>-1.6361375704662191E-2</v>
      </c>
      <c r="AN13">
        <v>1.8968224972038601E-2</v>
      </c>
      <c r="AP13">
        <f t="shared" si="2"/>
        <v>0.99999999713866938</v>
      </c>
      <c r="AQ13">
        <f t="shared" si="3"/>
        <v>0.99999999856933464</v>
      </c>
      <c r="AS13">
        <f t="shared" si="4"/>
        <v>-2.9362200754541039E-2</v>
      </c>
      <c r="AT13">
        <f t="shared" si="4"/>
        <v>-7.0072307682990873E-2</v>
      </c>
      <c r="AU13">
        <f t="shared" si="4"/>
        <v>-0.165181816116514</v>
      </c>
      <c r="AV13">
        <f t="shared" si="4"/>
        <v>-0.13475290157447511</v>
      </c>
      <c r="AW13">
        <f t="shared" si="4"/>
        <v>-9.8861114728991797E-2</v>
      </c>
      <c r="AX13">
        <f t="shared" si="4"/>
        <v>-3.7178040126225068E-2</v>
      </c>
      <c r="AY13">
        <f t="shared" si="4"/>
        <v>-0.10895631792247658</v>
      </c>
      <c r="AZ13">
        <f t="shared" si="4"/>
        <v>-9.9479667431603386E-2</v>
      </c>
      <c r="BA13">
        <f t="shared" si="4"/>
        <v>-4.7897560922895658E-3</v>
      </c>
      <c r="BB13">
        <f t="shared" si="4"/>
        <v>8.5180952529718593E-2</v>
      </c>
      <c r="BC13">
        <f t="shared" si="4"/>
        <v>5.4542224451733764E-3</v>
      </c>
      <c r="BD13">
        <f t="shared" si="4"/>
        <v>-2.5150507311855523E-2</v>
      </c>
      <c r="BE13">
        <f t="shared" si="4"/>
        <v>-0.2052513910207738</v>
      </c>
      <c r="BF13">
        <f t="shared" si="4"/>
        <v>-9.673520035725118E-2</v>
      </c>
      <c r="BG13">
        <f t="shared" si="4"/>
        <v>-6.5279513796832861E-2</v>
      </c>
      <c r="BH13">
        <f t="shared" si="4"/>
        <v>0.27453043819499984</v>
      </c>
      <c r="BI13">
        <f t="shared" si="11"/>
        <v>0.31093526822543655</v>
      </c>
      <c r="BJ13">
        <f t="shared" si="11"/>
        <v>0.38099720469853621</v>
      </c>
      <c r="BK13">
        <f t="shared" si="11"/>
        <v>0.37931574804306106</v>
      </c>
      <c r="BL13">
        <f t="shared" si="11"/>
        <v>0.12856286878828802</v>
      </c>
      <c r="BM13">
        <f t="shared" si="11"/>
        <v>2.1879298411816222E-2</v>
      </c>
      <c r="BN13">
        <f t="shared" si="11"/>
        <v>-1.7018360135204292E-2</v>
      </c>
      <c r="BO13">
        <f t="shared" si="11"/>
        <v>5.3049583679030683E-2</v>
      </c>
      <c r="BP13">
        <f t="shared" si="11"/>
        <v>-2.4111663718884901E-2</v>
      </c>
      <c r="BQ13">
        <f t="shared" si="11"/>
        <v>1.8553372772485612E-2</v>
      </c>
      <c r="BR13">
        <f t="shared" si="11"/>
        <v>0.20630871523351629</v>
      </c>
      <c r="BS13">
        <f t="shared" si="11"/>
        <v>-4.1716707454357828E-2</v>
      </c>
      <c r="BT13">
        <f t="shared" si="11"/>
        <v>6.1232397366133354E-2</v>
      </c>
      <c r="BU13">
        <f t="shared" si="10"/>
        <v>2.6081221464193859E-2</v>
      </c>
      <c r="BV13">
        <f t="shared" si="10"/>
        <v>2.2164436687755574E-2</v>
      </c>
      <c r="BW13">
        <f t="shared" si="10"/>
        <v>1.8534050581509327E-2</v>
      </c>
      <c r="BX13">
        <f t="shared" si="10"/>
        <v>6.5143690123602715E-2</v>
      </c>
      <c r="BY13">
        <f t="shared" si="10"/>
        <v>0.2190014237620016</v>
      </c>
      <c r="BZ13">
        <f t="shared" si="10"/>
        <v>-0.20697778690147914</v>
      </c>
      <c r="CA13">
        <f t="shared" si="10"/>
        <v>-0.27197483028376351</v>
      </c>
      <c r="CB13">
        <f t="shared" si="10"/>
        <v>-0.28252294047824988</v>
      </c>
      <c r="CC13">
        <f t="shared" si="10"/>
        <v>0.26649379403285378</v>
      </c>
      <c r="CD13">
        <f t="shared" si="10"/>
        <v>-1.6361375728069845E-2</v>
      </c>
      <c r="CE13">
        <f t="shared" si="10"/>
        <v>1.8968224999175783E-2</v>
      </c>
      <c r="CG13">
        <f t="shared" si="5"/>
        <v>0.99999999999999956</v>
      </c>
      <c r="CH13">
        <f t="shared" si="6"/>
        <v>0.99999999999999978</v>
      </c>
      <c r="CJ13">
        <f t="shared" si="7"/>
        <v>8.9776251740391902E-2</v>
      </c>
      <c r="CL13">
        <f>SUMPRODUCT(AS13:CE13,Dimorfismo!AS13:CE13)</f>
        <v>4.5662787832394365E-2</v>
      </c>
      <c r="CM13">
        <f t="shared" si="8"/>
        <v>4.5662787832394365E-2</v>
      </c>
      <c r="CN13">
        <f t="shared" si="9"/>
        <v>4.5694564606701182E-2</v>
      </c>
    </row>
    <row r="14" spans="1:92" x14ac:dyDescent="0.25">
      <c r="A14" t="s">
        <v>15</v>
      </c>
      <c r="B14">
        <v>-2.9362200712533554E-2</v>
      </c>
      <c r="C14">
        <v>-7.0072307582740842E-2</v>
      </c>
      <c r="D14">
        <v>-0.16518181588019409</v>
      </c>
      <c r="E14">
        <v>-0.1347529013816888</v>
      </c>
      <c r="F14">
        <v>-9.886111458755463E-2</v>
      </c>
      <c r="G14">
        <v>-3.7178040073035733E-2</v>
      </c>
      <c r="H14">
        <v>-0.10895631776659655</v>
      </c>
      <c r="I14">
        <v>-9.9479667289281273E-2</v>
      </c>
      <c r="J14">
        <v>-4.7897560854370273E-3</v>
      </c>
      <c r="K14">
        <v>8.5180952407853158E-2</v>
      </c>
      <c r="L14">
        <v>5.4542224373702094E-3</v>
      </c>
      <c r="M14">
        <v>-2.5150507275873563E-2</v>
      </c>
      <c r="N14">
        <v>-0.20525139072712775</v>
      </c>
      <c r="O14">
        <v>-9.6735200218855483E-2</v>
      </c>
      <c r="P14">
        <v>-6.527951370343972E-2</v>
      </c>
      <c r="Q14">
        <v>0.27453043780223862</v>
      </c>
      <c r="R14">
        <v>0.31093526778059222</v>
      </c>
      <c r="S14">
        <v>0.38099720415345673</v>
      </c>
      <c r="T14">
        <v>0.37931574750038716</v>
      </c>
      <c r="U14">
        <v>0.12856286860435756</v>
      </c>
      <c r="V14">
        <v>2.1879298380514268E-2</v>
      </c>
      <c r="W14">
        <v>-1.7018360110856712E-2</v>
      </c>
      <c r="X14">
        <v>5.3049583603134484E-2</v>
      </c>
      <c r="Y14">
        <v>-2.4111663684389179E-2</v>
      </c>
      <c r="Z14">
        <v>1.8553372745941946E-2</v>
      </c>
      <c r="AA14">
        <v>0.20630871493835756</v>
      </c>
      <c r="AB14">
        <v>-4.171670739467518E-2</v>
      </c>
      <c r="AC14">
        <v>6.1232397278530283E-2</v>
      </c>
      <c r="AD14">
        <v>2.6081221426880359E-2</v>
      </c>
      <c r="AE14">
        <v>2.2164436656045682E-2</v>
      </c>
      <c r="AF14">
        <v>1.8534050554993301E-2</v>
      </c>
      <c r="AG14">
        <v>6.5143690030403892E-2</v>
      </c>
      <c r="AH14">
        <v>0.21900142344868384</v>
      </c>
      <c r="AI14">
        <v>-0.2069777866053632</v>
      </c>
      <c r="AJ14">
        <v>-0.27197482989465854</v>
      </c>
      <c r="AK14">
        <v>-0.2825229400740541</v>
      </c>
      <c r="AL14">
        <v>0.26649379365159032</v>
      </c>
      <c r="AM14">
        <v>-1.6361375704662191E-2</v>
      </c>
      <c r="AN14">
        <v>1.8968224972038601E-2</v>
      </c>
      <c r="AP14">
        <f t="shared" si="2"/>
        <v>0.99999999713866938</v>
      </c>
      <c r="AQ14">
        <f t="shared" si="3"/>
        <v>0.99999999856933464</v>
      </c>
      <c r="AS14">
        <f t="shared" si="4"/>
        <v>-2.9362200754541039E-2</v>
      </c>
      <c r="AT14">
        <f t="shared" si="4"/>
        <v>-7.0072307682990873E-2</v>
      </c>
      <c r="AU14">
        <f t="shared" si="4"/>
        <v>-0.165181816116514</v>
      </c>
      <c r="AV14">
        <f t="shared" si="4"/>
        <v>-0.13475290157447511</v>
      </c>
      <c r="AW14">
        <f t="shared" si="4"/>
        <v>-9.8861114728991797E-2</v>
      </c>
      <c r="AX14">
        <f t="shared" si="4"/>
        <v>-3.7178040126225068E-2</v>
      </c>
      <c r="AY14">
        <f t="shared" si="4"/>
        <v>-0.10895631792247658</v>
      </c>
      <c r="AZ14">
        <f t="shared" si="4"/>
        <v>-9.9479667431603386E-2</v>
      </c>
      <c r="BA14">
        <f t="shared" si="4"/>
        <v>-4.7897560922895658E-3</v>
      </c>
      <c r="BB14">
        <f t="shared" si="4"/>
        <v>8.5180952529718593E-2</v>
      </c>
      <c r="BC14">
        <f t="shared" si="4"/>
        <v>5.4542224451733764E-3</v>
      </c>
      <c r="BD14">
        <f t="shared" si="4"/>
        <v>-2.5150507311855523E-2</v>
      </c>
      <c r="BE14">
        <f t="shared" si="4"/>
        <v>-0.2052513910207738</v>
      </c>
      <c r="BF14">
        <f t="shared" si="4"/>
        <v>-9.673520035725118E-2</v>
      </c>
      <c r="BG14">
        <f t="shared" si="4"/>
        <v>-6.5279513796832861E-2</v>
      </c>
      <c r="BH14">
        <f t="shared" si="4"/>
        <v>0.27453043819499984</v>
      </c>
      <c r="BI14">
        <f t="shared" si="11"/>
        <v>0.31093526822543655</v>
      </c>
      <c r="BJ14">
        <f t="shared" si="11"/>
        <v>0.38099720469853621</v>
      </c>
      <c r="BK14">
        <f t="shared" si="11"/>
        <v>0.37931574804306106</v>
      </c>
      <c r="BL14">
        <f t="shared" si="11"/>
        <v>0.12856286878828802</v>
      </c>
      <c r="BM14">
        <f t="shared" si="11"/>
        <v>2.1879298411816222E-2</v>
      </c>
      <c r="BN14">
        <f t="shared" si="11"/>
        <v>-1.7018360135204292E-2</v>
      </c>
      <c r="BO14">
        <f t="shared" si="11"/>
        <v>5.3049583679030683E-2</v>
      </c>
      <c r="BP14">
        <f t="shared" si="11"/>
        <v>-2.4111663718884901E-2</v>
      </c>
      <c r="BQ14">
        <f t="shared" si="11"/>
        <v>1.8553372772485612E-2</v>
      </c>
      <c r="BR14">
        <f t="shared" si="11"/>
        <v>0.20630871523351629</v>
      </c>
      <c r="BS14">
        <f t="shared" si="11"/>
        <v>-4.1716707454357828E-2</v>
      </c>
      <c r="BT14">
        <f t="shared" si="11"/>
        <v>6.1232397366133354E-2</v>
      </c>
      <c r="BU14">
        <f t="shared" si="10"/>
        <v>2.6081221464193859E-2</v>
      </c>
      <c r="BV14">
        <f t="shared" si="10"/>
        <v>2.2164436687755574E-2</v>
      </c>
      <c r="BW14">
        <f t="shared" si="10"/>
        <v>1.8534050581509327E-2</v>
      </c>
      <c r="BX14">
        <f t="shared" si="10"/>
        <v>6.5143690123602715E-2</v>
      </c>
      <c r="BY14">
        <f t="shared" si="10"/>
        <v>0.2190014237620016</v>
      </c>
      <c r="BZ14">
        <f t="shared" si="10"/>
        <v>-0.20697778690147914</v>
      </c>
      <c r="CA14">
        <f t="shared" si="10"/>
        <v>-0.27197483028376351</v>
      </c>
      <c r="CB14">
        <f t="shared" si="10"/>
        <v>-0.28252294047824988</v>
      </c>
      <c r="CC14">
        <f t="shared" si="10"/>
        <v>0.26649379403285378</v>
      </c>
      <c r="CD14">
        <f t="shared" si="10"/>
        <v>-1.6361375728069845E-2</v>
      </c>
      <c r="CE14">
        <f t="shared" si="10"/>
        <v>1.8968224999175783E-2</v>
      </c>
      <c r="CG14">
        <f t="shared" si="5"/>
        <v>0.99999999999999956</v>
      </c>
      <c r="CH14">
        <f t="shared" si="6"/>
        <v>0.99999999999999978</v>
      </c>
      <c r="CJ14">
        <f t="shared" si="7"/>
        <v>8.9776251740391902E-2</v>
      </c>
      <c r="CL14">
        <f>SUMPRODUCT(AS14:CE14,Dimorfismo!AS14:CE14)</f>
        <v>9.3259319790995693E-2</v>
      </c>
      <c r="CM14">
        <f t="shared" si="8"/>
        <v>9.3259319790995693E-2</v>
      </c>
      <c r="CN14">
        <f t="shared" si="9"/>
        <v>9.3531107615949474E-2</v>
      </c>
    </row>
    <row r="15" spans="1:92" x14ac:dyDescent="0.25">
      <c r="A15" t="s">
        <v>16</v>
      </c>
      <c r="B15">
        <v>-2.9362200712533554E-2</v>
      </c>
      <c r="C15">
        <v>-7.0072307582740842E-2</v>
      </c>
      <c r="D15">
        <v>-0.16518181588019409</v>
      </c>
      <c r="E15">
        <v>-0.1347529013816888</v>
      </c>
      <c r="F15">
        <v>-9.886111458755463E-2</v>
      </c>
      <c r="G15">
        <v>-3.7178040073035733E-2</v>
      </c>
      <c r="H15">
        <v>-0.10895631776659655</v>
      </c>
      <c r="I15">
        <v>-9.9479667289281273E-2</v>
      </c>
      <c r="J15">
        <v>-4.7897560854370273E-3</v>
      </c>
      <c r="K15">
        <v>8.5180952407853158E-2</v>
      </c>
      <c r="L15">
        <v>5.4542224373702094E-3</v>
      </c>
      <c r="M15">
        <v>-2.5150507275873563E-2</v>
      </c>
      <c r="N15">
        <v>-0.20525139072712775</v>
      </c>
      <c r="O15">
        <v>-9.6735200218855483E-2</v>
      </c>
      <c r="P15">
        <v>-6.527951370343972E-2</v>
      </c>
      <c r="Q15">
        <v>0.27453043780223862</v>
      </c>
      <c r="R15">
        <v>0.31093526778059222</v>
      </c>
      <c r="S15">
        <v>0.38099720415345673</v>
      </c>
      <c r="T15">
        <v>0.37931574750038716</v>
      </c>
      <c r="U15">
        <v>0.12856286860435756</v>
      </c>
      <c r="V15">
        <v>2.1879298380514268E-2</v>
      </c>
      <c r="W15">
        <v>-1.7018360110856712E-2</v>
      </c>
      <c r="X15">
        <v>5.3049583603134484E-2</v>
      </c>
      <c r="Y15">
        <v>-2.4111663684389179E-2</v>
      </c>
      <c r="Z15">
        <v>1.8553372745941946E-2</v>
      </c>
      <c r="AA15">
        <v>0.20630871493835756</v>
      </c>
      <c r="AB15">
        <v>-4.171670739467518E-2</v>
      </c>
      <c r="AC15">
        <v>6.1232397278530283E-2</v>
      </c>
      <c r="AD15">
        <v>2.6081221426880359E-2</v>
      </c>
      <c r="AE15">
        <v>2.2164436656045682E-2</v>
      </c>
      <c r="AF15">
        <v>1.8534050554993301E-2</v>
      </c>
      <c r="AG15">
        <v>6.5143690030403892E-2</v>
      </c>
      <c r="AH15">
        <v>0.21900142344868384</v>
      </c>
      <c r="AI15">
        <v>-0.2069777866053632</v>
      </c>
      <c r="AJ15">
        <v>-0.27197482989465854</v>
      </c>
      <c r="AK15">
        <v>-0.2825229400740541</v>
      </c>
      <c r="AL15">
        <v>0.26649379365159032</v>
      </c>
      <c r="AM15">
        <v>-1.6361375704662191E-2</v>
      </c>
      <c r="AN15">
        <v>1.8968224972038601E-2</v>
      </c>
      <c r="AP15">
        <f t="shared" si="2"/>
        <v>0.99999999713866938</v>
      </c>
      <c r="AQ15">
        <f t="shared" si="3"/>
        <v>0.99999999856933464</v>
      </c>
      <c r="AS15">
        <f t="shared" si="4"/>
        <v>-2.9362200754541039E-2</v>
      </c>
      <c r="AT15">
        <f t="shared" si="4"/>
        <v>-7.0072307682990873E-2</v>
      </c>
      <c r="AU15">
        <f t="shared" si="4"/>
        <v>-0.165181816116514</v>
      </c>
      <c r="AV15">
        <f t="shared" si="4"/>
        <v>-0.13475290157447511</v>
      </c>
      <c r="AW15">
        <f t="shared" si="4"/>
        <v>-9.8861114728991797E-2</v>
      </c>
      <c r="AX15">
        <f t="shared" si="4"/>
        <v>-3.7178040126225068E-2</v>
      </c>
      <c r="AY15">
        <f t="shared" si="4"/>
        <v>-0.10895631792247658</v>
      </c>
      <c r="AZ15">
        <f t="shared" si="4"/>
        <v>-9.9479667431603386E-2</v>
      </c>
      <c r="BA15">
        <f t="shared" si="4"/>
        <v>-4.7897560922895658E-3</v>
      </c>
      <c r="BB15">
        <f t="shared" si="4"/>
        <v>8.5180952529718593E-2</v>
      </c>
      <c r="BC15">
        <f t="shared" si="4"/>
        <v>5.4542224451733764E-3</v>
      </c>
      <c r="BD15">
        <f t="shared" si="4"/>
        <v>-2.5150507311855523E-2</v>
      </c>
      <c r="BE15">
        <f t="shared" si="4"/>
        <v>-0.2052513910207738</v>
      </c>
      <c r="BF15">
        <f t="shared" si="4"/>
        <v>-9.673520035725118E-2</v>
      </c>
      <c r="BG15">
        <f t="shared" si="4"/>
        <v>-6.5279513796832861E-2</v>
      </c>
      <c r="BH15">
        <f t="shared" si="4"/>
        <v>0.27453043819499984</v>
      </c>
      <c r="BI15">
        <f t="shared" si="11"/>
        <v>0.31093526822543655</v>
      </c>
      <c r="BJ15">
        <f t="shared" si="11"/>
        <v>0.38099720469853621</v>
      </c>
      <c r="BK15">
        <f t="shared" si="11"/>
        <v>0.37931574804306106</v>
      </c>
      <c r="BL15">
        <f t="shared" si="11"/>
        <v>0.12856286878828802</v>
      </c>
      <c r="BM15">
        <f t="shared" si="11"/>
        <v>2.1879298411816222E-2</v>
      </c>
      <c r="BN15">
        <f t="shared" si="11"/>
        <v>-1.7018360135204292E-2</v>
      </c>
      <c r="BO15">
        <f t="shared" si="11"/>
        <v>5.3049583679030683E-2</v>
      </c>
      <c r="BP15">
        <f t="shared" si="11"/>
        <v>-2.4111663718884901E-2</v>
      </c>
      <c r="BQ15">
        <f t="shared" si="11"/>
        <v>1.8553372772485612E-2</v>
      </c>
      <c r="BR15">
        <f t="shared" si="11"/>
        <v>0.20630871523351629</v>
      </c>
      <c r="BS15">
        <f t="shared" si="11"/>
        <v>-4.1716707454357828E-2</v>
      </c>
      <c r="BT15">
        <f t="shared" si="11"/>
        <v>6.1232397366133354E-2</v>
      </c>
      <c r="BU15">
        <f t="shared" si="10"/>
        <v>2.6081221464193859E-2</v>
      </c>
      <c r="BV15">
        <f t="shared" si="10"/>
        <v>2.2164436687755574E-2</v>
      </c>
      <c r="BW15">
        <f t="shared" si="10"/>
        <v>1.8534050581509327E-2</v>
      </c>
      <c r="BX15">
        <f t="shared" si="10"/>
        <v>6.5143690123602715E-2</v>
      </c>
      <c r="BY15">
        <f t="shared" si="10"/>
        <v>0.2190014237620016</v>
      </c>
      <c r="BZ15">
        <f t="shared" si="10"/>
        <v>-0.20697778690147914</v>
      </c>
      <c r="CA15">
        <f t="shared" si="10"/>
        <v>-0.27197483028376351</v>
      </c>
      <c r="CB15">
        <f t="shared" si="10"/>
        <v>-0.28252294047824988</v>
      </c>
      <c r="CC15">
        <f t="shared" si="10"/>
        <v>0.26649379403285378</v>
      </c>
      <c r="CD15">
        <f t="shared" si="10"/>
        <v>-1.6361375728069845E-2</v>
      </c>
      <c r="CE15">
        <f t="shared" si="10"/>
        <v>1.8968224999175783E-2</v>
      </c>
      <c r="CG15">
        <f t="shared" si="5"/>
        <v>0.99999999999999956</v>
      </c>
      <c r="CH15">
        <f t="shared" si="6"/>
        <v>0.99999999999999978</v>
      </c>
      <c r="CJ15">
        <f t="shared" si="7"/>
        <v>8.9776251740391902E-2</v>
      </c>
      <c r="CL15">
        <f>SUMPRODUCT(AS15:CE15,Dimorfismo!AS15:CE15)</f>
        <v>-0.10464232801599213</v>
      </c>
      <c r="CM15">
        <f t="shared" si="8"/>
        <v>0.10464232801599213</v>
      </c>
      <c r="CN15">
        <f t="shared" si="9"/>
        <v>0.10502680227839883</v>
      </c>
    </row>
    <row r="16" spans="1:92" x14ac:dyDescent="0.25">
      <c r="A16" t="s">
        <v>17</v>
      </c>
      <c r="B16">
        <v>-2.9362200712533554E-2</v>
      </c>
      <c r="C16">
        <v>-7.0072307582740842E-2</v>
      </c>
      <c r="D16">
        <v>-0.16518181588019409</v>
      </c>
      <c r="E16">
        <v>-0.1347529013816888</v>
      </c>
      <c r="F16">
        <v>-9.886111458755463E-2</v>
      </c>
      <c r="G16">
        <v>-3.7178040073035733E-2</v>
      </c>
      <c r="H16">
        <v>-0.10895631776659655</v>
      </c>
      <c r="I16">
        <v>-9.9479667289281273E-2</v>
      </c>
      <c r="J16">
        <v>-4.7897560854370273E-3</v>
      </c>
      <c r="K16">
        <v>8.5180952407853158E-2</v>
      </c>
      <c r="L16">
        <v>5.4542224373702094E-3</v>
      </c>
      <c r="M16">
        <v>-2.5150507275873563E-2</v>
      </c>
      <c r="N16">
        <v>-0.20525139072712775</v>
      </c>
      <c r="O16">
        <v>-9.6735200218855483E-2</v>
      </c>
      <c r="P16">
        <v>-6.527951370343972E-2</v>
      </c>
      <c r="Q16">
        <v>0.27453043780223862</v>
      </c>
      <c r="R16">
        <v>0.31093526778059222</v>
      </c>
      <c r="S16">
        <v>0.38099720415345673</v>
      </c>
      <c r="T16">
        <v>0.37931574750038716</v>
      </c>
      <c r="U16">
        <v>0.12856286860435756</v>
      </c>
      <c r="V16">
        <v>2.1879298380514268E-2</v>
      </c>
      <c r="W16">
        <v>-1.7018360110856712E-2</v>
      </c>
      <c r="X16">
        <v>5.3049583603134484E-2</v>
      </c>
      <c r="Y16">
        <v>-2.4111663684389179E-2</v>
      </c>
      <c r="Z16">
        <v>1.8553372745941946E-2</v>
      </c>
      <c r="AA16">
        <v>0.20630871493835756</v>
      </c>
      <c r="AB16">
        <v>-4.171670739467518E-2</v>
      </c>
      <c r="AC16">
        <v>6.1232397278530283E-2</v>
      </c>
      <c r="AD16">
        <v>2.6081221426880359E-2</v>
      </c>
      <c r="AE16">
        <v>2.2164436656045682E-2</v>
      </c>
      <c r="AF16">
        <v>1.8534050554993301E-2</v>
      </c>
      <c r="AG16">
        <v>6.5143690030403892E-2</v>
      </c>
      <c r="AH16">
        <v>0.21900142344868384</v>
      </c>
      <c r="AI16">
        <v>-0.2069777866053632</v>
      </c>
      <c r="AJ16">
        <v>-0.27197482989465854</v>
      </c>
      <c r="AK16">
        <v>-0.2825229400740541</v>
      </c>
      <c r="AL16">
        <v>0.26649379365159032</v>
      </c>
      <c r="AM16">
        <v>-1.6361375704662191E-2</v>
      </c>
      <c r="AN16">
        <v>1.8968224972038601E-2</v>
      </c>
      <c r="AP16">
        <f t="shared" si="2"/>
        <v>0.99999999713866938</v>
      </c>
      <c r="AQ16">
        <f t="shared" si="3"/>
        <v>0.99999999856933464</v>
      </c>
      <c r="AS16">
        <f t="shared" si="4"/>
        <v>-2.9362200754541039E-2</v>
      </c>
      <c r="AT16">
        <f t="shared" si="4"/>
        <v>-7.0072307682990873E-2</v>
      </c>
      <c r="AU16">
        <f t="shared" si="4"/>
        <v>-0.165181816116514</v>
      </c>
      <c r="AV16">
        <f t="shared" si="4"/>
        <v>-0.13475290157447511</v>
      </c>
      <c r="AW16">
        <f t="shared" si="4"/>
        <v>-9.8861114728991797E-2</v>
      </c>
      <c r="AX16">
        <f t="shared" si="4"/>
        <v>-3.7178040126225068E-2</v>
      </c>
      <c r="AY16">
        <f t="shared" si="4"/>
        <v>-0.10895631792247658</v>
      </c>
      <c r="AZ16">
        <f t="shared" si="4"/>
        <v>-9.9479667431603386E-2</v>
      </c>
      <c r="BA16">
        <f t="shared" si="4"/>
        <v>-4.7897560922895658E-3</v>
      </c>
      <c r="BB16">
        <f t="shared" si="4"/>
        <v>8.5180952529718593E-2</v>
      </c>
      <c r="BC16">
        <f t="shared" si="4"/>
        <v>5.4542224451733764E-3</v>
      </c>
      <c r="BD16">
        <f t="shared" si="4"/>
        <v>-2.5150507311855523E-2</v>
      </c>
      <c r="BE16">
        <f t="shared" si="4"/>
        <v>-0.2052513910207738</v>
      </c>
      <c r="BF16">
        <f t="shared" si="4"/>
        <v>-9.673520035725118E-2</v>
      </c>
      <c r="BG16">
        <f t="shared" si="4"/>
        <v>-6.5279513796832861E-2</v>
      </c>
      <c r="BH16">
        <f t="shared" si="4"/>
        <v>0.27453043819499984</v>
      </c>
      <c r="BI16">
        <f t="shared" si="11"/>
        <v>0.31093526822543655</v>
      </c>
      <c r="BJ16">
        <f t="shared" si="11"/>
        <v>0.38099720469853621</v>
      </c>
      <c r="BK16">
        <f t="shared" si="11"/>
        <v>0.37931574804306106</v>
      </c>
      <c r="BL16">
        <f t="shared" si="11"/>
        <v>0.12856286878828802</v>
      </c>
      <c r="BM16">
        <f t="shared" si="11"/>
        <v>2.1879298411816222E-2</v>
      </c>
      <c r="BN16">
        <f t="shared" si="11"/>
        <v>-1.7018360135204292E-2</v>
      </c>
      <c r="BO16">
        <f t="shared" si="11"/>
        <v>5.3049583679030683E-2</v>
      </c>
      <c r="BP16">
        <f t="shared" si="11"/>
        <v>-2.4111663718884901E-2</v>
      </c>
      <c r="BQ16">
        <f t="shared" si="11"/>
        <v>1.8553372772485612E-2</v>
      </c>
      <c r="BR16">
        <f t="shared" si="11"/>
        <v>0.20630871523351629</v>
      </c>
      <c r="BS16">
        <f t="shared" si="11"/>
        <v>-4.1716707454357828E-2</v>
      </c>
      <c r="BT16">
        <f t="shared" si="11"/>
        <v>6.1232397366133354E-2</v>
      </c>
      <c r="BU16">
        <f t="shared" si="10"/>
        <v>2.6081221464193859E-2</v>
      </c>
      <c r="BV16">
        <f t="shared" si="10"/>
        <v>2.2164436687755574E-2</v>
      </c>
      <c r="BW16">
        <f t="shared" si="10"/>
        <v>1.8534050581509327E-2</v>
      </c>
      <c r="BX16">
        <f t="shared" si="10"/>
        <v>6.5143690123602715E-2</v>
      </c>
      <c r="BY16">
        <f t="shared" si="10"/>
        <v>0.2190014237620016</v>
      </c>
      <c r="BZ16">
        <f t="shared" si="10"/>
        <v>-0.20697778690147914</v>
      </c>
      <c r="CA16">
        <f t="shared" si="10"/>
        <v>-0.27197483028376351</v>
      </c>
      <c r="CB16">
        <f t="shared" si="10"/>
        <v>-0.28252294047824988</v>
      </c>
      <c r="CC16">
        <f t="shared" si="10"/>
        <v>0.26649379403285378</v>
      </c>
      <c r="CD16">
        <f t="shared" si="10"/>
        <v>-1.6361375728069845E-2</v>
      </c>
      <c r="CE16">
        <f t="shared" si="10"/>
        <v>1.8968224999175783E-2</v>
      </c>
      <c r="CG16">
        <f t="shared" si="5"/>
        <v>0.99999999999999956</v>
      </c>
      <c r="CH16">
        <f t="shared" si="6"/>
        <v>0.99999999999999978</v>
      </c>
      <c r="CJ16">
        <f t="shared" si="7"/>
        <v>8.9776251740391902E-2</v>
      </c>
      <c r="CL16">
        <f>SUMPRODUCT(AS16:CE16,Dimorfismo!AS16:CE16)</f>
        <v>-0.14081579054665791</v>
      </c>
      <c r="CM16">
        <f t="shared" si="8"/>
        <v>0.14081579054665791</v>
      </c>
      <c r="CN16">
        <f t="shared" si="9"/>
        <v>0.14175777290928165</v>
      </c>
    </row>
    <row r="17" spans="1:92" x14ac:dyDescent="0.25">
      <c r="A17" t="s">
        <v>18</v>
      </c>
      <c r="B17">
        <v>-2.9362200712533554E-2</v>
      </c>
      <c r="C17">
        <v>-7.0072307582740842E-2</v>
      </c>
      <c r="D17">
        <v>-0.16518181588019409</v>
      </c>
      <c r="E17">
        <v>-0.1347529013816888</v>
      </c>
      <c r="F17">
        <v>-9.886111458755463E-2</v>
      </c>
      <c r="G17">
        <v>-3.7178040073035733E-2</v>
      </c>
      <c r="H17">
        <v>-0.10895631776659655</v>
      </c>
      <c r="I17">
        <v>-9.9479667289281273E-2</v>
      </c>
      <c r="J17">
        <v>-4.7897560854370273E-3</v>
      </c>
      <c r="K17">
        <v>8.5180952407853158E-2</v>
      </c>
      <c r="L17">
        <v>5.4542224373702094E-3</v>
      </c>
      <c r="M17">
        <v>-2.5150507275873563E-2</v>
      </c>
      <c r="N17">
        <v>-0.20525139072712775</v>
      </c>
      <c r="O17">
        <v>-9.6735200218855483E-2</v>
      </c>
      <c r="P17">
        <v>-6.527951370343972E-2</v>
      </c>
      <c r="Q17">
        <v>0.27453043780223862</v>
      </c>
      <c r="R17">
        <v>0.31093526778059222</v>
      </c>
      <c r="S17">
        <v>0.38099720415345673</v>
      </c>
      <c r="T17">
        <v>0.37931574750038716</v>
      </c>
      <c r="U17">
        <v>0.12856286860435756</v>
      </c>
      <c r="V17">
        <v>2.1879298380514268E-2</v>
      </c>
      <c r="W17">
        <v>-1.7018360110856712E-2</v>
      </c>
      <c r="X17">
        <v>5.3049583603134484E-2</v>
      </c>
      <c r="Y17">
        <v>-2.4111663684389179E-2</v>
      </c>
      <c r="Z17">
        <v>1.8553372745941946E-2</v>
      </c>
      <c r="AA17">
        <v>0.20630871493835756</v>
      </c>
      <c r="AB17">
        <v>-4.171670739467518E-2</v>
      </c>
      <c r="AC17">
        <v>6.1232397278530283E-2</v>
      </c>
      <c r="AD17">
        <v>2.6081221426880359E-2</v>
      </c>
      <c r="AE17">
        <v>2.2164436656045682E-2</v>
      </c>
      <c r="AF17">
        <v>1.8534050554993301E-2</v>
      </c>
      <c r="AG17">
        <v>6.5143690030403892E-2</v>
      </c>
      <c r="AH17">
        <v>0.21900142344868384</v>
      </c>
      <c r="AI17">
        <v>-0.2069777866053632</v>
      </c>
      <c r="AJ17">
        <v>-0.27197482989465854</v>
      </c>
      <c r="AK17">
        <v>-0.2825229400740541</v>
      </c>
      <c r="AL17">
        <v>0.26649379365159032</v>
      </c>
      <c r="AM17">
        <v>-1.6361375704662191E-2</v>
      </c>
      <c r="AN17">
        <v>1.8968224972038601E-2</v>
      </c>
      <c r="AP17">
        <f t="shared" si="2"/>
        <v>0.99999999713866938</v>
      </c>
      <c r="AQ17">
        <f t="shared" si="3"/>
        <v>0.99999999856933464</v>
      </c>
      <c r="AS17">
        <f t="shared" si="4"/>
        <v>-2.9362200754541039E-2</v>
      </c>
      <c r="AT17">
        <f t="shared" si="4"/>
        <v>-7.0072307682990873E-2</v>
      </c>
      <c r="AU17">
        <f t="shared" si="4"/>
        <v>-0.165181816116514</v>
      </c>
      <c r="AV17">
        <f t="shared" si="4"/>
        <v>-0.13475290157447511</v>
      </c>
      <c r="AW17">
        <f t="shared" si="4"/>
        <v>-9.8861114728991797E-2</v>
      </c>
      <c r="AX17">
        <f t="shared" si="4"/>
        <v>-3.7178040126225068E-2</v>
      </c>
      <c r="AY17">
        <f t="shared" si="4"/>
        <v>-0.10895631792247658</v>
      </c>
      <c r="AZ17">
        <f t="shared" si="4"/>
        <v>-9.9479667431603386E-2</v>
      </c>
      <c r="BA17">
        <f t="shared" si="4"/>
        <v>-4.7897560922895658E-3</v>
      </c>
      <c r="BB17">
        <f t="shared" si="4"/>
        <v>8.5180952529718593E-2</v>
      </c>
      <c r="BC17">
        <f t="shared" si="4"/>
        <v>5.4542224451733764E-3</v>
      </c>
      <c r="BD17">
        <f t="shared" si="4"/>
        <v>-2.5150507311855523E-2</v>
      </c>
      <c r="BE17">
        <f t="shared" si="4"/>
        <v>-0.2052513910207738</v>
      </c>
      <c r="BF17">
        <f t="shared" si="4"/>
        <v>-9.673520035725118E-2</v>
      </c>
      <c r="BG17">
        <f t="shared" si="4"/>
        <v>-6.5279513796832861E-2</v>
      </c>
      <c r="BH17">
        <f t="shared" si="4"/>
        <v>0.27453043819499984</v>
      </c>
      <c r="BI17">
        <f t="shared" si="11"/>
        <v>0.31093526822543655</v>
      </c>
      <c r="BJ17">
        <f t="shared" si="11"/>
        <v>0.38099720469853621</v>
      </c>
      <c r="BK17">
        <f t="shared" si="11"/>
        <v>0.37931574804306106</v>
      </c>
      <c r="BL17">
        <f t="shared" si="11"/>
        <v>0.12856286878828802</v>
      </c>
      <c r="BM17">
        <f t="shared" si="11"/>
        <v>2.1879298411816222E-2</v>
      </c>
      <c r="BN17">
        <f t="shared" si="11"/>
        <v>-1.7018360135204292E-2</v>
      </c>
      <c r="BO17">
        <f t="shared" si="11"/>
        <v>5.3049583679030683E-2</v>
      </c>
      <c r="BP17">
        <f t="shared" si="11"/>
        <v>-2.4111663718884901E-2</v>
      </c>
      <c r="BQ17">
        <f t="shared" si="11"/>
        <v>1.8553372772485612E-2</v>
      </c>
      <c r="BR17">
        <f t="shared" si="11"/>
        <v>0.20630871523351629</v>
      </c>
      <c r="BS17">
        <f t="shared" si="11"/>
        <v>-4.1716707454357828E-2</v>
      </c>
      <c r="BT17">
        <f t="shared" si="11"/>
        <v>6.1232397366133354E-2</v>
      </c>
      <c r="BU17">
        <f t="shared" si="10"/>
        <v>2.6081221464193859E-2</v>
      </c>
      <c r="BV17">
        <f t="shared" si="10"/>
        <v>2.2164436687755574E-2</v>
      </c>
      <c r="BW17">
        <f t="shared" si="10"/>
        <v>1.8534050581509327E-2</v>
      </c>
      <c r="BX17">
        <f t="shared" si="10"/>
        <v>6.5143690123602715E-2</v>
      </c>
      <c r="BY17">
        <f t="shared" si="10"/>
        <v>0.2190014237620016</v>
      </c>
      <c r="BZ17">
        <f t="shared" si="10"/>
        <v>-0.20697778690147914</v>
      </c>
      <c r="CA17">
        <f t="shared" si="10"/>
        <v>-0.27197483028376351</v>
      </c>
      <c r="CB17">
        <f t="shared" si="10"/>
        <v>-0.28252294047824988</v>
      </c>
      <c r="CC17">
        <f t="shared" si="10"/>
        <v>0.26649379403285378</v>
      </c>
      <c r="CD17">
        <f t="shared" si="10"/>
        <v>-1.6361375728069845E-2</v>
      </c>
      <c r="CE17">
        <f t="shared" si="10"/>
        <v>1.8968224999175783E-2</v>
      </c>
      <c r="CG17">
        <f t="shared" si="5"/>
        <v>0.99999999999999956</v>
      </c>
      <c r="CH17">
        <f t="shared" si="6"/>
        <v>0.99999999999999978</v>
      </c>
      <c r="CJ17">
        <f t="shared" si="7"/>
        <v>8.9776251740391902E-2</v>
      </c>
      <c r="CL17">
        <f>SUMPRODUCT(AS17:CE17,Dimorfismo!AS17:CE17)</f>
        <v>0.29562481060632173</v>
      </c>
      <c r="CM17">
        <f t="shared" si="8"/>
        <v>0.29562481060632173</v>
      </c>
      <c r="CN17">
        <f t="shared" si="9"/>
        <v>0.30471859166737414</v>
      </c>
    </row>
    <row r="18" spans="1:92" x14ac:dyDescent="0.25">
      <c r="A18" t="s">
        <v>19</v>
      </c>
      <c r="B18">
        <v>-2.9362200712533554E-2</v>
      </c>
      <c r="C18">
        <v>-7.0072307582740842E-2</v>
      </c>
      <c r="D18">
        <v>-0.16518181588019409</v>
      </c>
      <c r="E18">
        <v>-0.1347529013816888</v>
      </c>
      <c r="F18">
        <v>-9.886111458755463E-2</v>
      </c>
      <c r="G18">
        <v>-3.7178040073035733E-2</v>
      </c>
      <c r="H18">
        <v>-0.10895631776659655</v>
      </c>
      <c r="I18">
        <v>-9.9479667289281273E-2</v>
      </c>
      <c r="J18">
        <v>-4.7897560854370273E-3</v>
      </c>
      <c r="K18">
        <v>8.5180952407853158E-2</v>
      </c>
      <c r="L18">
        <v>5.4542224373702094E-3</v>
      </c>
      <c r="M18">
        <v>-2.5150507275873563E-2</v>
      </c>
      <c r="N18">
        <v>-0.20525139072712775</v>
      </c>
      <c r="O18">
        <v>-9.6735200218855483E-2</v>
      </c>
      <c r="P18">
        <v>-6.527951370343972E-2</v>
      </c>
      <c r="Q18">
        <v>0.27453043780223862</v>
      </c>
      <c r="R18">
        <v>0.31093526778059222</v>
      </c>
      <c r="S18">
        <v>0.38099720415345673</v>
      </c>
      <c r="T18">
        <v>0.37931574750038716</v>
      </c>
      <c r="U18">
        <v>0.12856286860435756</v>
      </c>
      <c r="V18">
        <v>2.1879298380514268E-2</v>
      </c>
      <c r="W18">
        <v>-1.7018360110856712E-2</v>
      </c>
      <c r="X18">
        <v>5.3049583603134484E-2</v>
      </c>
      <c r="Y18">
        <v>-2.4111663684389179E-2</v>
      </c>
      <c r="Z18">
        <v>1.8553372745941946E-2</v>
      </c>
      <c r="AA18">
        <v>0.20630871493835756</v>
      </c>
      <c r="AB18">
        <v>-4.171670739467518E-2</v>
      </c>
      <c r="AC18">
        <v>6.1232397278530283E-2</v>
      </c>
      <c r="AD18">
        <v>2.6081221426880359E-2</v>
      </c>
      <c r="AE18">
        <v>2.2164436656045682E-2</v>
      </c>
      <c r="AF18">
        <v>1.8534050554993301E-2</v>
      </c>
      <c r="AG18">
        <v>6.5143690030403892E-2</v>
      </c>
      <c r="AH18">
        <v>0.21900142344868384</v>
      </c>
      <c r="AI18">
        <v>-0.2069777866053632</v>
      </c>
      <c r="AJ18">
        <v>-0.27197482989465854</v>
      </c>
      <c r="AK18">
        <v>-0.2825229400740541</v>
      </c>
      <c r="AL18">
        <v>0.26649379365159032</v>
      </c>
      <c r="AM18">
        <v>-1.6361375704662191E-2</v>
      </c>
      <c r="AN18">
        <v>1.8968224972038601E-2</v>
      </c>
      <c r="AP18">
        <f t="shared" si="2"/>
        <v>0.99999999713866938</v>
      </c>
      <c r="AQ18">
        <f t="shared" si="3"/>
        <v>0.99999999856933464</v>
      </c>
      <c r="AS18">
        <f t="shared" si="4"/>
        <v>-2.9362200754541039E-2</v>
      </c>
      <c r="AT18">
        <f t="shared" si="4"/>
        <v>-7.0072307682990873E-2</v>
      </c>
      <c r="AU18">
        <f t="shared" si="4"/>
        <v>-0.165181816116514</v>
      </c>
      <c r="AV18">
        <f t="shared" si="4"/>
        <v>-0.13475290157447511</v>
      </c>
      <c r="AW18">
        <f t="shared" si="4"/>
        <v>-9.8861114728991797E-2</v>
      </c>
      <c r="AX18">
        <f t="shared" si="4"/>
        <v>-3.7178040126225068E-2</v>
      </c>
      <c r="AY18">
        <f t="shared" si="4"/>
        <v>-0.10895631792247658</v>
      </c>
      <c r="AZ18">
        <f t="shared" si="4"/>
        <v>-9.9479667431603386E-2</v>
      </c>
      <c r="BA18">
        <f t="shared" si="4"/>
        <v>-4.7897560922895658E-3</v>
      </c>
      <c r="BB18">
        <f t="shared" si="4"/>
        <v>8.5180952529718593E-2</v>
      </c>
      <c r="BC18">
        <f t="shared" si="4"/>
        <v>5.4542224451733764E-3</v>
      </c>
      <c r="BD18">
        <f t="shared" si="4"/>
        <v>-2.5150507311855523E-2</v>
      </c>
      <c r="BE18">
        <f t="shared" si="4"/>
        <v>-0.2052513910207738</v>
      </c>
      <c r="BF18">
        <f t="shared" si="4"/>
        <v>-9.673520035725118E-2</v>
      </c>
      <c r="BG18">
        <f t="shared" si="4"/>
        <v>-6.5279513796832861E-2</v>
      </c>
      <c r="BH18">
        <f t="shared" si="4"/>
        <v>0.27453043819499984</v>
      </c>
      <c r="BI18">
        <f t="shared" si="11"/>
        <v>0.31093526822543655</v>
      </c>
      <c r="BJ18">
        <f t="shared" si="11"/>
        <v>0.38099720469853621</v>
      </c>
      <c r="BK18">
        <f t="shared" si="11"/>
        <v>0.37931574804306106</v>
      </c>
      <c r="BL18">
        <f t="shared" si="11"/>
        <v>0.12856286878828802</v>
      </c>
      <c r="BM18">
        <f t="shared" si="11"/>
        <v>2.1879298411816222E-2</v>
      </c>
      <c r="BN18">
        <f t="shared" si="11"/>
        <v>-1.7018360135204292E-2</v>
      </c>
      <c r="BO18">
        <f t="shared" si="11"/>
        <v>5.3049583679030683E-2</v>
      </c>
      <c r="BP18">
        <f t="shared" si="11"/>
        <v>-2.4111663718884901E-2</v>
      </c>
      <c r="BQ18">
        <f t="shared" si="11"/>
        <v>1.8553372772485612E-2</v>
      </c>
      <c r="BR18">
        <f t="shared" si="11"/>
        <v>0.20630871523351629</v>
      </c>
      <c r="BS18">
        <f t="shared" si="11"/>
        <v>-4.1716707454357828E-2</v>
      </c>
      <c r="BT18">
        <f t="shared" si="11"/>
        <v>6.1232397366133354E-2</v>
      </c>
      <c r="BU18">
        <f t="shared" si="10"/>
        <v>2.6081221464193859E-2</v>
      </c>
      <c r="BV18">
        <f t="shared" si="10"/>
        <v>2.2164436687755574E-2</v>
      </c>
      <c r="BW18">
        <f t="shared" si="10"/>
        <v>1.8534050581509327E-2</v>
      </c>
      <c r="BX18">
        <f t="shared" si="10"/>
        <v>6.5143690123602715E-2</v>
      </c>
      <c r="BY18">
        <f t="shared" si="10"/>
        <v>0.2190014237620016</v>
      </c>
      <c r="BZ18">
        <f t="shared" si="10"/>
        <v>-0.20697778690147914</v>
      </c>
      <c r="CA18">
        <f t="shared" si="10"/>
        <v>-0.27197483028376351</v>
      </c>
      <c r="CB18">
        <f t="shared" si="10"/>
        <v>-0.28252294047824988</v>
      </c>
      <c r="CC18">
        <f t="shared" si="10"/>
        <v>0.26649379403285378</v>
      </c>
      <c r="CD18">
        <f t="shared" si="10"/>
        <v>-1.6361375728069845E-2</v>
      </c>
      <c r="CE18">
        <f t="shared" si="10"/>
        <v>1.8968224999175783E-2</v>
      </c>
      <c r="CG18">
        <f t="shared" si="5"/>
        <v>0.99999999999999956</v>
      </c>
      <c r="CH18">
        <f t="shared" si="6"/>
        <v>0.99999999999999978</v>
      </c>
      <c r="CJ18">
        <f t="shared" si="7"/>
        <v>8.9776251740391902E-2</v>
      </c>
      <c r="CL18">
        <f>SUMPRODUCT(AS18:CE18,Dimorfismo!AS18:CE18)</f>
        <v>0.18150901119446994</v>
      </c>
      <c r="CM18">
        <f t="shared" si="8"/>
        <v>0.18150901119446994</v>
      </c>
      <c r="CN18">
        <f t="shared" si="9"/>
        <v>0.18354266807912326</v>
      </c>
    </row>
    <row r="19" spans="1:92" x14ac:dyDescent="0.25">
      <c r="A19" t="s">
        <v>20</v>
      </c>
      <c r="B19">
        <v>-2.9362200712533554E-2</v>
      </c>
      <c r="C19">
        <v>-7.0072307582740842E-2</v>
      </c>
      <c r="D19">
        <v>-0.16518181588019409</v>
      </c>
      <c r="E19">
        <v>-0.1347529013816888</v>
      </c>
      <c r="F19">
        <v>-9.886111458755463E-2</v>
      </c>
      <c r="G19">
        <v>-3.7178040073035733E-2</v>
      </c>
      <c r="H19">
        <v>-0.10895631776659655</v>
      </c>
      <c r="I19">
        <v>-9.9479667289281273E-2</v>
      </c>
      <c r="J19">
        <v>-4.7897560854370273E-3</v>
      </c>
      <c r="K19">
        <v>8.5180952407853158E-2</v>
      </c>
      <c r="L19">
        <v>5.4542224373702094E-3</v>
      </c>
      <c r="M19">
        <v>-2.5150507275873563E-2</v>
      </c>
      <c r="N19">
        <v>-0.20525139072712775</v>
      </c>
      <c r="O19">
        <v>-9.6735200218855483E-2</v>
      </c>
      <c r="P19">
        <v>-6.527951370343972E-2</v>
      </c>
      <c r="Q19">
        <v>0.27453043780223862</v>
      </c>
      <c r="R19">
        <v>0.31093526778059222</v>
      </c>
      <c r="S19">
        <v>0.38099720415345673</v>
      </c>
      <c r="T19">
        <v>0.37931574750038716</v>
      </c>
      <c r="U19">
        <v>0.12856286860435756</v>
      </c>
      <c r="V19">
        <v>2.1879298380514268E-2</v>
      </c>
      <c r="W19">
        <v>-1.7018360110856712E-2</v>
      </c>
      <c r="X19">
        <v>5.3049583603134484E-2</v>
      </c>
      <c r="Y19">
        <v>-2.4111663684389179E-2</v>
      </c>
      <c r="Z19">
        <v>1.8553372745941946E-2</v>
      </c>
      <c r="AA19">
        <v>0.20630871493835756</v>
      </c>
      <c r="AB19">
        <v>-4.171670739467518E-2</v>
      </c>
      <c r="AC19">
        <v>6.1232397278530283E-2</v>
      </c>
      <c r="AD19">
        <v>2.6081221426880359E-2</v>
      </c>
      <c r="AE19">
        <v>2.2164436656045682E-2</v>
      </c>
      <c r="AF19">
        <v>1.8534050554993301E-2</v>
      </c>
      <c r="AG19">
        <v>6.5143690030403892E-2</v>
      </c>
      <c r="AH19">
        <v>0.21900142344868384</v>
      </c>
      <c r="AI19">
        <v>-0.2069777866053632</v>
      </c>
      <c r="AJ19">
        <v>-0.27197482989465854</v>
      </c>
      <c r="AK19">
        <v>-0.2825229400740541</v>
      </c>
      <c r="AL19">
        <v>0.26649379365159032</v>
      </c>
      <c r="AM19">
        <v>-1.6361375704662191E-2</v>
      </c>
      <c r="AN19">
        <v>1.8968224972038601E-2</v>
      </c>
      <c r="AP19">
        <f t="shared" si="2"/>
        <v>0.99999999713866938</v>
      </c>
      <c r="AQ19">
        <f t="shared" si="3"/>
        <v>0.99999999856933464</v>
      </c>
      <c r="AS19">
        <f t="shared" si="4"/>
        <v>-2.9362200754541039E-2</v>
      </c>
      <c r="AT19">
        <f t="shared" si="4"/>
        <v>-7.0072307682990873E-2</v>
      </c>
      <c r="AU19">
        <f t="shared" si="4"/>
        <v>-0.165181816116514</v>
      </c>
      <c r="AV19">
        <f t="shared" si="4"/>
        <v>-0.13475290157447511</v>
      </c>
      <c r="AW19">
        <f t="shared" si="4"/>
        <v>-9.8861114728991797E-2</v>
      </c>
      <c r="AX19">
        <f t="shared" si="4"/>
        <v>-3.7178040126225068E-2</v>
      </c>
      <c r="AY19">
        <f t="shared" si="4"/>
        <v>-0.10895631792247658</v>
      </c>
      <c r="AZ19">
        <f t="shared" si="4"/>
        <v>-9.9479667431603386E-2</v>
      </c>
      <c r="BA19">
        <f t="shared" si="4"/>
        <v>-4.7897560922895658E-3</v>
      </c>
      <c r="BB19">
        <f t="shared" si="4"/>
        <v>8.5180952529718593E-2</v>
      </c>
      <c r="BC19">
        <f t="shared" si="4"/>
        <v>5.4542224451733764E-3</v>
      </c>
      <c r="BD19">
        <f t="shared" si="4"/>
        <v>-2.5150507311855523E-2</v>
      </c>
      <c r="BE19">
        <f t="shared" si="4"/>
        <v>-0.2052513910207738</v>
      </c>
      <c r="BF19">
        <f t="shared" si="4"/>
        <v>-9.673520035725118E-2</v>
      </c>
      <c r="BG19">
        <f t="shared" si="4"/>
        <v>-6.5279513796832861E-2</v>
      </c>
      <c r="BH19">
        <f t="shared" si="4"/>
        <v>0.27453043819499984</v>
      </c>
      <c r="BI19">
        <f t="shared" si="11"/>
        <v>0.31093526822543655</v>
      </c>
      <c r="BJ19">
        <f t="shared" si="11"/>
        <v>0.38099720469853621</v>
      </c>
      <c r="BK19">
        <f t="shared" si="11"/>
        <v>0.37931574804306106</v>
      </c>
      <c r="BL19">
        <f t="shared" si="11"/>
        <v>0.12856286878828802</v>
      </c>
      <c r="BM19">
        <f t="shared" si="11"/>
        <v>2.1879298411816222E-2</v>
      </c>
      <c r="BN19">
        <f t="shared" si="11"/>
        <v>-1.7018360135204292E-2</v>
      </c>
      <c r="BO19">
        <f t="shared" si="11"/>
        <v>5.3049583679030683E-2</v>
      </c>
      <c r="BP19">
        <f t="shared" si="11"/>
        <v>-2.4111663718884901E-2</v>
      </c>
      <c r="BQ19">
        <f t="shared" si="11"/>
        <v>1.8553372772485612E-2</v>
      </c>
      <c r="BR19">
        <f t="shared" si="11"/>
        <v>0.20630871523351629</v>
      </c>
      <c r="BS19">
        <f t="shared" si="11"/>
        <v>-4.1716707454357828E-2</v>
      </c>
      <c r="BT19">
        <f t="shared" si="11"/>
        <v>6.1232397366133354E-2</v>
      </c>
      <c r="BU19">
        <f t="shared" si="10"/>
        <v>2.6081221464193859E-2</v>
      </c>
      <c r="BV19">
        <f t="shared" si="10"/>
        <v>2.2164436687755574E-2</v>
      </c>
      <c r="BW19">
        <f t="shared" si="10"/>
        <v>1.8534050581509327E-2</v>
      </c>
      <c r="BX19">
        <f t="shared" si="10"/>
        <v>6.5143690123602715E-2</v>
      </c>
      <c r="BY19">
        <f t="shared" si="10"/>
        <v>0.2190014237620016</v>
      </c>
      <c r="BZ19">
        <f t="shared" si="10"/>
        <v>-0.20697778690147914</v>
      </c>
      <c r="CA19">
        <f t="shared" si="10"/>
        <v>-0.27197483028376351</v>
      </c>
      <c r="CB19">
        <f t="shared" si="10"/>
        <v>-0.28252294047824988</v>
      </c>
      <c r="CC19">
        <f t="shared" si="10"/>
        <v>0.26649379403285378</v>
      </c>
      <c r="CD19">
        <f t="shared" si="10"/>
        <v>-1.6361375728069845E-2</v>
      </c>
      <c r="CE19">
        <f t="shared" si="10"/>
        <v>1.8968224999175783E-2</v>
      </c>
      <c r="CG19">
        <f t="shared" si="5"/>
        <v>0.99999999999999956</v>
      </c>
      <c r="CH19">
        <f t="shared" si="6"/>
        <v>0.99999999999999978</v>
      </c>
      <c r="CJ19">
        <f t="shared" si="7"/>
        <v>8.9776251740391902E-2</v>
      </c>
      <c r="CL19">
        <f>SUMPRODUCT(AS19:CE19,Dimorfismo!AS19:CE19)</f>
        <v>1.0345313228943004E-2</v>
      </c>
      <c r="CM19">
        <f t="shared" si="8"/>
        <v>1.0345313228943004E-2</v>
      </c>
      <c r="CN19">
        <f t="shared" si="9"/>
        <v>1.0345682323438557E-2</v>
      </c>
    </row>
    <row r="20" spans="1:92" x14ac:dyDescent="0.25">
      <c r="A20" t="s">
        <v>21</v>
      </c>
      <c r="B20">
        <v>-2.9362200712533554E-2</v>
      </c>
      <c r="C20">
        <v>-7.0072307582740842E-2</v>
      </c>
      <c r="D20">
        <v>-0.16518181588019409</v>
      </c>
      <c r="E20">
        <v>-0.1347529013816888</v>
      </c>
      <c r="F20">
        <v>-9.886111458755463E-2</v>
      </c>
      <c r="G20">
        <v>-3.7178040073035733E-2</v>
      </c>
      <c r="H20">
        <v>-0.10895631776659655</v>
      </c>
      <c r="I20">
        <v>-9.9479667289281273E-2</v>
      </c>
      <c r="J20">
        <v>-4.7897560854370273E-3</v>
      </c>
      <c r="K20">
        <v>8.5180952407853158E-2</v>
      </c>
      <c r="L20">
        <v>5.4542224373702094E-3</v>
      </c>
      <c r="M20">
        <v>-2.5150507275873563E-2</v>
      </c>
      <c r="N20">
        <v>-0.20525139072712775</v>
      </c>
      <c r="O20">
        <v>-9.6735200218855483E-2</v>
      </c>
      <c r="P20">
        <v>-6.527951370343972E-2</v>
      </c>
      <c r="Q20">
        <v>0.27453043780223862</v>
      </c>
      <c r="R20">
        <v>0.31093526778059222</v>
      </c>
      <c r="S20">
        <v>0.38099720415345673</v>
      </c>
      <c r="T20">
        <v>0.37931574750038716</v>
      </c>
      <c r="U20">
        <v>0.12856286860435756</v>
      </c>
      <c r="V20">
        <v>2.1879298380514268E-2</v>
      </c>
      <c r="W20">
        <v>-1.7018360110856712E-2</v>
      </c>
      <c r="X20">
        <v>5.3049583603134484E-2</v>
      </c>
      <c r="Y20">
        <v>-2.4111663684389179E-2</v>
      </c>
      <c r="Z20">
        <v>1.8553372745941946E-2</v>
      </c>
      <c r="AA20">
        <v>0.20630871493835756</v>
      </c>
      <c r="AB20">
        <v>-4.171670739467518E-2</v>
      </c>
      <c r="AC20">
        <v>6.1232397278530283E-2</v>
      </c>
      <c r="AD20">
        <v>2.6081221426880359E-2</v>
      </c>
      <c r="AE20">
        <v>2.2164436656045682E-2</v>
      </c>
      <c r="AF20">
        <v>1.8534050554993301E-2</v>
      </c>
      <c r="AG20">
        <v>6.5143690030403892E-2</v>
      </c>
      <c r="AH20">
        <v>0.21900142344868384</v>
      </c>
      <c r="AI20">
        <v>-0.2069777866053632</v>
      </c>
      <c r="AJ20">
        <v>-0.27197482989465854</v>
      </c>
      <c r="AK20">
        <v>-0.2825229400740541</v>
      </c>
      <c r="AL20">
        <v>0.26649379365159032</v>
      </c>
      <c r="AM20">
        <v>-1.6361375704662191E-2</v>
      </c>
      <c r="AN20">
        <v>1.8968224972038601E-2</v>
      </c>
      <c r="AP20">
        <f t="shared" si="2"/>
        <v>0.99999999713866938</v>
      </c>
      <c r="AQ20">
        <f t="shared" si="3"/>
        <v>0.99999999856933464</v>
      </c>
      <c r="AS20">
        <f t="shared" si="4"/>
        <v>-2.9362200754541039E-2</v>
      </c>
      <c r="AT20">
        <f t="shared" si="4"/>
        <v>-7.0072307682990873E-2</v>
      </c>
      <c r="AU20">
        <f t="shared" si="4"/>
        <v>-0.165181816116514</v>
      </c>
      <c r="AV20">
        <f t="shared" si="4"/>
        <v>-0.13475290157447511</v>
      </c>
      <c r="AW20">
        <f t="shared" si="4"/>
        <v>-9.8861114728991797E-2</v>
      </c>
      <c r="AX20">
        <f t="shared" si="4"/>
        <v>-3.7178040126225068E-2</v>
      </c>
      <c r="AY20">
        <f t="shared" si="4"/>
        <v>-0.10895631792247658</v>
      </c>
      <c r="AZ20">
        <f t="shared" si="4"/>
        <v>-9.9479667431603386E-2</v>
      </c>
      <c r="BA20">
        <f t="shared" si="4"/>
        <v>-4.7897560922895658E-3</v>
      </c>
      <c r="BB20">
        <f t="shared" si="4"/>
        <v>8.5180952529718593E-2</v>
      </c>
      <c r="BC20">
        <f t="shared" si="4"/>
        <v>5.4542224451733764E-3</v>
      </c>
      <c r="BD20">
        <f t="shared" si="4"/>
        <v>-2.5150507311855523E-2</v>
      </c>
      <c r="BE20">
        <f t="shared" si="4"/>
        <v>-0.2052513910207738</v>
      </c>
      <c r="BF20">
        <f t="shared" si="4"/>
        <v>-9.673520035725118E-2</v>
      </c>
      <c r="BG20">
        <f t="shared" si="4"/>
        <v>-6.5279513796832861E-2</v>
      </c>
      <c r="BH20">
        <f t="shared" si="4"/>
        <v>0.27453043819499984</v>
      </c>
      <c r="BI20">
        <f t="shared" si="11"/>
        <v>0.31093526822543655</v>
      </c>
      <c r="BJ20">
        <f t="shared" si="11"/>
        <v>0.38099720469853621</v>
      </c>
      <c r="BK20">
        <f t="shared" si="11"/>
        <v>0.37931574804306106</v>
      </c>
      <c r="BL20">
        <f t="shared" si="11"/>
        <v>0.12856286878828802</v>
      </c>
      <c r="BM20">
        <f t="shared" si="11"/>
        <v>2.1879298411816222E-2</v>
      </c>
      <c r="BN20">
        <f t="shared" si="11"/>
        <v>-1.7018360135204292E-2</v>
      </c>
      <c r="BO20">
        <f t="shared" si="11"/>
        <v>5.3049583679030683E-2</v>
      </c>
      <c r="BP20">
        <f t="shared" si="11"/>
        <v>-2.4111663718884901E-2</v>
      </c>
      <c r="BQ20">
        <f t="shared" si="11"/>
        <v>1.8553372772485612E-2</v>
      </c>
      <c r="BR20">
        <f t="shared" si="11"/>
        <v>0.20630871523351629</v>
      </c>
      <c r="BS20">
        <f t="shared" si="11"/>
        <v>-4.1716707454357828E-2</v>
      </c>
      <c r="BT20">
        <f t="shared" si="11"/>
        <v>6.1232397366133354E-2</v>
      </c>
      <c r="BU20">
        <f t="shared" si="10"/>
        <v>2.6081221464193859E-2</v>
      </c>
      <c r="BV20">
        <f t="shared" si="10"/>
        <v>2.2164436687755574E-2</v>
      </c>
      <c r="BW20">
        <f t="shared" si="10"/>
        <v>1.8534050581509327E-2</v>
      </c>
      <c r="BX20">
        <f t="shared" si="10"/>
        <v>6.5143690123602715E-2</v>
      </c>
      <c r="BY20">
        <f t="shared" si="10"/>
        <v>0.2190014237620016</v>
      </c>
      <c r="BZ20">
        <f t="shared" si="10"/>
        <v>-0.20697778690147914</v>
      </c>
      <c r="CA20">
        <f t="shared" si="10"/>
        <v>-0.27197483028376351</v>
      </c>
      <c r="CB20">
        <f t="shared" si="10"/>
        <v>-0.28252294047824988</v>
      </c>
      <c r="CC20">
        <f t="shared" si="10"/>
        <v>0.26649379403285378</v>
      </c>
      <c r="CD20">
        <f t="shared" si="10"/>
        <v>-1.6361375728069845E-2</v>
      </c>
      <c r="CE20">
        <f t="shared" si="10"/>
        <v>1.8968224999175783E-2</v>
      </c>
      <c r="CG20">
        <f t="shared" si="5"/>
        <v>0.99999999999999956</v>
      </c>
      <c r="CH20">
        <f t="shared" si="6"/>
        <v>0.99999999999999978</v>
      </c>
      <c r="CJ20">
        <f t="shared" si="7"/>
        <v>8.9776251740391902E-2</v>
      </c>
      <c r="CL20">
        <f>SUMPRODUCT(AS20:CE20,Dimorfismo!AS20:CE20)</f>
        <v>-5.9361913993547033E-3</v>
      </c>
      <c r="CM20">
        <f t="shared" si="8"/>
        <v>5.9361913993547033E-3</v>
      </c>
      <c r="CN20">
        <f t="shared" si="9"/>
        <v>5.9362611280620115E-3</v>
      </c>
    </row>
    <row r="21" spans="1:92" x14ac:dyDescent="0.25">
      <c r="A21" t="s">
        <v>22</v>
      </c>
      <c r="B21">
        <v>-2.9362200712533554E-2</v>
      </c>
      <c r="C21">
        <v>-7.0072307582740842E-2</v>
      </c>
      <c r="D21">
        <v>-0.16518181588019409</v>
      </c>
      <c r="E21">
        <v>-0.1347529013816888</v>
      </c>
      <c r="F21">
        <v>-9.886111458755463E-2</v>
      </c>
      <c r="G21">
        <v>-3.7178040073035733E-2</v>
      </c>
      <c r="H21">
        <v>-0.10895631776659655</v>
      </c>
      <c r="I21">
        <v>-9.9479667289281273E-2</v>
      </c>
      <c r="J21">
        <v>-4.7897560854370273E-3</v>
      </c>
      <c r="K21">
        <v>8.5180952407853158E-2</v>
      </c>
      <c r="L21">
        <v>5.4542224373702094E-3</v>
      </c>
      <c r="M21">
        <v>-2.5150507275873563E-2</v>
      </c>
      <c r="N21">
        <v>-0.20525139072712775</v>
      </c>
      <c r="O21">
        <v>-9.6735200218855483E-2</v>
      </c>
      <c r="P21">
        <v>-6.527951370343972E-2</v>
      </c>
      <c r="Q21">
        <v>0.27453043780223862</v>
      </c>
      <c r="R21">
        <v>0.31093526778059222</v>
      </c>
      <c r="S21">
        <v>0.38099720415345673</v>
      </c>
      <c r="T21">
        <v>0.37931574750038716</v>
      </c>
      <c r="U21">
        <v>0.12856286860435756</v>
      </c>
      <c r="V21">
        <v>2.1879298380514268E-2</v>
      </c>
      <c r="W21">
        <v>-1.7018360110856712E-2</v>
      </c>
      <c r="X21">
        <v>5.3049583603134484E-2</v>
      </c>
      <c r="Y21">
        <v>-2.4111663684389179E-2</v>
      </c>
      <c r="Z21">
        <v>1.8553372745941946E-2</v>
      </c>
      <c r="AA21">
        <v>0.20630871493835756</v>
      </c>
      <c r="AB21">
        <v>-4.171670739467518E-2</v>
      </c>
      <c r="AC21">
        <v>6.1232397278530283E-2</v>
      </c>
      <c r="AD21">
        <v>2.6081221426880359E-2</v>
      </c>
      <c r="AE21">
        <v>2.2164436656045682E-2</v>
      </c>
      <c r="AF21">
        <v>1.8534050554993301E-2</v>
      </c>
      <c r="AG21">
        <v>6.5143690030403892E-2</v>
      </c>
      <c r="AH21">
        <v>0.21900142344868384</v>
      </c>
      <c r="AI21">
        <v>-0.2069777866053632</v>
      </c>
      <c r="AJ21">
        <v>-0.27197482989465854</v>
      </c>
      <c r="AK21">
        <v>-0.2825229400740541</v>
      </c>
      <c r="AL21">
        <v>0.26649379365159032</v>
      </c>
      <c r="AM21">
        <v>-1.6361375704662191E-2</v>
      </c>
      <c r="AN21">
        <v>1.8968224972038601E-2</v>
      </c>
      <c r="AP21">
        <f t="shared" si="2"/>
        <v>0.99999999713866938</v>
      </c>
      <c r="AQ21">
        <f t="shared" si="3"/>
        <v>0.99999999856933464</v>
      </c>
      <c r="AS21">
        <f t="shared" si="4"/>
        <v>-2.9362200754541039E-2</v>
      </c>
      <c r="AT21">
        <f t="shared" si="4"/>
        <v>-7.0072307682990873E-2</v>
      </c>
      <c r="AU21">
        <f t="shared" si="4"/>
        <v>-0.165181816116514</v>
      </c>
      <c r="AV21">
        <f t="shared" si="4"/>
        <v>-0.13475290157447511</v>
      </c>
      <c r="AW21">
        <f t="shared" si="4"/>
        <v>-9.8861114728991797E-2</v>
      </c>
      <c r="AX21">
        <f t="shared" si="4"/>
        <v>-3.7178040126225068E-2</v>
      </c>
      <c r="AY21">
        <f t="shared" si="4"/>
        <v>-0.10895631792247658</v>
      </c>
      <c r="AZ21">
        <f t="shared" si="4"/>
        <v>-9.9479667431603386E-2</v>
      </c>
      <c r="BA21">
        <f t="shared" si="4"/>
        <v>-4.7897560922895658E-3</v>
      </c>
      <c r="BB21">
        <f t="shared" si="4"/>
        <v>8.5180952529718593E-2</v>
      </c>
      <c r="BC21">
        <f t="shared" si="4"/>
        <v>5.4542224451733764E-3</v>
      </c>
      <c r="BD21">
        <f t="shared" si="4"/>
        <v>-2.5150507311855523E-2</v>
      </c>
      <c r="BE21">
        <f t="shared" si="4"/>
        <v>-0.2052513910207738</v>
      </c>
      <c r="BF21">
        <f t="shared" si="4"/>
        <v>-9.673520035725118E-2</v>
      </c>
      <c r="BG21">
        <f t="shared" si="4"/>
        <v>-6.5279513796832861E-2</v>
      </c>
      <c r="BH21">
        <f t="shared" si="4"/>
        <v>0.27453043819499984</v>
      </c>
      <c r="BI21">
        <f t="shared" si="11"/>
        <v>0.31093526822543655</v>
      </c>
      <c r="BJ21">
        <f t="shared" si="11"/>
        <v>0.38099720469853621</v>
      </c>
      <c r="BK21">
        <f t="shared" si="11"/>
        <v>0.37931574804306106</v>
      </c>
      <c r="BL21">
        <f t="shared" si="11"/>
        <v>0.12856286878828802</v>
      </c>
      <c r="BM21">
        <f t="shared" si="11"/>
        <v>2.1879298411816222E-2</v>
      </c>
      <c r="BN21">
        <f t="shared" si="11"/>
        <v>-1.7018360135204292E-2</v>
      </c>
      <c r="BO21">
        <f t="shared" si="11"/>
        <v>5.3049583679030683E-2</v>
      </c>
      <c r="BP21">
        <f t="shared" si="11"/>
        <v>-2.4111663718884901E-2</v>
      </c>
      <c r="BQ21">
        <f t="shared" si="11"/>
        <v>1.8553372772485612E-2</v>
      </c>
      <c r="BR21">
        <f t="shared" si="11"/>
        <v>0.20630871523351629</v>
      </c>
      <c r="BS21">
        <f t="shared" si="11"/>
        <v>-4.1716707454357828E-2</v>
      </c>
      <c r="BT21">
        <f t="shared" si="11"/>
        <v>6.1232397366133354E-2</v>
      </c>
      <c r="BU21">
        <f t="shared" si="10"/>
        <v>2.6081221464193859E-2</v>
      </c>
      <c r="BV21">
        <f t="shared" si="10"/>
        <v>2.2164436687755574E-2</v>
      </c>
      <c r="BW21">
        <f t="shared" si="10"/>
        <v>1.8534050581509327E-2</v>
      </c>
      <c r="BX21">
        <f t="shared" si="10"/>
        <v>6.5143690123602715E-2</v>
      </c>
      <c r="BY21">
        <f t="shared" si="10"/>
        <v>0.2190014237620016</v>
      </c>
      <c r="BZ21">
        <f t="shared" si="10"/>
        <v>-0.20697778690147914</v>
      </c>
      <c r="CA21">
        <f t="shared" si="10"/>
        <v>-0.27197483028376351</v>
      </c>
      <c r="CB21">
        <f t="shared" si="10"/>
        <v>-0.28252294047824988</v>
      </c>
      <c r="CC21">
        <f t="shared" si="10"/>
        <v>0.26649379403285378</v>
      </c>
      <c r="CD21">
        <f t="shared" si="10"/>
        <v>-1.6361375728069845E-2</v>
      </c>
      <c r="CE21">
        <f t="shared" si="10"/>
        <v>1.8968224999175783E-2</v>
      </c>
      <c r="CG21">
        <f t="shared" si="5"/>
        <v>0.99999999999999956</v>
      </c>
      <c r="CH21">
        <f t="shared" si="6"/>
        <v>0.99999999999999978</v>
      </c>
      <c r="CJ21">
        <f t="shared" si="7"/>
        <v>8.9776251740391902E-2</v>
      </c>
      <c r="CL21">
        <f>SUMPRODUCT(AS21:CE21,Dimorfismo!AS21:CE21)</f>
        <v>1.4341334255300875E-2</v>
      </c>
      <c r="CM21">
        <f t="shared" si="8"/>
        <v>1.4341334255300875E-2</v>
      </c>
      <c r="CN21">
        <f t="shared" si="9"/>
        <v>1.4342317589215349E-2</v>
      </c>
    </row>
    <row r="22" spans="1:92" x14ac:dyDescent="0.25">
      <c r="A22" t="s">
        <v>23</v>
      </c>
      <c r="B22">
        <v>-2.9362200712533554E-2</v>
      </c>
      <c r="C22">
        <v>-7.0072307582740842E-2</v>
      </c>
      <c r="D22">
        <v>-0.16518181588019409</v>
      </c>
      <c r="E22">
        <v>-0.1347529013816888</v>
      </c>
      <c r="F22">
        <v>-9.886111458755463E-2</v>
      </c>
      <c r="G22">
        <v>-3.7178040073035733E-2</v>
      </c>
      <c r="H22">
        <v>-0.10895631776659655</v>
      </c>
      <c r="I22">
        <v>-9.9479667289281273E-2</v>
      </c>
      <c r="J22">
        <v>-4.7897560854370273E-3</v>
      </c>
      <c r="K22">
        <v>8.5180952407853158E-2</v>
      </c>
      <c r="L22">
        <v>5.4542224373702094E-3</v>
      </c>
      <c r="M22">
        <v>-2.5150507275873563E-2</v>
      </c>
      <c r="N22">
        <v>-0.20525139072712775</v>
      </c>
      <c r="O22">
        <v>-9.6735200218855483E-2</v>
      </c>
      <c r="P22">
        <v>-6.527951370343972E-2</v>
      </c>
      <c r="Q22">
        <v>0.27453043780223862</v>
      </c>
      <c r="R22">
        <v>0.31093526778059222</v>
      </c>
      <c r="S22">
        <v>0.38099720415345673</v>
      </c>
      <c r="T22">
        <v>0.37931574750038716</v>
      </c>
      <c r="U22">
        <v>0.12856286860435756</v>
      </c>
      <c r="V22">
        <v>2.1879298380514268E-2</v>
      </c>
      <c r="W22">
        <v>-1.7018360110856712E-2</v>
      </c>
      <c r="X22">
        <v>5.3049583603134484E-2</v>
      </c>
      <c r="Y22">
        <v>-2.4111663684389179E-2</v>
      </c>
      <c r="Z22">
        <v>1.8553372745941946E-2</v>
      </c>
      <c r="AA22">
        <v>0.20630871493835756</v>
      </c>
      <c r="AB22">
        <v>-4.171670739467518E-2</v>
      </c>
      <c r="AC22">
        <v>6.1232397278530283E-2</v>
      </c>
      <c r="AD22">
        <v>2.6081221426880359E-2</v>
      </c>
      <c r="AE22">
        <v>2.2164436656045682E-2</v>
      </c>
      <c r="AF22">
        <v>1.8534050554993301E-2</v>
      </c>
      <c r="AG22">
        <v>6.5143690030403892E-2</v>
      </c>
      <c r="AH22">
        <v>0.21900142344868384</v>
      </c>
      <c r="AI22">
        <v>-0.2069777866053632</v>
      </c>
      <c r="AJ22">
        <v>-0.27197482989465854</v>
      </c>
      <c r="AK22">
        <v>-0.2825229400740541</v>
      </c>
      <c r="AL22">
        <v>0.26649379365159032</v>
      </c>
      <c r="AM22">
        <v>-1.6361375704662191E-2</v>
      </c>
      <c r="AN22">
        <v>1.8968224972038601E-2</v>
      </c>
      <c r="AP22">
        <f t="shared" si="2"/>
        <v>0.99999999713866938</v>
      </c>
      <c r="AQ22">
        <f t="shared" si="3"/>
        <v>0.99999999856933464</v>
      </c>
      <c r="AS22">
        <f t="shared" si="4"/>
        <v>-2.9362200754541039E-2</v>
      </c>
      <c r="AT22">
        <f t="shared" si="4"/>
        <v>-7.0072307682990873E-2</v>
      </c>
      <c r="AU22">
        <f t="shared" si="4"/>
        <v>-0.165181816116514</v>
      </c>
      <c r="AV22">
        <f t="shared" si="4"/>
        <v>-0.13475290157447511</v>
      </c>
      <c r="AW22">
        <f t="shared" si="4"/>
        <v>-9.8861114728991797E-2</v>
      </c>
      <c r="AX22">
        <f t="shared" si="4"/>
        <v>-3.7178040126225068E-2</v>
      </c>
      <c r="AY22">
        <f t="shared" si="4"/>
        <v>-0.10895631792247658</v>
      </c>
      <c r="AZ22">
        <f t="shared" si="4"/>
        <v>-9.9479667431603386E-2</v>
      </c>
      <c r="BA22">
        <f t="shared" si="4"/>
        <v>-4.7897560922895658E-3</v>
      </c>
      <c r="BB22">
        <f t="shared" si="4"/>
        <v>8.5180952529718593E-2</v>
      </c>
      <c r="BC22">
        <f t="shared" si="4"/>
        <v>5.4542224451733764E-3</v>
      </c>
      <c r="BD22">
        <f t="shared" si="4"/>
        <v>-2.5150507311855523E-2</v>
      </c>
      <c r="BE22">
        <f t="shared" si="4"/>
        <v>-0.2052513910207738</v>
      </c>
      <c r="BF22">
        <f t="shared" si="4"/>
        <v>-9.673520035725118E-2</v>
      </c>
      <c r="BG22">
        <f t="shared" si="4"/>
        <v>-6.5279513796832861E-2</v>
      </c>
      <c r="BH22">
        <f t="shared" si="4"/>
        <v>0.27453043819499984</v>
      </c>
      <c r="BI22">
        <f t="shared" si="11"/>
        <v>0.31093526822543655</v>
      </c>
      <c r="BJ22">
        <f t="shared" si="11"/>
        <v>0.38099720469853621</v>
      </c>
      <c r="BK22">
        <f t="shared" si="11"/>
        <v>0.37931574804306106</v>
      </c>
      <c r="BL22">
        <f t="shared" si="11"/>
        <v>0.12856286878828802</v>
      </c>
      <c r="BM22">
        <f t="shared" si="11"/>
        <v>2.1879298411816222E-2</v>
      </c>
      <c r="BN22">
        <f t="shared" si="11"/>
        <v>-1.7018360135204292E-2</v>
      </c>
      <c r="BO22">
        <f t="shared" si="11"/>
        <v>5.3049583679030683E-2</v>
      </c>
      <c r="BP22">
        <f t="shared" si="11"/>
        <v>-2.4111663718884901E-2</v>
      </c>
      <c r="BQ22">
        <f t="shared" si="11"/>
        <v>1.8553372772485612E-2</v>
      </c>
      <c r="BR22">
        <f t="shared" si="11"/>
        <v>0.20630871523351629</v>
      </c>
      <c r="BS22">
        <f t="shared" si="11"/>
        <v>-4.1716707454357828E-2</v>
      </c>
      <c r="BT22">
        <f t="shared" si="11"/>
        <v>6.1232397366133354E-2</v>
      </c>
      <c r="BU22">
        <f t="shared" si="10"/>
        <v>2.6081221464193859E-2</v>
      </c>
      <c r="BV22">
        <f t="shared" si="10"/>
        <v>2.2164436687755574E-2</v>
      </c>
      <c r="BW22">
        <f t="shared" si="10"/>
        <v>1.8534050581509327E-2</v>
      </c>
      <c r="BX22">
        <f t="shared" si="10"/>
        <v>6.5143690123602715E-2</v>
      </c>
      <c r="BY22">
        <f t="shared" si="10"/>
        <v>0.2190014237620016</v>
      </c>
      <c r="BZ22">
        <f t="shared" si="10"/>
        <v>-0.20697778690147914</v>
      </c>
      <c r="CA22">
        <f t="shared" si="10"/>
        <v>-0.27197483028376351</v>
      </c>
      <c r="CB22">
        <f t="shared" si="10"/>
        <v>-0.28252294047824988</v>
      </c>
      <c r="CC22">
        <f t="shared" si="10"/>
        <v>0.26649379403285378</v>
      </c>
      <c r="CD22">
        <f t="shared" si="10"/>
        <v>-1.6361375728069845E-2</v>
      </c>
      <c r="CE22">
        <f t="shared" si="10"/>
        <v>1.8968224999175783E-2</v>
      </c>
      <c r="CG22">
        <f t="shared" si="5"/>
        <v>0.99999999999999956</v>
      </c>
      <c r="CH22">
        <f t="shared" si="6"/>
        <v>0.99999999999999978</v>
      </c>
      <c r="CJ22">
        <f t="shared" si="7"/>
        <v>8.9776251740391902E-2</v>
      </c>
      <c r="CL22">
        <f>SUMPRODUCT(AS22:CE22,Dimorfismo!AS22:CE22)</f>
        <v>-7.0779431449550054E-2</v>
      </c>
      <c r="CM22">
        <f t="shared" si="8"/>
        <v>7.0779431449550054E-2</v>
      </c>
      <c r="CN22">
        <f t="shared" si="9"/>
        <v>7.0897983232614967E-2</v>
      </c>
    </row>
    <row r="23" spans="1:92" x14ac:dyDescent="0.25">
      <c r="A23" t="s">
        <v>24</v>
      </c>
      <c r="B23">
        <v>-2.9362200712533554E-2</v>
      </c>
      <c r="C23">
        <v>-7.0072307582740842E-2</v>
      </c>
      <c r="D23">
        <v>-0.16518181588019409</v>
      </c>
      <c r="E23">
        <v>-0.1347529013816888</v>
      </c>
      <c r="F23">
        <v>-9.886111458755463E-2</v>
      </c>
      <c r="G23">
        <v>-3.7178040073035733E-2</v>
      </c>
      <c r="H23">
        <v>-0.10895631776659655</v>
      </c>
      <c r="I23">
        <v>-9.9479667289281273E-2</v>
      </c>
      <c r="J23">
        <v>-4.7897560854370273E-3</v>
      </c>
      <c r="K23">
        <v>8.5180952407853158E-2</v>
      </c>
      <c r="L23">
        <v>5.4542224373702094E-3</v>
      </c>
      <c r="M23">
        <v>-2.5150507275873563E-2</v>
      </c>
      <c r="N23">
        <v>-0.20525139072712775</v>
      </c>
      <c r="O23">
        <v>-9.6735200218855483E-2</v>
      </c>
      <c r="P23">
        <v>-6.527951370343972E-2</v>
      </c>
      <c r="Q23">
        <v>0.27453043780223862</v>
      </c>
      <c r="R23">
        <v>0.31093526778059222</v>
      </c>
      <c r="S23">
        <v>0.38099720415345673</v>
      </c>
      <c r="T23">
        <v>0.37931574750038716</v>
      </c>
      <c r="U23">
        <v>0.12856286860435756</v>
      </c>
      <c r="V23">
        <v>2.1879298380514268E-2</v>
      </c>
      <c r="W23">
        <v>-1.7018360110856712E-2</v>
      </c>
      <c r="X23">
        <v>5.3049583603134484E-2</v>
      </c>
      <c r="Y23">
        <v>-2.4111663684389179E-2</v>
      </c>
      <c r="Z23">
        <v>1.8553372745941946E-2</v>
      </c>
      <c r="AA23">
        <v>0.20630871493835756</v>
      </c>
      <c r="AB23">
        <v>-4.171670739467518E-2</v>
      </c>
      <c r="AC23">
        <v>6.1232397278530283E-2</v>
      </c>
      <c r="AD23">
        <v>2.6081221426880359E-2</v>
      </c>
      <c r="AE23">
        <v>2.2164436656045682E-2</v>
      </c>
      <c r="AF23">
        <v>1.8534050554993301E-2</v>
      </c>
      <c r="AG23">
        <v>6.5143690030403892E-2</v>
      </c>
      <c r="AH23">
        <v>0.21900142344868384</v>
      </c>
      <c r="AI23">
        <v>-0.2069777866053632</v>
      </c>
      <c r="AJ23">
        <v>-0.27197482989465854</v>
      </c>
      <c r="AK23">
        <v>-0.2825229400740541</v>
      </c>
      <c r="AL23">
        <v>0.26649379365159032</v>
      </c>
      <c r="AM23">
        <v>-1.6361375704662191E-2</v>
      </c>
      <c r="AN23">
        <v>1.8968224972038601E-2</v>
      </c>
      <c r="AP23">
        <f t="shared" si="2"/>
        <v>0.99999999713866938</v>
      </c>
      <c r="AQ23">
        <f t="shared" si="3"/>
        <v>0.99999999856933464</v>
      </c>
      <c r="AS23">
        <f t="shared" si="4"/>
        <v>-2.9362200754541039E-2</v>
      </c>
      <c r="AT23">
        <f t="shared" si="4"/>
        <v>-7.0072307682990873E-2</v>
      </c>
      <c r="AU23">
        <f t="shared" si="4"/>
        <v>-0.165181816116514</v>
      </c>
      <c r="AV23">
        <f t="shared" si="4"/>
        <v>-0.13475290157447511</v>
      </c>
      <c r="AW23">
        <f t="shared" si="4"/>
        <v>-9.8861114728991797E-2</v>
      </c>
      <c r="AX23">
        <f t="shared" si="4"/>
        <v>-3.7178040126225068E-2</v>
      </c>
      <c r="AY23">
        <f t="shared" si="4"/>
        <v>-0.10895631792247658</v>
      </c>
      <c r="AZ23">
        <f t="shared" si="4"/>
        <v>-9.9479667431603386E-2</v>
      </c>
      <c r="BA23">
        <f t="shared" si="4"/>
        <v>-4.7897560922895658E-3</v>
      </c>
      <c r="BB23">
        <f t="shared" si="4"/>
        <v>8.5180952529718593E-2</v>
      </c>
      <c r="BC23">
        <f t="shared" si="4"/>
        <v>5.4542224451733764E-3</v>
      </c>
      <c r="BD23">
        <f t="shared" si="4"/>
        <v>-2.5150507311855523E-2</v>
      </c>
      <c r="BE23">
        <f t="shared" si="4"/>
        <v>-0.2052513910207738</v>
      </c>
      <c r="BF23">
        <f t="shared" si="4"/>
        <v>-9.673520035725118E-2</v>
      </c>
      <c r="BG23">
        <f t="shared" si="4"/>
        <v>-6.5279513796832861E-2</v>
      </c>
      <c r="BH23">
        <f t="shared" si="4"/>
        <v>0.27453043819499984</v>
      </c>
      <c r="BI23">
        <f t="shared" si="11"/>
        <v>0.31093526822543655</v>
      </c>
      <c r="BJ23">
        <f t="shared" si="11"/>
        <v>0.38099720469853621</v>
      </c>
      <c r="BK23">
        <f t="shared" si="11"/>
        <v>0.37931574804306106</v>
      </c>
      <c r="BL23">
        <f t="shared" si="11"/>
        <v>0.12856286878828802</v>
      </c>
      <c r="BM23">
        <f t="shared" si="11"/>
        <v>2.1879298411816222E-2</v>
      </c>
      <c r="BN23">
        <f t="shared" si="11"/>
        <v>-1.7018360135204292E-2</v>
      </c>
      <c r="BO23">
        <f t="shared" si="11"/>
        <v>5.3049583679030683E-2</v>
      </c>
      <c r="BP23">
        <f t="shared" si="11"/>
        <v>-2.4111663718884901E-2</v>
      </c>
      <c r="BQ23">
        <f t="shared" si="11"/>
        <v>1.8553372772485612E-2</v>
      </c>
      <c r="BR23">
        <f t="shared" si="11"/>
        <v>0.20630871523351629</v>
      </c>
      <c r="BS23">
        <f t="shared" si="11"/>
        <v>-4.1716707454357828E-2</v>
      </c>
      <c r="BT23">
        <f t="shared" si="11"/>
        <v>6.1232397366133354E-2</v>
      </c>
      <c r="BU23">
        <f t="shared" si="10"/>
        <v>2.6081221464193859E-2</v>
      </c>
      <c r="BV23">
        <f t="shared" si="10"/>
        <v>2.2164436687755574E-2</v>
      </c>
      <c r="BW23">
        <f t="shared" si="10"/>
        <v>1.8534050581509327E-2</v>
      </c>
      <c r="BX23">
        <f t="shared" si="10"/>
        <v>6.5143690123602715E-2</v>
      </c>
      <c r="BY23">
        <f t="shared" si="10"/>
        <v>0.2190014237620016</v>
      </c>
      <c r="BZ23">
        <f t="shared" si="10"/>
        <v>-0.20697778690147914</v>
      </c>
      <c r="CA23">
        <f t="shared" si="10"/>
        <v>-0.27197483028376351</v>
      </c>
      <c r="CB23">
        <f t="shared" si="10"/>
        <v>-0.28252294047824988</v>
      </c>
      <c r="CC23">
        <f t="shared" si="10"/>
        <v>0.26649379403285378</v>
      </c>
      <c r="CD23">
        <f t="shared" si="10"/>
        <v>-1.6361375728069845E-2</v>
      </c>
      <c r="CE23">
        <f t="shared" si="10"/>
        <v>1.8968224999175783E-2</v>
      </c>
      <c r="CG23">
        <f t="shared" si="5"/>
        <v>0.99999999999999956</v>
      </c>
      <c r="CH23">
        <f t="shared" si="6"/>
        <v>0.99999999999999978</v>
      </c>
      <c r="CJ23">
        <f t="shared" si="7"/>
        <v>8.9776251740391902E-2</v>
      </c>
      <c r="CL23">
        <f>SUMPRODUCT(AS23:CE23,Dimorfismo!AS23:CE23)</f>
        <v>7.6048167054567711E-2</v>
      </c>
      <c r="CM23">
        <f t="shared" si="8"/>
        <v>7.6048167054567711E-2</v>
      </c>
      <c r="CN23">
        <f t="shared" si="9"/>
        <v>7.6195281602209355E-2</v>
      </c>
    </row>
    <row r="24" spans="1:92" x14ac:dyDescent="0.25">
      <c r="A24" t="s">
        <v>25</v>
      </c>
      <c r="B24">
        <v>-2.9362200712533554E-2</v>
      </c>
      <c r="C24">
        <v>-7.0072307582740842E-2</v>
      </c>
      <c r="D24">
        <v>-0.16518181588019409</v>
      </c>
      <c r="E24">
        <v>-0.1347529013816888</v>
      </c>
      <c r="F24">
        <v>-9.886111458755463E-2</v>
      </c>
      <c r="G24">
        <v>-3.7178040073035733E-2</v>
      </c>
      <c r="H24">
        <v>-0.10895631776659655</v>
      </c>
      <c r="I24">
        <v>-9.9479667289281273E-2</v>
      </c>
      <c r="J24">
        <v>-4.7897560854370273E-3</v>
      </c>
      <c r="K24">
        <v>8.5180952407853158E-2</v>
      </c>
      <c r="L24">
        <v>5.4542224373702094E-3</v>
      </c>
      <c r="M24">
        <v>-2.5150507275873563E-2</v>
      </c>
      <c r="N24">
        <v>-0.20525139072712775</v>
      </c>
      <c r="O24">
        <v>-9.6735200218855483E-2</v>
      </c>
      <c r="P24">
        <v>-6.527951370343972E-2</v>
      </c>
      <c r="Q24">
        <v>0.27453043780223862</v>
      </c>
      <c r="R24">
        <v>0.31093526778059222</v>
      </c>
      <c r="S24">
        <v>0.38099720415345673</v>
      </c>
      <c r="T24">
        <v>0.37931574750038716</v>
      </c>
      <c r="U24">
        <v>0.12856286860435756</v>
      </c>
      <c r="V24">
        <v>2.1879298380514268E-2</v>
      </c>
      <c r="W24">
        <v>-1.7018360110856712E-2</v>
      </c>
      <c r="X24">
        <v>5.3049583603134484E-2</v>
      </c>
      <c r="Y24">
        <v>-2.4111663684389179E-2</v>
      </c>
      <c r="Z24">
        <v>1.8553372745941946E-2</v>
      </c>
      <c r="AA24">
        <v>0.20630871493835756</v>
      </c>
      <c r="AB24">
        <v>-4.171670739467518E-2</v>
      </c>
      <c r="AC24">
        <v>6.1232397278530283E-2</v>
      </c>
      <c r="AD24">
        <v>2.6081221426880359E-2</v>
      </c>
      <c r="AE24">
        <v>2.2164436656045682E-2</v>
      </c>
      <c r="AF24">
        <v>1.8534050554993301E-2</v>
      </c>
      <c r="AG24">
        <v>6.5143690030403892E-2</v>
      </c>
      <c r="AH24">
        <v>0.21900142344868384</v>
      </c>
      <c r="AI24">
        <v>-0.2069777866053632</v>
      </c>
      <c r="AJ24">
        <v>-0.27197482989465854</v>
      </c>
      <c r="AK24">
        <v>-0.2825229400740541</v>
      </c>
      <c r="AL24">
        <v>0.26649379365159032</v>
      </c>
      <c r="AM24">
        <v>-1.6361375704662191E-2</v>
      </c>
      <c r="AN24">
        <v>1.8968224972038601E-2</v>
      </c>
      <c r="AP24">
        <f t="shared" si="2"/>
        <v>0.99999999713866938</v>
      </c>
      <c r="AQ24">
        <f t="shared" si="3"/>
        <v>0.99999999856933464</v>
      </c>
      <c r="AS24">
        <f t="shared" si="4"/>
        <v>-2.9362200754541039E-2</v>
      </c>
      <c r="AT24">
        <f t="shared" si="4"/>
        <v>-7.0072307682990873E-2</v>
      </c>
      <c r="AU24">
        <f t="shared" si="4"/>
        <v>-0.165181816116514</v>
      </c>
      <c r="AV24">
        <f t="shared" si="4"/>
        <v>-0.13475290157447511</v>
      </c>
      <c r="AW24">
        <f t="shared" si="4"/>
        <v>-9.8861114728991797E-2</v>
      </c>
      <c r="AX24">
        <f t="shared" si="4"/>
        <v>-3.7178040126225068E-2</v>
      </c>
      <c r="AY24">
        <f t="shared" si="4"/>
        <v>-0.10895631792247658</v>
      </c>
      <c r="AZ24">
        <f t="shared" si="4"/>
        <v>-9.9479667431603386E-2</v>
      </c>
      <c r="BA24">
        <f t="shared" si="4"/>
        <v>-4.7897560922895658E-3</v>
      </c>
      <c r="BB24">
        <f t="shared" ref="BB24:BK51" si="12">K24/$AQ24</f>
        <v>8.5180952529718593E-2</v>
      </c>
      <c r="BC24">
        <f t="shared" si="12"/>
        <v>5.4542224451733764E-3</v>
      </c>
      <c r="BD24">
        <f t="shared" si="12"/>
        <v>-2.5150507311855523E-2</v>
      </c>
      <c r="BE24">
        <f t="shared" si="12"/>
        <v>-0.2052513910207738</v>
      </c>
      <c r="BF24">
        <f t="shared" si="12"/>
        <v>-9.673520035725118E-2</v>
      </c>
      <c r="BG24">
        <f t="shared" si="12"/>
        <v>-6.5279513796832861E-2</v>
      </c>
      <c r="BH24">
        <f t="shared" si="12"/>
        <v>0.27453043819499984</v>
      </c>
      <c r="BI24">
        <f t="shared" si="11"/>
        <v>0.31093526822543655</v>
      </c>
      <c r="BJ24">
        <f t="shared" si="11"/>
        <v>0.38099720469853621</v>
      </c>
      <c r="BK24">
        <f t="shared" si="11"/>
        <v>0.37931574804306106</v>
      </c>
      <c r="BL24">
        <f t="shared" si="11"/>
        <v>0.12856286878828802</v>
      </c>
      <c r="BM24">
        <f t="shared" si="11"/>
        <v>2.1879298411816222E-2</v>
      </c>
      <c r="BN24">
        <f t="shared" si="11"/>
        <v>-1.7018360135204292E-2</v>
      </c>
      <c r="BO24">
        <f t="shared" si="11"/>
        <v>5.3049583679030683E-2</v>
      </c>
      <c r="BP24">
        <f t="shared" si="11"/>
        <v>-2.4111663718884901E-2</v>
      </c>
      <c r="BQ24">
        <f t="shared" si="11"/>
        <v>1.8553372772485612E-2</v>
      </c>
      <c r="BR24">
        <f t="shared" si="11"/>
        <v>0.20630871523351629</v>
      </c>
      <c r="BS24">
        <f t="shared" si="11"/>
        <v>-4.1716707454357828E-2</v>
      </c>
      <c r="BT24">
        <f t="shared" si="11"/>
        <v>6.1232397366133354E-2</v>
      </c>
      <c r="BU24">
        <f t="shared" si="10"/>
        <v>2.6081221464193859E-2</v>
      </c>
      <c r="BV24">
        <f t="shared" si="10"/>
        <v>2.2164436687755574E-2</v>
      </c>
      <c r="BW24">
        <f t="shared" si="10"/>
        <v>1.8534050581509327E-2</v>
      </c>
      <c r="BX24">
        <f t="shared" si="10"/>
        <v>6.5143690123602715E-2</v>
      </c>
      <c r="BY24">
        <f t="shared" si="10"/>
        <v>0.2190014237620016</v>
      </c>
      <c r="BZ24">
        <f t="shared" si="10"/>
        <v>-0.20697778690147914</v>
      </c>
      <c r="CA24">
        <f t="shared" si="10"/>
        <v>-0.27197483028376351</v>
      </c>
      <c r="CB24">
        <f t="shared" si="10"/>
        <v>-0.28252294047824988</v>
      </c>
      <c r="CC24">
        <f t="shared" si="10"/>
        <v>0.26649379403285378</v>
      </c>
      <c r="CD24">
        <f t="shared" si="10"/>
        <v>-1.6361375728069845E-2</v>
      </c>
      <c r="CE24">
        <f t="shared" si="10"/>
        <v>1.8968224999175783E-2</v>
      </c>
      <c r="CG24">
        <f t="shared" si="5"/>
        <v>0.99999999999999956</v>
      </c>
      <c r="CH24">
        <f t="shared" si="6"/>
        <v>0.99999999999999978</v>
      </c>
      <c r="CJ24">
        <f t="shared" si="7"/>
        <v>8.9776251740391902E-2</v>
      </c>
      <c r="CL24">
        <f>SUMPRODUCT(AS24:CE24,Dimorfismo!AS24:CE24)</f>
        <v>-8.8706277194098709E-3</v>
      </c>
      <c r="CM24">
        <f t="shared" si="8"/>
        <v>8.8706277194098709E-3</v>
      </c>
      <c r="CN24">
        <f t="shared" si="9"/>
        <v>8.8708604011537469E-3</v>
      </c>
    </row>
    <row r="25" spans="1:92" x14ac:dyDescent="0.25">
      <c r="A25" t="s">
        <v>26</v>
      </c>
      <c r="B25">
        <v>-2.9362200712533554E-2</v>
      </c>
      <c r="C25">
        <v>-7.0072307582740842E-2</v>
      </c>
      <c r="D25">
        <v>-0.16518181588019409</v>
      </c>
      <c r="E25">
        <v>-0.1347529013816888</v>
      </c>
      <c r="F25">
        <v>-9.886111458755463E-2</v>
      </c>
      <c r="G25">
        <v>-3.7178040073035733E-2</v>
      </c>
      <c r="H25">
        <v>-0.10895631776659655</v>
      </c>
      <c r="I25">
        <v>-9.9479667289281273E-2</v>
      </c>
      <c r="J25">
        <v>-4.7897560854370273E-3</v>
      </c>
      <c r="K25">
        <v>8.5180952407853158E-2</v>
      </c>
      <c r="L25">
        <v>5.4542224373702094E-3</v>
      </c>
      <c r="M25">
        <v>-2.5150507275873563E-2</v>
      </c>
      <c r="N25">
        <v>-0.20525139072712775</v>
      </c>
      <c r="O25">
        <v>-9.6735200218855483E-2</v>
      </c>
      <c r="P25">
        <v>-6.527951370343972E-2</v>
      </c>
      <c r="Q25">
        <v>0.27453043780223862</v>
      </c>
      <c r="R25">
        <v>0.31093526778059222</v>
      </c>
      <c r="S25">
        <v>0.38099720415345673</v>
      </c>
      <c r="T25">
        <v>0.37931574750038716</v>
      </c>
      <c r="U25">
        <v>0.12856286860435756</v>
      </c>
      <c r="V25">
        <v>2.1879298380514268E-2</v>
      </c>
      <c r="W25">
        <v>-1.7018360110856712E-2</v>
      </c>
      <c r="X25">
        <v>5.3049583603134484E-2</v>
      </c>
      <c r="Y25">
        <v>-2.4111663684389179E-2</v>
      </c>
      <c r="Z25">
        <v>1.8553372745941946E-2</v>
      </c>
      <c r="AA25">
        <v>0.20630871493835756</v>
      </c>
      <c r="AB25">
        <v>-4.171670739467518E-2</v>
      </c>
      <c r="AC25">
        <v>6.1232397278530283E-2</v>
      </c>
      <c r="AD25">
        <v>2.6081221426880359E-2</v>
      </c>
      <c r="AE25">
        <v>2.2164436656045682E-2</v>
      </c>
      <c r="AF25">
        <v>1.8534050554993301E-2</v>
      </c>
      <c r="AG25">
        <v>6.5143690030403892E-2</v>
      </c>
      <c r="AH25">
        <v>0.21900142344868384</v>
      </c>
      <c r="AI25">
        <v>-0.2069777866053632</v>
      </c>
      <c r="AJ25">
        <v>-0.27197482989465854</v>
      </c>
      <c r="AK25">
        <v>-0.2825229400740541</v>
      </c>
      <c r="AL25">
        <v>0.26649379365159032</v>
      </c>
      <c r="AM25">
        <v>-1.6361375704662191E-2</v>
      </c>
      <c r="AN25">
        <v>1.8968224972038601E-2</v>
      </c>
      <c r="AP25">
        <f t="shared" si="2"/>
        <v>0.99999999713866938</v>
      </c>
      <c r="AQ25">
        <f t="shared" si="3"/>
        <v>0.99999999856933464</v>
      </c>
      <c r="AS25">
        <f t="shared" ref="AS25:BD52" si="13">B25/$AQ25</f>
        <v>-2.9362200754541039E-2</v>
      </c>
      <c r="AT25">
        <f t="shared" si="13"/>
        <v>-7.0072307682990873E-2</v>
      </c>
      <c r="AU25">
        <f t="shared" si="13"/>
        <v>-0.165181816116514</v>
      </c>
      <c r="AV25">
        <f t="shared" si="13"/>
        <v>-0.13475290157447511</v>
      </c>
      <c r="AW25">
        <f t="shared" si="13"/>
        <v>-9.8861114728991797E-2</v>
      </c>
      <c r="AX25">
        <f t="shared" si="13"/>
        <v>-3.7178040126225068E-2</v>
      </c>
      <c r="AY25">
        <f t="shared" si="13"/>
        <v>-0.10895631792247658</v>
      </c>
      <c r="AZ25">
        <f t="shared" si="13"/>
        <v>-9.9479667431603386E-2</v>
      </c>
      <c r="BA25">
        <f t="shared" si="13"/>
        <v>-4.7897560922895658E-3</v>
      </c>
      <c r="BB25">
        <f t="shared" si="12"/>
        <v>8.5180952529718593E-2</v>
      </c>
      <c r="BC25">
        <f t="shared" si="12"/>
        <v>5.4542224451733764E-3</v>
      </c>
      <c r="BD25">
        <f t="shared" si="12"/>
        <v>-2.5150507311855523E-2</v>
      </c>
      <c r="BE25">
        <f t="shared" si="12"/>
        <v>-0.2052513910207738</v>
      </c>
      <c r="BF25">
        <f t="shared" si="12"/>
        <v>-9.673520035725118E-2</v>
      </c>
      <c r="BG25">
        <f t="shared" si="12"/>
        <v>-6.5279513796832861E-2</v>
      </c>
      <c r="BH25">
        <f t="shared" si="12"/>
        <v>0.27453043819499984</v>
      </c>
      <c r="BI25">
        <f t="shared" si="11"/>
        <v>0.31093526822543655</v>
      </c>
      <c r="BJ25">
        <f t="shared" si="11"/>
        <v>0.38099720469853621</v>
      </c>
      <c r="BK25">
        <f t="shared" si="11"/>
        <v>0.37931574804306106</v>
      </c>
      <c r="BL25">
        <f t="shared" si="11"/>
        <v>0.12856286878828802</v>
      </c>
      <c r="BM25">
        <f t="shared" si="11"/>
        <v>2.1879298411816222E-2</v>
      </c>
      <c r="BN25">
        <f t="shared" si="11"/>
        <v>-1.7018360135204292E-2</v>
      </c>
      <c r="BO25">
        <f t="shared" si="11"/>
        <v>5.3049583679030683E-2</v>
      </c>
      <c r="BP25">
        <f t="shared" si="11"/>
        <v>-2.4111663718884901E-2</v>
      </c>
      <c r="BQ25">
        <f t="shared" si="11"/>
        <v>1.8553372772485612E-2</v>
      </c>
      <c r="BR25">
        <f t="shared" si="11"/>
        <v>0.20630871523351629</v>
      </c>
      <c r="BS25">
        <f t="shared" si="11"/>
        <v>-4.1716707454357828E-2</v>
      </c>
      <c r="BT25">
        <f t="shared" si="11"/>
        <v>6.1232397366133354E-2</v>
      </c>
      <c r="BU25">
        <f t="shared" si="10"/>
        <v>2.6081221464193859E-2</v>
      </c>
      <c r="BV25">
        <f t="shared" si="10"/>
        <v>2.2164436687755574E-2</v>
      </c>
      <c r="BW25">
        <f t="shared" si="10"/>
        <v>1.8534050581509327E-2</v>
      </c>
      <c r="BX25">
        <f t="shared" si="10"/>
        <v>6.5143690123602715E-2</v>
      </c>
      <c r="BY25">
        <f t="shared" si="10"/>
        <v>0.2190014237620016</v>
      </c>
      <c r="BZ25">
        <f t="shared" si="10"/>
        <v>-0.20697778690147914</v>
      </c>
      <c r="CA25">
        <f t="shared" si="10"/>
        <v>-0.27197483028376351</v>
      </c>
      <c r="CB25">
        <f t="shared" si="10"/>
        <v>-0.28252294047824988</v>
      </c>
      <c r="CC25">
        <f t="shared" si="10"/>
        <v>0.26649379403285378</v>
      </c>
      <c r="CD25">
        <f t="shared" si="10"/>
        <v>-1.6361375728069845E-2</v>
      </c>
      <c r="CE25">
        <f t="shared" si="10"/>
        <v>1.8968224999175783E-2</v>
      </c>
      <c r="CG25">
        <f t="shared" si="5"/>
        <v>0.99999999999999956</v>
      </c>
      <c r="CH25">
        <f t="shared" si="6"/>
        <v>0.99999999999999978</v>
      </c>
      <c r="CJ25">
        <f t="shared" si="7"/>
        <v>8.9776251740391902E-2</v>
      </c>
      <c r="CL25">
        <f>SUMPRODUCT(AS25:CE25,Dimorfismo!AS25:CE25)</f>
        <v>-6.4590177778409349E-2</v>
      </c>
      <c r="CM25">
        <f t="shared" si="8"/>
        <v>6.4590177778409349E-2</v>
      </c>
      <c r="CN25">
        <f t="shared" si="9"/>
        <v>6.4680224346653631E-2</v>
      </c>
    </row>
    <row r="26" spans="1:92" x14ac:dyDescent="0.25">
      <c r="A26" t="s">
        <v>27</v>
      </c>
      <c r="B26">
        <v>-2.9362200712533554E-2</v>
      </c>
      <c r="C26">
        <v>-7.0072307582740842E-2</v>
      </c>
      <c r="D26">
        <v>-0.16518181588019409</v>
      </c>
      <c r="E26">
        <v>-0.1347529013816888</v>
      </c>
      <c r="F26">
        <v>-9.886111458755463E-2</v>
      </c>
      <c r="G26">
        <v>-3.7178040073035733E-2</v>
      </c>
      <c r="H26">
        <v>-0.10895631776659655</v>
      </c>
      <c r="I26">
        <v>-9.9479667289281273E-2</v>
      </c>
      <c r="J26">
        <v>-4.7897560854370273E-3</v>
      </c>
      <c r="K26">
        <v>8.5180952407853158E-2</v>
      </c>
      <c r="L26">
        <v>5.4542224373702094E-3</v>
      </c>
      <c r="M26">
        <v>-2.5150507275873563E-2</v>
      </c>
      <c r="N26">
        <v>-0.20525139072712775</v>
      </c>
      <c r="O26">
        <v>-9.6735200218855483E-2</v>
      </c>
      <c r="P26">
        <v>-6.527951370343972E-2</v>
      </c>
      <c r="Q26">
        <v>0.27453043780223862</v>
      </c>
      <c r="R26">
        <v>0.31093526778059222</v>
      </c>
      <c r="S26">
        <v>0.38099720415345673</v>
      </c>
      <c r="T26">
        <v>0.37931574750038716</v>
      </c>
      <c r="U26">
        <v>0.12856286860435756</v>
      </c>
      <c r="V26">
        <v>2.1879298380514268E-2</v>
      </c>
      <c r="W26">
        <v>-1.7018360110856712E-2</v>
      </c>
      <c r="X26">
        <v>5.3049583603134484E-2</v>
      </c>
      <c r="Y26">
        <v>-2.4111663684389179E-2</v>
      </c>
      <c r="Z26">
        <v>1.8553372745941946E-2</v>
      </c>
      <c r="AA26">
        <v>0.20630871493835756</v>
      </c>
      <c r="AB26">
        <v>-4.171670739467518E-2</v>
      </c>
      <c r="AC26">
        <v>6.1232397278530283E-2</v>
      </c>
      <c r="AD26">
        <v>2.6081221426880359E-2</v>
      </c>
      <c r="AE26">
        <v>2.2164436656045682E-2</v>
      </c>
      <c r="AF26">
        <v>1.8534050554993301E-2</v>
      </c>
      <c r="AG26">
        <v>6.5143690030403892E-2</v>
      </c>
      <c r="AH26">
        <v>0.21900142344868384</v>
      </c>
      <c r="AI26">
        <v>-0.2069777866053632</v>
      </c>
      <c r="AJ26">
        <v>-0.27197482989465854</v>
      </c>
      <c r="AK26">
        <v>-0.2825229400740541</v>
      </c>
      <c r="AL26">
        <v>0.26649379365159032</v>
      </c>
      <c r="AM26">
        <v>-1.6361375704662191E-2</v>
      </c>
      <c r="AN26">
        <v>1.8968224972038601E-2</v>
      </c>
      <c r="AP26">
        <f t="shared" si="2"/>
        <v>0.99999999713866938</v>
      </c>
      <c r="AQ26">
        <f t="shared" si="3"/>
        <v>0.99999999856933464</v>
      </c>
      <c r="AS26">
        <f t="shared" si="13"/>
        <v>-2.9362200754541039E-2</v>
      </c>
      <c r="AT26">
        <f t="shared" si="13"/>
        <v>-7.0072307682990873E-2</v>
      </c>
      <c r="AU26">
        <f t="shared" si="13"/>
        <v>-0.165181816116514</v>
      </c>
      <c r="AV26">
        <f t="shared" si="13"/>
        <v>-0.13475290157447511</v>
      </c>
      <c r="AW26">
        <f t="shared" si="13"/>
        <v>-9.8861114728991797E-2</v>
      </c>
      <c r="AX26">
        <f t="shared" si="13"/>
        <v>-3.7178040126225068E-2</v>
      </c>
      <c r="AY26">
        <f t="shared" si="13"/>
        <v>-0.10895631792247658</v>
      </c>
      <c r="AZ26">
        <f t="shared" si="13"/>
        <v>-9.9479667431603386E-2</v>
      </c>
      <c r="BA26">
        <f t="shared" si="13"/>
        <v>-4.7897560922895658E-3</v>
      </c>
      <c r="BB26">
        <f t="shared" si="12"/>
        <v>8.5180952529718593E-2</v>
      </c>
      <c r="BC26">
        <f t="shared" si="12"/>
        <v>5.4542224451733764E-3</v>
      </c>
      <c r="BD26">
        <f t="shared" si="12"/>
        <v>-2.5150507311855523E-2</v>
      </c>
      <c r="BE26">
        <f t="shared" si="12"/>
        <v>-0.2052513910207738</v>
      </c>
      <c r="BF26">
        <f t="shared" si="12"/>
        <v>-9.673520035725118E-2</v>
      </c>
      <c r="BG26">
        <f t="shared" si="12"/>
        <v>-6.5279513796832861E-2</v>
      </c>
      <c r="BH26">
        <f t="shared" si="12"/>
        <v>0.27453043819499984</v>
      </c>
      <c r="BI26">
        <f t="shared" si="11"/>
        <v>0.31093526822543655</v>
      </c>
      <c r="BJ26">
        <f t="shared" si="11"/>
        <v>0.38099720469853621</v>
      </c>
      <c r="BK26">
        <f t="shared" si="11"/>
        <v>0.37931574804306106</v>
      </c>
      <c r="BL26">
        <f t="shared" si="11"/>
        <v>0.12856286878828802</v>
      </c>
      <c r="BM26">
        <f t="shared" si="11"/>
        <v>2.1879298411816222E-2</v>
      </c>
      <c r="BN26">
        <f t="shared" si="11"/>
        <v>-1.7018360135204292E-2</v>
      </c>
      <c r="BO26">
        <f t="shared" si="11"/>
        <v>5.3049583679030683E-2</v>
      </c>
      <c r="BP26">
        <f t="shared" si="11"/>
        <v>-2.4111663718884901E-2</v>
      </c>
      <c r="BQ26">
        <f t="shared" si="11"/>
        <v>1.8553372772485612E-2</v>
      </c>
      <c r="BR26">
        <f t="shared" si="11"/>
        <v>0.20630871523351629</v>
      </c>
      <c r="BS26">
        <f t="shared" si="11"/>
        <v>-4.1716707454357828E-2</v>
      </c>
      <c r="BT26">
        <f t="shared" si="11"/>
        <v>6.1232397366133354E-2</v>
      </c>
      <c r="BU26">
        <f t="shared" si="10"/>
        <v>2.6081221464193859E-2</v>
      </c>
      <c r="BV26">
        <f t="shared" si="10"/>
        <v>2.2164436687755574E-2</v>
      </c>
      <c r="BW26">
        <f t="shared" si="10"/>
        <v>1.8534050581509327E-2</v>
      </c>
      <c r="BX26">
        <f t="shared" si="10"/>
        <v>6.5143690123602715E-2</v>
      </c>
      <c r="BY26">
        <f t="shared" si="10"/>
        <v>0.2190014237620016</v>
      </c>
      <c r="BZ26">
        <f t="shared" si="10"/>
        <v>-0.20697778690147914</v>
      </c>
      <c r="CA26">
        <f t="shared" si="10"/>
        <v>-0.27197483028376351</v>
      </c>
      <c r="CB26">
        <f t="shared" si="10"/>
        <v>-0.28252294047824988</v>
      </c>
      <c r="CC26">
        <f t="shared" si="10"/>
        <v>0.26649379403285378</v>
      </c>
      <c r="CD26">
        <f t="shared" si="10"/>
        <v>-1.6361375728069845E-2</v>
      </c>
      <c r="CE26">
        <f t="shared" si="10"/>
        <v>1.8968224999175783E-2</v>
      </c>
      <c r="CG26">
        <f t="shared" si="5"/>
        <v>0.99999999999999956</v>
      </c>
      <c r="CH26">
        <f t="shared" si="6"/>
        <v>0.99999999999999978</v>
      </c>
      <c r="CJ26">
        <f t="shared" si="7"/>
        <v>8.9776251740391902E-2</v>
      </c>
      <c r="CL26">
        <f>SUMPRODUCT(AS26:CE26,Dimorfismo!AS26:CE26)</f>
        <v>5.2770159633345408E-2</v>
      </c>
      <c r="CM26">
        <f t="shared" si="8"/>
        <v>5.2770159633345408E-2</v>
      </c>
      <c r="CN26">
        <f t="shared" si="9"/>
        <v>5.2819224478534058E-2</v>
      </c>
    </row>
    <row r="27" spans="1:92" x14ac:dyDescent="0.25">
      <c r="A27" t="s">
        <v>28</v>
      </c>
      <c r="B27">
        <v>-2.9362200712533554E-2</v>
      </c>
      <c r="C27">
        <v>-7.0072307582740842E-2</v>
      </c>
      <c r="D27">
        <v>-0.16518181588019409</v>
      </c>
      <c r="E27">
        <v>-0.1347529013816888</v>
      </c>
      <c r="F27">
        <v>-9.886111458755463E-2</v>
      </c>
      <c r="G27">
        <v>-3.7178040073035733E-2</v>
      </c>
      <c r="H27">
        <v>-0.10895631776659655</v>
      </c>
      <c r="I27">
        <v>-9.9479667289281273E-2</v>
      </c>
      <c r="J27">
        <v>-4.7897560854370273E-3</v>
      </c>
      <c r="K27">
        <v>8.5180952407853158E-2</v>
      </c>
      <c r="L27">
        <v>5.4542224373702094E-3</v>
      </c>
      <c r="M27">
        <v>-2.5150507275873563E-2</v>
      </c>
      <c r="N27">
        <v>-0.20525139072712775</v>
      </c>
      <c r="O27">
        <v>-9.6735200218855483E-2</v>
      </c>
      <c r="P27">
        <v>-6.527951370343972E-2</v>
      </c>
      <c r="Q27">
        <v>0.27453043780223862</v>
      </c>
      <c r="R27">
        <v>0.31093526778059222</v>
      </c>
      <c r="S27">
        <v>0.38099720415345673</v>
      </c>
      <c r="T27">
        <v>0.37931574750038716</v>
      </c>
      <c r="U27">
        <v>0.12856286860435756</v>
      </c>
      <c r="V27">
        <v>2.1879298380514268E-2</v>
      </c>
      <c r="W27">
        <v>-1.7018360110856712E-2</v>
      </c>
      <c r="X27">
        <v>5.3049583603134484E-2</v>
      </c>
      <c r="Y27">
        <v>-2.4111663684389179E-2</v>
      </c>
      <c r="Z27">
        <v>1.8553372745941946E-2</v>
      </c>
      <c r="AA27">
        <v>0.20630871493835756</v>
      </c>
      <c r="AB27">
        <v>-4.171670739467518E-2</v>
      </c>
      <c r="AC27">
        <v>6.1232397278530283E-2</v>
      </c>
      <c r="AD27">
        <v>2.6081221426880359E-2</v>
      </c>
      <c r="AE27">
        <v>2.2164436656045682E-2</v>
      </c>
      <c r="AF27">
        <v>1.8534050554993301E-2</v>
      </c>
      <c r="AG27">
        <v>6.5143690030403892E-2</v>
      </c>
      <c r="AH27">
        <v>0.21900142344868384</v>
      </c>
      <c r="AI27">
        <v>-0.2069777866053632</v>
      </c>
      <c r="AJ27">
        <v>-0.27197482989465854</v>
      </c>
      <c r="AK27">
        <v>-0.2825229400740541</v>
      </c>
      <c r="AL27">
        <v>0.26649379365159032</v>
      </c>
      <c r="AM27">
        <v>-1.6361375704662191E-2</v>
      </c>
      <c r="AN27">
        <v>1.8968224972038601E-2</v>
      </c>
      <c r="AP27">
        <f t="shared" si="2"/>
        <v>0.99999999713866938</v>
      </c>
      <c r="AQ27">
        <f t="shared" si="3"/>
        <v>0.99999999856933464</v>
      </c>
      <c r="AS27">
        <f t="shared" si="13"/>
        <v>-2.9362200754541039E-2</v>
      </c>
      <c r="AT27">
        <f t="shared" si="13"/>
        <v>-7.0072307682990873E-2</v>
      </c>
      <c r="AU27">
        <f t="shared" si="13"/>
        <v>-0.165181816116514</v>
      </c>
      <c r="AV27">
        <f t="shared" si="13"/>
        <v>-0.13475290157447511</v>
      </c>
      <c r="AW27">
        <f t="shared" si="13"/>
        <v>-9.8861114728991797E-2</v>
      </c>
      <c r="AX27">
        <f t="shared" si="13"/>
        <v>-3.7178040126225068E-2</v>
      </c>
      <c r="AY27">
        <f t="shared" si="13"/>
        <v>-0.10895631792247658</v>
      </c>
      <c r="AZ27">
        <f t="shared" si="13"/>
        <v>-9.9479667431603386E-2</v>
      </c>
      <c r="BA27">
        <f t="shared" si="13"/>
        <v>-4.7897560922895658E-3</v>
      </c>
      <c r="BB27">
        <f t="shared" si="12"/>
        <v>8.5180952529718593E-2</v>
      </c>
      <c r="BC27">
        <f t="shared" si="12"/>
        <v>5.4542224451733764E-3</v>
      </c>
      <c r="BD27">
        <f t="shared" si="12"/>
        <v>-2.5150507311855523E-2</v>
      </c>
      <c r="BE27">
        <f t="shared" si="12"/>
        <v>-0.2052513910207738</v>
      </c>
      <c r="BF27">
        <f t="shared" si="12"/>
        <v>-9.673520035725118E-2</v>
      </c>
      <c r="BG27">
        <f t="shared" si="12"/>
        <v>-6.5279513796832861E-2</v>
      </c>
      <c r="BH27">
        <f t="shared" si="12"/>
        <v>0.27453043819499984</v>
      </c>
      <c r="BI27">
        <f t="shared" si="11"/>
        <v>0.31093526822543655</v>
      </c>
      <c r="BJ27">
        <f t="shared" si="11"/>
        <v>0.38099720469853621</v>
      </c>
      <c r="BK27">
        <f t="shared" si="11"/>
        <v>0.37931574804306106</v>
      </c>
      <c r="BL27">
        <f t="shared" si="11"/>
        <v>0.12856286878828802</v>
      </c>
      <c r="BM27">
        <f t="shared" si="11"/>
        <v>2.1879298411816222E-2</v>
      </c>
      <c r="BN27">
        <f t="shared" si="11"/>
        <v>-1.7018360135204292E-2</v>
      </c>
      <c r="BO27">
        <f t="shared" si="11"/>
        <v>5.3049583679030683E-2</v>
      </c>
      <c r="BP27">
        <f t="shared" si="11"/>
        <v>-2.4111663718884901E-2</v>
      </c>
      <c r="BQ27">
        <f t="shared" si="11"/>
        <v>1.8553372772485612E-2</v>
      </c>
      <c r="BR27">
        <f t="shared" si="11"/>
        <v>0.20630871523351629</v>
      </c>
      <c r="BS27">
        <f t="shared" si="11"/>
        <v>-4.1716707454357828E-2</v>
      </c>
      <c r="BT27">
        <f t="shared" si="11"/>
        <v>6.1232397366133354E-2</v>
      </c>
      <c r="BU27">
        <f t="shared" si="10"/>
        <v>2.6081221464193859E-2</v>
      </c>
      <c r="BV27">
        <f t="shared" si="10"/>
        <v>2.2164436687755574E-2</v>
      </c>
      <c r="BW27">
        <f t="shared" si="10"/>
        <v>1.8534050581509327E-2</v>
      </c>
      <c r="BX27">
        <f t="shared" si="10"/>
        <v>6.5143690123602715E-2</v>
      </c>
      <c r="BY27">
        <f t="shared" si="10"/>
        <v>0.2190014237620016</v>
      </c>
      <c r="BZ27">
        <f t="shared" si="10"/>
        <v>-0.20697778690147914</v>
      </c>
      <c r="CA27">
        <f t="shared" si="10"/>
        <v>-0.27197483028376351</v>
      </c>
      <c r="CB27">
        <f t="shared" si="10"/>
        <v>-0.28252294047824988</v>
      </c>
      <c r="CC27">
        <f t="shared" si="10"/>
        <v>0.26649379403285378</v>
      </c>
      <c r="CD27">
        <f t="shared" si="10"/>
        <v>-1.6361375728069845E-2</v>
      </c>
      <c r="CE27">
        <f t="shared" si="10"/>
        <v>1.8968224999175783E-2</v>
      </c>
      <c r="CG27">
        <f t="shared" si="5"/>
        <v>0.99999999999999956</v>
      </c>
      <c r="CH27">
        <f t="shared" si="6"/>
        <v>0.99999999999999978</v>
      </c>
      <c r="CJ27">
        <f t="shared" si="7"/>
        <v>8.9776251740391902E-2</v>
      </c>
      <c r="CL27">
        <f>SUMPRODUCT(AS27:CE27,Dimorfismo!AS27:CE27)</f>
        <v>-1.0279661348986986E-2</v>
      </c>
      <c r="CM27">
        <f t="shared" si="8"/>
        <v>1.0279661348986986E-2</v>
      </c>
      <c r="CN27">
        <f t="shared" si="9"/>
        <v>1.0280023460809957E-2</v>
      </c>
    </row>
    <row r="28" spans="1:92" x14ac:dyDescent="0.25">
      <c r="A28" t="s">
        <v>29</v>
      </c>
      <c r="B28">
        <v>-2.9362200712533554E-2</v>
      </c>
      <c r="C28">
        <v>-7.0072307582740842E-2</v>
      </c>
      <c r="D28">
        <v>-0.16518181588019409</v>
      </c>
      <c r="E28">
        <v>-0.1347529013816888</v>
      </c>
      <c r="F28">
        <v>-9.886111458755463E-2</v>
      </c>
      <c r="G28">
        <v>-3.7178040073035733E-2</v>
      </c>
      <c r="H28">
        <v>-0.10895631776659655</v>
      </c>
      <c r="I28">
        <v>-9.9479667289281273E-2</v>
      </c>
      <c r="J28">
        <v>-4.7897560854370273E-3</v>
      </c>
      <c r="K28">
        <v>8.5180952407853158E-2</v>
      </c>
      <c r="L28">
        <v>5.4542224373702094E-3</v>
      </c>
      <c r="M28">
        <v>-2.5150507275873563E-2</v>
      </c>
      <c r="N28">
        <v>-0.20525139072712775</v>
      </c>
      <c r="O28">
        <v>-9.6735200218855483E-2</v>
      </c>
      <c r="P28">
        <v>-6.527951370343972E-2</v>
      </c>
      <c r="Q28">
        <v>0.27453043780223862</v>
      </c>
      <c r="R28">
        <v>0.31093526778059222</v>
      </c>
      <c r="S28">
        <v>0.38099720415345673</v>
      </c>
      <c r="T28">
        <v>0.37931574750038716</v>
      </c>
      <c r="U28">
        <v>0.12856286860435756</v>
      </c>
      <c r="V28">
        <v>2.1879298380514268E-2</v>
      </c>
      <c r="W28">
        <v>-1.7018360110856712E-2</v>
      </c>
      <c r="X28">
        <v>5.3049583603134484E-2</v>
      </c>
      <c r="Y28">
        <v>-2.4111663684389179E-2</v>
      </c>
      <c r="Z28">
        <v>1.8553372745941946E-2</v>
      </c>
      <c r="AA28">
        <v>0.20630871493835756</v>
      </c>
      <c r="AB28">
        <v>-4.171670739467518E-2</v>
      </c>
      <c r="AC28">
        <v>6.1232397278530283E-2</v>
      </c>
      <c r="AD28">
        <v>2.6081221426880359E-2</v>
      </c>
      <c r="AE28">
        <v>2.2164436656045682E-2</v>
      </c>
      <c r="AF28">
        <v>1.8534050554993301E-2</v>
      </c>
      <c r="AG28">
        <v>6.5143690030403892E-2</v>
      </c>
      <c r="AH28">
        <v>0.21900142344868384</v>
      </c>
      <c r="AI28">
        <v>-0.2069777866053632</v>
      </c>
      <c r="AJ28">
        <v>-0.27197482989465854</v>
      </c>
      <c r="AK28">
        <v>-0.2825229400740541</v>
      </c>
      <c r="AL28">
        <v>0.26649379365159032</v>
      </c>
      <c r="AM28">
        <v>-1.6361375704662191E-2</v>
      </c>
      <c r="AN28">
        <v>1.8968224972038601E-2</v>
      </c>
      <c r="AP28">
        <f t="shared" si="2"/>
        <v>0.99999999713866938</v>
      </c>
      <c r="AQ28">
        <f t="shared" si="3"/>
        <v>0.99999999856933464</v>
      </c>
      <c r="AS28">
        <f t="shared" si="13"/>
        <v>-2.9362200754541039E-2</v>
      </c>
      <c r="AT28">
        <f t="shared" si="13"/>
        <v>-7.0072307682990873E-2</v>
      </c>
      <c r="AU28">
        <f t="shared" si="13"/>
        <v>-0.165181816116514</v>
      </c>
      <c r="AV28">
        <f t="shared" si="13"/>
        <v>-0.13475290157447511</v>
      </c>
      <c r="AW28">
        <f t="shared" si="13"/>
        <v>-9.8861114728991797E-2</v>
      </c>
      <c r="AX28">
        <f t="shared" si="13"/>
        <v>-3.7178040126225068E-2</v>
      </c>
      <c r="AY28">
        <f t="shared" si="13"/>
        <v>-0.10895631792247658</v>
      </c>
      <c r="AZ28">
        <f t="shared" si="13"/>
        <v>-9.9479667431603386E-2</v>
      </c>
      <c r="BA28">
        <f t="shared" si="13"/>
        <v>-4.7897560922895658E-3</v>
      </c>
      <c r="BB28">
        <f t="shared" si="12"/>
        <v>8.5180952529718593E-2</v>
      </c>
      <c r="BC28">
        <f t="shared" si="12"/>
        <v>5.4542224451733764E-3</v>
      </c>
      <c r="BD28">
        <f t="shared" si="12"/>
        <v>-2.5150507311855523E-2</v>
      </c>
      <c r="BE28">
        <f t="shared" si="12"/>
        <v>-0.2052513910207738</v>
      </c>
      <c r="BF28">
        <f t="shared" si="12"/>
        <v>-9.673520035725118E-2</v>
      </c>
      <c r="BG28">
        <f t="shared" si="12"/>
        <v>-6.5279513796832861E-2</v>
      </c>
      <c r="BH28">
        <f t="shared" si="12"/>
        <v>0.27453043819499984</v>
      </c>
      <c r="BI28">
        <f t="shared" si="11"/>
        <v>0.31093526822543655</v>
      </c>
      <c r="BJ28">
        <f t="shared" si="11"/>
        <v>0.38099720469853621</v>
      </c>
      <c r="BK28">
        <f t="shared" si="11"/>
        <v>0.37931574804306106</v>
      </c>
      <c r="BL28">
        <f t="shared" si="11"/>
        <v>0.12856286878828802</v>
      </c>
      <c r="BM28">
        <f t="shared" si="11"/>
        <v>2.1879298411816222E-2</v>
      </c>
      <c r="BN28">
        <f t="shared" si="11"/>
        <v>-1.7018360135204292E-2</v>
      </c>
      <c r="BO28">
        <f t="shared" si="11"/>
        <v>5.3049583679030683E-2</v>
      </c>
      <c r="BP28">
        <f t="shared" si="11"/>
        <v>-2.4111663718884901E-2</v>
      </c>
      <c r="BQ28">
        <f t="shared" si="11"/>
        <v>1.8553372772485612E-2</v>
      </c>
      <c r="BR28">
        <f t="shared" si="11"/>
        <v>0.20630871523351629</v>
      </c>
      <c r="BS28">
        <f t="shared" si="11"/>
        <v>-4.1716707454357828E-2</v>
      </c>
      <c r="BT28">
        <f t="shared" si="11"/>
        <v>6.1232397366133354E-2</v>
      </c>
      <c r="BU28">
        <f t="shared" si="10"/>
        <v>2.6081221464193859E-2</v>
      </c>
      <c r="BV28">
        <f t="shared" si="10"/>
        <v>2.2164436687755574E-2</v>
      </c>
      <c r="BW28">
        <f t="shared" si="10"/>
        <v>1.8534050581509327E-2</v>
      </c>
      <c r="BX28">
        <f t="shared" si="10"/>
        <v>6.5143690123602715E-2</v>
      </c>
      <c r="BY28">
        <f t="shared" si="10"/>
        <v>0.2190014237620016</v>
      </c>
      <c r="BZ28">
        <f t="shared" si="10"/>
        <v>-0.20697778690147914</v>
      </c>
      <c r="CA28">
        <f t="shared" si="10"/>
        <v>-0.27197483028376351</v>
      </c>
      <c r="CB28">
        <f t="shared" si="10"/>
        <v>-0.28252294047824988</v>
      </c>
      <c r="CC28">
        <f t="shared" si="10"/>
        <v>0.26649379403285378</v>
      </c>
      <c r="CD28">
        <f t="shared" si="10"/>
        <v>-1.6361375728069845E-2</v>
      </c>
      <c r="CE28">
        <f t="shared" si="10"/>
        <v>1.8968224999175783E-2</v>
      </c>
      <c r="CG28">
        <f t="shared" si="5"/>
        <v>0.99999999999999956</v>
      </c>
      <c r="CH28">
        <f t="shared" si="6"/>
        <v>0.99999999999999978</v>
      </c>
      <c r="CJ28">
        <f t="shared" si="7"/>
        <v>8.9776251740391902E-2</v>
      </c>
      <c r="CL28">
        <f>SUMPRODUCT(AS28:CE28,Dimorfismo!AS28:CE28)</f>
        <v>-3.532938258982813E-2</v>
      </c>
      <c r="CM28">
        <f t="shared" si="8"/>
        <v>3.532938258982813E-2</v>
      </c>
      <c r="CN28">
        <f t="shared" si="9"/>
        <v>3.5344092577200073E-2</v>
      </c>
    </row>
    <row r="29" spans="1:92" x14ac:dyDescent="0.25">
      <c r="A29" t="s">
        <v>30</v>
      </c>
      <c r="B29">
        <v>-2.9362200712533554E-2</v>
      </c>
      <c r="C29">
        <v>-7.0072307582740842E-2</v>
      </c>
      <c r="D29">
        <v>-0.16518181588019409</v>
      </c>
      <c r="E29">
        <v>-0.1347529013816888</v>
      </c>
      <c r="F29">
        <v>-9.886111458755463E-2</v>
      </c>
      <c r="G29">
        <v>-3.7178040073035733E-2</v>
      </c>
      <c r="H29">
        <v>-0.10895631776659655</v>
      </c>
      <c r="I29">
        <v>-9.9479667289281273E-2</v>
      </c>
      <c r="J29">
        <v>-4.7897560854370273E-3</v>
      </c>
      <c r="K29">
        <v>8.5180952407853158E-2</v>
      </c>
      <c r="L29">
        <v>5.4542224373702094E-3</v>
      </c>
      <c r="M29">
        <v>-2.5150507275873563E-2</v>
      </c>
      <c r="N29">
        <v>-0.20525139072712775</v>
      </c>
      <c r="O29">
        <v>-9.6735200218855483E-2</v>
      </c>
      <c r="P29">
        <v>-6.527951370343972E-2</v>
      </c>
      <c r="Q29">
        <v>0.27453043780223862</v>
      </c>
      <c r="R29">
        <v>0.31093526778059222</v>
      </c>
      <c r="S29">
        <v>0.38099720415345673</v>
      </c>
      <c r="T29">
        <v>0.37931574750038716</v>
      </c>
      <c r="U29">
        <v>0.12856286860435756</v>
      </c>
      <c r="V29">
        <v>2.1879298380514268E-2</v>
      </c>
      <c r="W29">
        <v>-1.7018360110856712E-2</v>
      </c>
      <c r="X29">
        <v>5.3049583603134484E-2</v>
      </c>
      <c r="Y29">
        <v>-2.4111663684389179E-2</v>
      </c>
      <c r="Z29">
        <v>1.8553372745941946E-2</v>
      </c>
      <c r="AA29">
        <v>0.20630871493835756</v>
      </c>
      <c r="AB29">
        <v>-4.171670739467518E-2</v>
      </c>
      <c r="AC29">
        <v>6.1232397278530283E-2</v>
      </c>
      <c r="AD29">
        <v>2.6081221426880359E-2</v>
      </c>
      <c r="AE29">
        <v>2.2164436656045682E-2</v>
      </c>
      <c r="AF29">
        <v>1.8534050554993301E-2</v>
      </c>
      <c r="AG29">
        <v>6.5143690030403892E-2</v>
      </c>
      <c r="AH29">
        <v>0.21900142344868384</v>
      </c>
      <c r="AI29">
        <v>-0.2069777866053632</v>
      </c>
      <c r="AJ29">
        <v>-0.27197482989465854</v>
      </c>
      <c r="AK29">
        <v>-0.2825229400740541</v>
      </c>
      <c r="AL29">
        <v>0.26649379365159032</v>
      </c>
      <c r="AM29">
        <v>-1.6361375704662191E-2</v>
      </c>
      <c r="AN29">
        <v>1.8968224972038601E-2</v>
      </c>
      <c r="AP29">
        <f t="shared" si="2"/>
        <v>0.99999999713866938</v>
      </c>
      <c r="AQ29">
        <f t="shared" si="3"/>
        <v>0.99999999856933464</v>
      </c>
      <c r="AS29">
        <f t="shared" si="13"/>
        <v>-2.9362200754541039E-2</v>
      </c>
      <c r="AT29">
        <f t="shared" si="13"/>
        <v>-7.0072307682990873E-2</v>
      </c>
      <c r="AU29">
        <f t="shared" si="13"/>
        <v>-0.165181816116514</v>
      </c>
      <c r="AV29">
        <f t="shared" si="13"/>
        <v>-0.13475290157447511</v>
      </c>
      <c r="AW29">
        <f t="shared" si="13"/>
        <v>-9.8861114728991797E-2</v>
      </c>
      <c r="AX29">
        <f t="shared" si="13"/>
        <v>-3.7178040126225068E-2</v>
      </c>
      <c r="AY29">
        <f t="shared" si="13"/>
        <v>-0.10895631792247658</v>
      </c>
      <c r="AZ29">
        <f t="shared" si="13"/>
        <v>-9.9479667431603386E-2</v>
      </c>
      <c r="BA29">
        <f t="shared" si="13"/>
        <v>-4.7897560922895658E-3</v>
      </c>
      <c r="BB29">
        <f t="shared" si="12"/>
        <v>8.5180952529718593E-2</v>
      </c>
      <c r="BC29">
        <f t="shared" si="12"/>
        <v>5.4542224451733764E-3</v>
      </c>
      <c r="BD29">
        <f t="shared" si="12"/>
        <v>-2.5150507311855523E-2</v>
      </c>
      <c r="BE29">
        <f t="shared" si="12"/>
        <v>-0.2052513910207738</v>
      </c>
      <c r="BF29">
        <f t="shared" si="12"/>
        <v>-9.673520035725118E-2</v>
      </c>
      <c r="BG29">
        <f t="shared" si="12"/>
        <v>-6.5279513796832861E-2</v>
      </c>
      <c r="BH29">
        <f t="shared" si="12"/>
        <v>0.27453043819499984</v>
      </c>
      <c r="BI29">
        <f t="shared" si="11"/>
        <v>0.31093526822543655</v>
      </c>
      <c r="BJ29">
        <f t="shared" si="11"/>
        <v>0.38099720469853621</v>
      </c>
      <c r="BK29">
        <f t="shared" si="11"/>
        <v>0.37931574804306106</v>
      </c>
      <c r="BL29">
        <f t="shared" si="11"/>
        <v>0.12856286878828802</v>
      </c>
      <c r="BM29">
        <f t="shared" si="11"/>
        <v>2.1879298411816222E-2</v>
      </c>
      <c r="BN29">
        <f t="shared" si="11"/>
        <v>-1.7018360135204292E-2</v>
      </c>
      <c r="BO29">
        <f t="shared" si="11"/>
        <v>5.3049583679030683E-2</v>
      </c>
      <c r="BP29">
        <f t="shared" si="11"/>
        <v>-2.4111663718884901E-2</v>
      </c>
      <c r="BQ29">
        <f t="shared" si="11"/>
        <v>1.8553372772485612E-2</v>
      </c>
      <c r="BR29">
        <f t="shared" si="11"/>
        <v>0.20630871523351629</v>
      </c>
      <c r="BS29">
        <f t="shared" si="11"/>
        <v>-4.1716707454357828E-2</v>
      </c>
      <c r="BT29">
        <f t="shared" si="11"/>
        <v>6.1232397366133354E-2</v>
      </c>
      <c r="BU29">
        <f t="shared" si="10"/>
        <v>2.6081221464193859E-2</v>
      </c>
      <c r="BV29">
        <f t="shared" si="10"/>
        <v>2.2164436687755574E-2</v>
      </c>
      <c r="BW29">
        <f t="shared" si="10"/>
        <v>1.8534050581509327E-2</v>
      </c>
      <c r="BX29">
        <f t="shared" si="10"/>
        <v>6.5143690123602715E-2</v>
      </c>
      <c r="BY29">
        <f t="shared" si="10"/>
        <v>0.2190014237620016</v>
      </c>
      <c r="BZ29">
        <f t="shared" si="10"/>
        <v>-0.20697778690147914</v>
      </c>
      <c r="CA29">
        <f t="shared" si="10"/>
        <v>-0.27197483028376351</v>
      </c>
      <c r="CB29">
        <f t="shared" si="10"/>
        <v>-0.28252294047824988</v>
      </c>
      <c r="CC29">
        <f t="shared" si="10"/>
        <v>0.26649379403285378</v>
      </c>
      <c r="CD29">
        <f t="shared" si="10"/>
        <v>-1.6361375728069845E-2</v>
      </c>
      <c r="CE29">
        <f t="shared" si="10"/>
        <v>1.8968224999175783E-2</v>
      </c>
      <c r="CG29">
        <f t="shared" si="5"/>
        <v>0.99999999999999956</v>
      </c>
      <c r="CH29">
        <f t="shared" si="6"/>
        <v>0.99999999999999978</v>
      </c>
      <c r="CJ29">
        <f t="shared" si="7"/>
        <v>8.9776251740391902E-2</v>
      </c>
      <c r="CL29">
        <f>SUMPRODUCT(AS29:CE29,Dimorfismo!AS29:CE29)</f>
        <v>0.14871079064394116</v>
      </c>
      <c r="CM29">
        <f t="shared" si="8"/>
        <v>0.14871079064394116</v>
      </c>
      <c r="CN29">
        <f t="shared" si="9"/>
        <v>0.14982181178722598</v>
      </c>
    </row>
    <row r="30" spans="1:92" x14ac:dyDescent="0.25">
      <c r="A30" t="s">
        <v>31</v>
      </c>
      <c r="B30">
        <v>-2.9362200712533554E-2</v>
      </c>
      <c r="C30">
        <v>-7.0072307582740842E-2</v>
      </c>
      <c r="D30">
        <v>-0.16518181588019409</v>
      </c>
      <c r="E30">
        <v>-0.1347529013816888</v>
      </c>
      <c r="F30">
        <v>-9.886111458755463E-2</v>
      </c>
      <c r="G30">
        <v>-3.7178040073035733E-2</v>
      </c>
      <c r="H30">
        <v>-0.10895631776659655</v>
      </c>
      <c r="I30">
        <v>-9.9479667289281273E-2</v>
      </c>
      <c r="J30">
        <v>-4.7897560854370273E-3</v>
      </c>
      <c r="K30">
        <v>8.5180952407853158E-2</v>
      </c>
      <c r="L30">
        <v>5.4542224373702094E-3</v>
      </c>
      <c r="M30">
        <v>-2.5150507275873563E-2</v>
      </c>
      <c r="N30">
        <v>-0.20525139072712775</v>
      </c>
      <c r="O30">
        <v>-9.6735200218855483E-2</v>
      </c>
      <c r="P30">
        <v>-6.527951370343972E-2</v>
      </c>
      <c r="Q30">
        <v>0.27453043780223862</v>
      </c>
      <c r="R30">
        <v>0.31093526778059222</v>
      </c>
      <c r="S30">
        <v>0.38099720415345673</v>
      </c>
      <c r="T30">
        <v>0.37931574750038716</v>
      </c>
      <c r="U30">
        <v>0.12856286860435756</v>
      </c>
      <c r="V30">
        <v>2.1879298380514268E-2</v>
      </c>
      <c r="W30">
        <v>-1.7018360110856712E-2</v>
      </c>
      <c r="X30">
        <v>5.3049583603134484E-2</v>
      </c>
      <c r="Y30">
        <v>-2.4111663684389179E-2</v>
      </c>
      <c r="Z30">
        <v>1.8553372745941946E-2</v>
      </c>
      <c r="AA30">
        <v>0.20630871493835756</v>
      </c>
      <c r="AB30">
        <v>-4.171670739467518E-2</v>
      </c>
      <c r="AC30">
        <v>6.1232397278530283E-2</v>
      </c>
      <c r="AD30">
        <v>2.6081221426880359E-2</v>
      </c>
      <c r="AE30">
        <v>2.2164436656045682E-2</v>
      </c>
      <c r="AF30">
        <v>1.8534050554993301E-2</v>
      </c>
      <c r="AG30">
        <v>6.5143690030403892E-2</v>
      </c>
      <c r="AH30">
        <v>0.21900142344868384</v>
      </c>
      <c r="AI30">
        <v>-0.2069777866053632</v>
      </c>
      <c r="AJ30">
        <v>-0.27197482989465854</v>
      </c>
      <c r="AK30">
        <v>-0.2825229400740541</v>
      </c>
      <c r="AL30">
        <v>0.26649379365159032</v>
      </c>
      <c r="AM30">
        <v>-1.6361375704662191E-2</v>
      </c>
      <c r="AN30">
        <v>1.8968224972038601E-2</v>
      </c>
      <c r="AP30">
        <f t="shared" si="2"/>
        <v>0.99999999713866938</v>
      </c>
      <c r="AQ30">
        <f t="shared" si="3"/>
        <v>0.99999999856933464</v>
      </c>
      <c r="AS30">
        <f t="shared" si="13"/>
        <v>-2.9362200754541039E-2</v>
      </c>
      <c r="AT30">
        <f t="shared" si="13"/>
        <v>-7.0072307682990873E-2</v>
      </c>
      <c r="AU30">
        <f t="shared" si="13"/>
        <v>-0.165181816116514</v>
      </c>
      <c r="AV30">
        <f t="shared" si="13"/>
        <v>-0.13475290157447511</v>
      </c>
      <c r="AW30">
        <f t="shared" si="13"/>
        <v>-9.8861114728991797E-2</v>
      </c>
      <c r="AX30">
        <f t="shared" si="13"/>
        <v>-3.7178040126225068E-2</v>
      </c>
      <c r="AY30">
        <f t="shared" si="13"/>
        <v>-0.10895631792247658</v>
      </c>
      <c r="AZ30">
        <f t="shared" si="13"/>
        <v>-9.9479667431603386E-2</v>
      </c>
      <c r="BA30">
        <f t="shared" si="13"/>
        <v>-4.7897560922895658E-3</v>
      </c>
      <c r="BB30">
        <f t="shared" si="12"/>
        <v>8.5180952529718593E-2</v>
      </c>
      <c r="BC30">
        <f t="shared" si="12"/>
        <v>5.4542224451733764E-3</v>
      </c>
      <c r="BD30">
        <f t="shared" si="12"/>
        <v>-2.5150507311855523E-2</v>
      </c>
      <c r="BE30">
        <f t="shared" si="12"/>
        <v>-0.2052513910207738</v>
      </c>
      <c r="BF30">
        <f t="shared" si="12"/>
        <v>-9.673520035725118E-2</v>
      </c>
      <c r="BG30">
        <f t="shared" si="12"/>
        <v>-6.5279513796832861E-2</v>
      </c>
      <c r="BH30">
        <f t="shared" si="12"/>
        <v>0.27453043819499984</v>
      </c>
      <c r="BI30">
        <f t="shared" si="11"/>
        <v>0.31093526822543655</v>
      </c>
      <c r="BJ30">
        <f t="shared" si="11"/>
        <v>0.38099720469853621</v>
      </c>
      <c r="BK30">
        <f t="shared" si="11"/>
        <v>0.37931574804306106</v>
      </c>
      <c r="BL30">
        <f t="shared" ref="BL30:BV53" si="14">U30/$AQ30</f>
        <v>0.12856286878828802</v>
      </c>
      <c r="BM30">
        <f t="shared" si="14"/>
        <v>2.1879298411816222E-2</v>
      </c>
      <c r="BN30">
        <f t="shared" si="14"/>
        <v>-1.7018360135204292E-2</v>
      </c>
      <c r="BO30">
        <f t="shared" si="14"/>
        <v>5.3049583679030683E-2</v>
      </c>
      <c r="BP30">
        <f t="shared" si="14"/>
        <v>-2.4111663718884901E-2</v>
      </c>
      <c r="BQ30">
        <f t="shared" si="14"/>
        <v>1.8553372772485612E-2</v>
      </c>
      <c r="BR30">
        <f t="shared" si="14"/>
        <v>0.20630871523351629</v>
      </c>
      <c r="BS30">
        <f t="shared" si="14"/>
        <v>-4.1716707454357828E-2</v>
      </c>
      <c r="BT30">
        <f t="shared" si="14"/>
        <v>6.1232397366133354E-2</v>
      </c>
      <c r="BU30">
        <f t="shared" si="10"/>
        <v>2.6081221464193859E-2</v>
      </c>
      <c r="BV30">
        <f t="shared" si="10"/>
        <v>2.2164436687755574E-2</v>
      </c>
      <c r="BW30">
        <f t="shared" si="10"/>
        <v>1.8534050581509327E-2</v>
      </c>
      <c r="BX30">
        <f t="shared" si="10"/>
        <v>6.5143690123602715E-2</v>
      </c>
      <c r="BY30">
        <f t="shared" si="10"/>
        <v>0.2190014237620016</v>
      </c>
      <c r="BZ30">
        <f t="shared" si="10"/>
        <v>-0.20697778690147914</v>
      </c>
      <c r="CA30">
        <f t="shared" si="10"/>
        <v>-0.27197483028376351</v>
      </c>
      <c r="CB30">
        <f t="shared" si="10"/>
        <v>-0.28252294047824988</v>
      </c>
      <c r="CC30">
        <f t="shared" si="10"/>
        <v>0.26649379403285378</v>
      </c>
      <c r="CD30">
        <f t="shared" si="10"/>
        <v>-1.6361375728069845E-2</v>
      </c>
      <c r="CE30">
        <f t="shared" si="10"/>
        <v>1.8968224999175783E-2</v>
      </c>
      <c r="CG30">
        <f t="shared" si="5"/>
        <v>0.99999999999999956</v>
      </c>
      <c r="CH30">
        <f t="shared" si="6"/>
        <v>0.99999999999999978</v>
      </c>
      <c r="CJ30">
        <f t="shared" si="7"/>
        <v>8.9776251740391902E-2</v>
      </c>
      <c r="CL30">
        <f>SUMPRODUCT(AS30:CE30,Dimorfismo!AS30:CE30)</f>
        <v>0.28425879007594745</v>
      </c>
      <c r="CM30">
        <f t="shared" si="8"/>
        <v>0.28425879007594745</v>
      </c>
      <c r="CN30">
        <f t="shared" si="9"/>
        <v>0.29230917543622259</v>
      </c>
    </row>
    <row r="31" spans="1:92" x14ac:dyDescent="0.25">
      <c r="A31" t="s">
        <v>32</v>
      </c>
      <c r="B31">
        <v>-2.9362200712533554E-2</v>
      </c>
      <c r="C31">
        <v>-7.0072307582740842E-2</v>
      </c>
      <c r="D31">
        <v>-0.16518181588019409</v>
      </c>
      <c r="E31">
        <v>-0.1347529013816888</v>
      </c>
      <c r="F31">
        <v>-9.886111458755463E-2</v>
      </c>
      <c r="G31">
        <v>-3.7178040073035733E-2</v>
      </c>
      <c r="H31">
        <v>-0.10895631776659655</v>
      </c>
      <c r="I31">
        <v>-9.9479667289281273E-2</v>
      </c>
      <c r="J31">
        <v>-4.7897560854370273E-3</v>
      </c>
      <c r="K31">
        <v>8.5180952407853158E-2</v>
      </c>
      <c r="L31">
        <v>5.4542224373702094E-3</v>
      </c>
      <c r="M31">
        <v>-2.5150507275873563E-2</v>
      </c>
      <c r="N31">
        <v>-0.20525139072712775</v>
      </c>
      <c r="O31">
        <v>-9.6735200218855483E-2</v>
      </c>
      <c r="P31">
        <v>-6.527951370343972E-2</v>
      </c>
      <c r="Q31">
        <v>0.27453043780223862</v>
      </c>
      <c r="R31">
        <v>0.31093526778059222</v>
      </c>
      <c r="S31">
        <v>0.38099720415345673</v>
      </c>
      <c r="T31">
        <v>0.37931574750038716</v>
      </c>
      <c r="U31">
        <v>0.12856286860435756</v>
      </c>
      <c r="V31">
        <v>2.1879298380514268E-2</v>
      </c>
      <c r="W31">
        <v>-1.7018360110856712E-2</v>
      </c>
      <c r="X31">
        <v>5.3049583603134484E-2</v>
      </c>
      <c r="Y31">
        <v>-2.4111663684389179E-2</v>
      </c>
      <c r="Z31">
        <v>1.8553372745941946E-2</v>
      </c>
      <c r="AA31">
        <v>0.20630871493835756</v>
      </c>
      <c r="AB31">
        <v>-4.171670739467518E-2</v>
      </c>
      <c r="AC31">
        <v>6.1232397278530283E-2</v>
      </c>
      <c r="AD31">
        <v>2.6081221426880359E-2</v>
      </c>
      <c r="AE31">
        <v>2.2164436656045682E-2</v>
      </c>
      <c r="AF31">
        <v>1.8534050554993301E-2</v>
      </c>
      <c r="AG31">
        <v>6.5143690030403892E-2</v>
      </c>
      <c r="AH31">
        <v>0.21900142344868384</v>
      </c>
      <c r="AI31">
        <v>-0.2069777866053632</v>
      </c>
      <c r="AJ31">
        <v>-0.27197482989465854</v>
      </c>
      <c r="AK31">
        <v>-0.2825229400740541</v>
      </c>
      <c r="AL31">
        <v>0.26649379365159032</v>
      </c>
      <c r="AM31">
        <v>-1.6361375704662191E-2</v>
      </c>
      <c r="AN31">
        <v>1.8968224972038601E-2</v>
      </c>
      <c r="AP31">
        <f t="shared" si="2"/>
        <v>0.99999999713866938</v>
      </c>
      <c r="AQ31">
        <f t="shared" si="3"/>
        <v>0.99999999856933464</v>
      </c>
      <c r="AS31">
        <f t="shared" si="13"/>
        <v>-2.9362200754541039E-2</v>
      </c>
      <c r="AT31">
        <f t="shared" si="13"/>
        <v>-7.0072307682990873E-2</v>
      </c>
      <c r="AU31">
        <f t="shared" si="13"/>
        <v>-0.165181816116514</v>
      </c>
      <c r="AV31">
        <f t="shared" si="13"/>
        <v>-0.13475290157447511</v>
      </c>
      <c r="AW31">
        <f t="shared" si="13"/>
        <v>-9.8861114728991797E-2</v>
      </c>
      <c r="AX31">
        <f t="shared" si="13"/>
        <v>-3.7178040126225068E-2</v>
      </c>
      <c r="AY31">
        <f t="shared" si="13"/>
        <v>-0.10895631792247658</v>
      </c>
      <c r="AZ31">
        <f t="shared" si="13"/>
        <v>-9.9479667431603386E-2</v>
      </c>
      <c r="BA31">
        <f t="shared" si="13"/>
        <v>-4.7897560922895658E-3</v>
      </c>
      <c r="BB31">
        <f t="shared" si="12"/>
        <v>8.5180952529718593E-2</v>
      </c>
      <c r="BC31">
        <f t="shared" si="12"/>
        <v>5.4542224451733764E-3</v>
      </c>
      <c r="BD31">
        <f t="shared" si="12"/>
        <v>-2.5150507311855523E-2</v>
      </c>
      <c r="BE31">
        <f t="shared" si="12"/>
        <v>-0.2052513910207738</v>
      </c>
      <c r="BF31">
        <f t="shared" si="12"/>
        <v>-9.673520035725118E-2</v>
      </c>
      <c r="BG31">
        <f t="shared" si="12"/>
        <v>-6.5279513796832861E-2</v>
      </c>
      <c r="BH31">
        <f t="shared" si="12"/>
        <v>0.27453043819499984</v>
      </c>
      <c r="BI31">
        <f t="shared" si="12"/>
        <v>0.31093526822543655</v>
      </c>
      <c r="BJ31">
        <f t="shared" si="12"/>
        <v>0.38099720469853621</v>
      </c>
      <c r="BK31">
        <f t="shared" si="12"/>
        <v>0.37931574804306106</v>
      </c>
      <c r="BL31">
        <f t="shared" si="14"/>
        <v>0.12856286878828802</v>
      </c>
      <c r="BM31">
        <f t="shared" si="14"/>
        <v>2.1879298411816222E-2</v>
      </c>
      <c r="BN31">
        <f t="shared" si="14"/>
        <v>-1.7018360135204292E-2</v>
      </c>
      <c r="BO31">
        <f t="shared" si="14"/>
        <v>5.3049583679030683E-2</v>
      </c>
      <c r="BP31">
        <f t="shared" si="14"/>
        <v>-2.4111663718884901E-2</v>
      </c>
      <c r="BQ31">
        <f t="shared" si="14"/>
        <v>1.8553372772485612E-2</v>
      </c>
      <c r="BR31">
        <f t="shared" si="14"/>
        <v>0.20630871523351629</v>
      </c>
      <c r="BS31">
        <f t="shared" si="14"/>
        <v>-4.1716707454357828E-2</v>
      </c>
      <c r="BT31">
        <f t="shared" si="14"/>
        <v>6.1232397366133354E-2</v>
      </c>
      <c r="BU31">
        <f t="shared" si="10"/>
        <v>2.6081221464193859E-2</v>
      </c>
      <c r="BV31">
        <f t="shared" si="10"/>
        <v>2.2164436687755574E-2</v>
      </c>
      <c r="BW31">
        <f t="shared" ref="BW31:CE59" si="15">AF31/$AQ31</f>
        <v>1.8534050581509327E-2</v>
      </c>
      <c r="BX31">
        <f t="shared" si="15"/>
        <v>6.5143690123602715E-2</v>
      </c>
      <c r="BY31">
        <f t="shared" si="15"/>
        <v>0.2190014237620016</v>
      </c>
      <c r="BZ31">
        <f t="shared" si="15"/>
        <v>-0.20697778690147914</v>
      </c>
      <c r="CA31">
        <f t="shared" si="15"/>
        <v>-0.27197483028376351</v>
      </c>
      <c r="CB31">
        <f t="shared" si="15"/>
        <v>-0.28252294047824988</v>
      </c>
      <c r="CC31">
        <f t="shared" si="15"/>
        <v>0.26649379403285378</v>
      </c>
      <c r="CD31">
        <f t="shared" si="15"/>
        <v>-1.6361375728069845E-2</v>
      </c>
      <c r="CE31">
        <f t="shared" si="15"/>
        <v>1.8968224999175783E-2</v>
      </c>
      <c r="CG31">
        <f t="shared" si="5"/>
        <v>0.99999999999999956</v>
      </c>
      <c r="CH31">
        <f t="shared" si="6"/>
        <v>0.99999999999999978</v>
      </c>
      <c r="CJ31">
        <f t="shared" si="7"/>
        <v>8.9776251740391902E-2</v>
      </c>
      <c r="CL31">
        <f>SUMPRODUCT(AS31:CE31,Dimorfismo!AS31:CE31)</f>
        <v>0.10498622254223891</v>
      </c>
      <c r="CM31">
        <f t="shared" si="8"/>
        <v>0.10498622254223891</v>
      </c>
      <c r="CN31">
        <f t="shared" si="9"/>
        <v>0.10537451681131528</v>
      </c>
    </row>
    <row r="32" spans="1:92" x14ac:dyDescent="0.25">
      <c r="A32" t="s">
        <v>33</v>
      </c>
      <c r="B32">
        <v>-2.9362200712533554E-2</v>
      </c>
      <c r="C32">
        <v>-7.0072307582740842E-2</v>
      </c>
      <c r="D32">
        <v>-0.16518181588019409</v>
      </c>
      <c r="E32">
        <v>-0.1347529013816888</v>
      </c>
      <c r="F32">
        <v>-9.886111458755463E-2</v>
      </c>
      <c r="G32">
        <v>-3.7178040073035733E-2</v>
      </c>
      <c r="H32">
        <v>-0.10895631776659655</v>
      </c>
      <c r="I32">
        <v>-9.9479667289281273E-2</v>
      </c>
      <c r="J32">
        <v>-4.7897560854370273E-3</v>
      </c>
      <c r="K32">
        <v>8.5180952407853158E-2</v>
      </c>
      <c r="L32">
        <v>5.4542224373702094E-3</v>
      </c>
      <c r="M32">
        <v>-2.5150507275873563E-2</v>
      </c>
      <c r="N32">
        <v>-0.20525139072712775</v>
      </c>
      <c r="O32">
        <v>-9.6735200218855483E-2</v>
      </c>
      <c r="P32">
        <v>-6.527951370343972E-2</v>
      </c>
      <c r="Q32">
        <v>0.27453043780223862</v>
      </c>
      <c r="R32">
        <v>0.31093526778059222</v>
      </c>
      <c r="S32">
        <v>0.38099720415345673</v>
      </c>
      <c r="T32">
        <v>0.37931574750038716</v>
      </c>
      <c r="U32">
        <v>0.12856286860435756</v>
      </c>
      <c r="V32">
        <v>2.1879298380514268E-2</v>
      </c>
      <c r="W32">
        <v>-1.7018360110856712E-2</v>
      </c>
      <c r="X32">
        <v>5.3049583603134484E-2</v>
      </c>
      <c r="Y32">
        <v>-2.4111663684389179E-2</v>
      </c>
      <c r="Z32">
        <v>1.8553372745941946E-2</v>
      </c>
      <c r="AA32">
        <v>0.20630871493835756</v>
      </c>
      <c r="AB32">
        <v>-4.171670739467518E-2</v>
      </c>
      <c r="AC32">
        <v>6.1232397278530283E-2</v>
      </c>
      <c r="AD32">
        <v>2.6081221426880359E-2</v>
      </c>
      <c r="AE32">
        <v>2.2164436656045682E-2</v>
      </c>
      <c r="AF32">
        <v>1.8534050554993301E-2</v>
      </c>
      <c r="AG32">
        <v>6.5143690030403892E-2</v>
      </c>
      <c r="AH32">
        <v>0.21900142344868384</v>
      </c>
      <c r="AI32">
        <v>-0.2069777866053632</v>
      </c>
      <c r="AJ32">
        <v>-0.27197482989465854</v>
      </c>
      <c r="AK32">
        <v>-0.2825229400740541</v>
      </c>
      <c r="AL32">
        <v>0.26649379365159032</v>
      </c>
      <c r="AM32">
        <v>-1.6361375704662191E-2</v>
      </c>
      <c r="AN32">
        <v>1.8968224972038601E-2</v>
      </c>
      <c r="AP32">
        <f t="shared" si="2"/>
        <v>0.99999999713866938</v>
      </c>
      <c r="AQ32">
        <f t="shared" si="3"/>
        <v>0.99999999856933464</v>
      </c>
      <c r="AS32">
        <f t="shared" si="13"/>
        <v>-2.9362200754541039E-2</v>
      </c>
      <c r="AT32">
        <f t="shared" si="13"/>
        <v>-7.0072307682990873E-2</v>
      </c>
      <c r="AU32">
        <f t="shared" si="13"/>
        <v>-0.165181816116514</v>
      </c>
      <c r="AV32">
        <f t="shared" si="13"/>
        <v>-0.13475290157447511</v>
      </c>
      <c r="AW32">
        <f t="shared" si="13"/>
        <v>-9.8861114728991797E-2</v>
      </c>
      <c r="AX32">
        <f t="shared" si="13"/>
        <v>-3.7178040126225068E-2</v>
      </c>
      <c r="AY32">
        <f t="shared" si="13"/>
        <v>-0.10895631792247658</v>
      </c>
      <c r="AZ32">
        <f t="shared" si="13"/>
        <v>-9.9479667431603386E-2</v>
      </c>
      <c r="BA32">
        <f t="shared" si="13"/>
        <v>-4.7897560922895658E-3</v>
      </c>
      <c r="BB32">
        <f t="shared" si="12"/>
        <v>8.5180952529718593E-2</v>
      </c>
      <c r="BC32">
        <f t="shared" si="12"/>
        <v>5.4542224451733764E-3</v>
      </c>
      <c r="BD32">
        <f t="shared" si="12"/>
        <v>-2.5150507311855523E-2</v>
      </c>
      <c r="BE32">
        <f t="shared" si="12"/>
        <v>-0.2052513910207738</v>
      </c>
      <c r="BF32">
        <f t="shared" si="12"/>
        <v>-9.673520035725118E-2</v>
      </c>
      <c r="BG32">
        <f t="shared" si="12"/>
        <v>-6.5279513796832861E-2</v>
      </c>
      <c r="BH32">
        <f t="shared" si="12"/>
        <v>0.27453043819499984</v>
      </c>
      <c r="BI32">
        <f t="shared" si="12"/>
        <v>0.31093526822543655</v>
      </c>
      <c r="BJ32">
        <f t="shared" si="12"/>
        <v>0.38099720469853621</v>
      </c>
      <c r="BK32">
        <f t="shared" si="12"/>
        <v>0.37931574804306106</v>
      </c>
      <c r="BL32">
        <f t="shared" si="14"/>
        <v>0.12856286878828802</v>
      </c>
      <c r="BM32">
        <f t="shared" si="14"/>
        <v>2.1879298411816222E-2</v>
      </c>
      <c r="BN32">
        <f t="shared" si="14"/>
        <v>-1.7018360135204292E-2</v>
      </c>
      <c r="BO32">
        <f t="shared" si="14"/>
        <v>5.3049583679030683E-2</v>
      </c>
      <c r="BP32">
        <f t="shared" si="14"/>
        <v>-2.4111663718884901E-2</v>
      </c>
      <c r="BQ32">
        <f t="shared" si="14"/>
        <v>1.8553372772485612E-2</v>
      </c>
      <c r="BR32">
        <f t="shared" si="14"/>
        <v>0.20630871523351629</v>
      </c>
      <c r="BS32">
        <f t="shared" si="14"/>
        <v>-4.1716707454357828E-2</v>
      </c>
      <c r="BT32">
        <f t="shared" si="14"/>
        <v>6.1232397366133354E-2</v>
      </c>
      <c r="BU32">
        <f t="shared" si="14"/>
        <v>2.6081221464193859E-2</v>
      </c>
      <c r="BV32">
        <f t="shared" si="14"/>
        <v>2.2164436687755574E-2</v>
      </c>
      <c r="BW32">
        <f t="shared" si="15"/>
        <v>1.8534050581509327E-2</v>
      </c>
      <c r="BX32">
        <f t="shared" si="15"/>
        <v>6.5143690123602715E-2</v>
      </c>
      <c r="BY32">
        <f t="shared" si="15"/>
        <v>0.2190014237620016</v>
      </c>
      <c r="BZ32">
        <f t="shared" si="15"/>
        <v>-0.20697778690147914</v>
      </c>
      <c r="CA32">
        <f t="shared" si="15"/>
        <v>-0.27197483028376351</v>
      </c>
      <c r="CB32">
        <f t="shared" si="15"/>
        <v>-0.28252294047824988</v>
      </c>
      <c r="CC32">
        <f t="shared" si="15"/>
        <v>0.26649379403285378</v>
      </c>
      <c r="CD32">
        <f t="shared" si="15"/>
        <v>-1.6361375728069845E-2</v>
      </c>
      <c r="CE32">
        <f t="shared" si="15"/>
        <v>1.8968224999175783E-2</v>
      </c>
      <c r="CG32">
        <f t="shared" si="5"/>
        <v>0.99999999999999956</v>
      </c>
      <c r="CH32">
        <f t="shared" si="6"/>
        <v>0.99999999999999978</v>
      </c>
      <c r="CJ32">
        <f t="shared" si="7"/>
        <v>8.9776251740391902E-2</v>
      </c>
      <c r="CL32">
        <f>SUMPRODUCT(AS32:CE32,Dimorfismo!AS32:CE32)</f>
        <v>-6.4787877806440575E-2</v>
      </c>
      <c r="CM32">
        <f t="shared" si="8"/>
        <v>6.4787877806440575E-2</v>
      </c>
      <c r="CN32">
        <f t="shared" si="9"/>
        <v>6.4878755161349597E-2</v>
      </c>
    </row>
    <row r="33" spans="1:92" x14ac:dyDescent="0.25">
      <c r="A33" t="s">
        <v>34</v>
      </c>
      <c r="B33">
        <v>-2.9362200712533554E-2</v>
      </c>
      <c r="C33">
        <v>-7.0072307582740842E-2</v>
      </c>
      <c r="D33">
        <v>-0.16518181588019409</v>
      </c>
      <c r="E33">
        <v>-0.1347529013816888</v>
      </c>
      <c r="F33">
        <v>-9.886111458755463E-2</v>
      </c>
      <c r="G33">
        <v>-3.7178040073035733E-2</v>
      </c>
      <c r="H33">
        <v>-0.10895631776659655</v>
      </c>
      <c r="I33">
        <v>-9.9479667289281273E-2</v>
      </c>
      <c r="J33">
        <v>-4.7897560854370273E-3</v>
      </c>
      <c r="K33">
        <v>8.5180952407853158E-2</v>
      </c>
      <c r="L33">
        <v>5.4542224373702094E-3</v>
      </c>
      <c r="M33">
        <v>-2.5150507275873563E-2</v>
      </c>
      <c r="N33">
        <v>-0.20525139072712775</v>
      </c>
      <c r="O33">
        <v>-9.6735200218855483E-2</v>
      </c>
      <c r="P33">
        <v>-6.527951370343972E-2</v>
      </c>
      <c r="Q33">
        <v>0.27453043780223862</v>
      </c>
      <c r="R33">
        <v>0.31093526778059222</v>
      </c>
      <c r="S33">
        <v>0.38099720415345673</v>
      </c>
      <c r="T33">
        <v>0.37931574750038716</v>
      </c>
      <c r="U33">
        <v>0.12856286860435756</v>
      </c>
      <c r="V33">
        <v>2.1879298380514268E-2</v>
      </c>
      <c r="W33">
        <v>-1.7018360110856712E-2</v>
      </c>
      <c r="X33">
        <v>5.3049583603134484E-2</v>
      </c>
      <c r="Y33">
        <v>-2.4111663684389179E-2</v>
      </c>
      <c r="Z33">
        <v>1.8553372745941946E-2</v>
      </c>
      <c r="AA33">
        <v>0.20630871493835756</v>
      </c>
      <c r="AB33">
        <v>-4.171670739467518E-2</v>
      </c>
      <c r="AC33">
        <v>6.1232397278530283E-2</v>
      </c>
      <c r="AD33">
        <v>2.6081221426880359E-2</v>
      </c>
      <c r="AE33">
        <v>2.2164436656045682E-2</v>
      </c>
      <c r="AF33">
        <v>1.8534050554993301E-2</v>
      </c>
      <c r="AG33">
        <v>6.5143690030403892E-2</v>
      </c>
      <c r="AH33">
        <v>0.21900142344868384</v>
      </c>
      <c r="AI33">
        <v>-0.2069777866053632</v>
      </c>
      <c r="AJ33">
        <v>-0.27197482989465854</v>
      </c>
      <c r="AK33">
        <v>-0.2825229400740541</v>
      </c>
      <c r="AL33">
        <v>0.26649379365159032</v>
      </c>
      <c r="AM33">
        <v>-1.6361375704662191E-2</v>
      </c>
      <c r="AN33">
        <v>1.8968224972038601E-2</v>
      </c>
      <c r="AP33">
        <f t="shared" si="2"/>
        <v>0.99999999713866938</v>
      </c>
      <c r="AQ33">
        <f t="shared" si="3"/>
        <v>0.99999999856933464</v>
      </c>
      <c r="AS33">
        <f t="shared" si="13"/>
        <v>-2.9362200754541039E-2</v>
      </c>
      <c r="AT33">
        <f t="shared" si="13"/>
        <v>-7.0072307682990873E-2</v>
      </c>
      <c r="AU33">
        <f t="shared" si="13"/>
        <v>-0.165181816116514</v>
      </c>
      <c r="AV33">
        <f t="shared" si="13"/>
        <v>-0.13475290157447511</v>
      </c>
      <c r="AW33">
        <f t="shared" si="13"/>
        <v>-9.8861114728991797E-2</v>
      </c>
      <c r="AX33">
        <f t="shared" si="13"/>
        <v>-3.7178040126225068E-2</v>
      </c>
      <c r="AY33">
        <f t="shared" si="13"/>
        <v>-0.10895631792247658</v>
      </c>
      <c r="AZ33">
        <f t="shared" si="13"/>
        <v>-9.9479667431603386E-2</v>
      </c>
      <c r="BA33">
        <f t="shared" si="13"/>
        <v>-4.7897560922895658E-3</v>
      </c>
      <c r="BB33">
        <f t="shared" si="12"/>
        <v>8.5180952529718593E-2</v>
      </c>
      <c r="BC33">
        <f t="shared" si="12"/>
        <v>5.4542224451733764E-3</v>
      </c>
      <c r="BD33">
        <f t="shared" si="12"/>
        <v>-2.5150507311855523E-2</v>
      </c>
      <c r="BE33">
        <f t="shared" si="12"/>
        <v>-0.2052513910207738</v>
      </c>
      <c r="BF33">
        <f t="shared" si="12"/>
        <v>-9.673520035725118E-2</v>
      </c>
      <c r="BG33">
        <f t="shared" si="12"/>
        <v>-6.5279513796832861E-2</v>
      </c>
      <c r="BH33">
        <f t="shared" si="12"/>
        <v>0.27453043819499984</v>
      </c>
      <c r="BI33">
        <f t="shared" si="12"/>
        <v>0.31093526822543655</v>
      </c>
      <c r="BJ33">
        <f t="shared" si="12"/>
        <v>0.38099720469853621</v>
      </c>
      <c r="BK33">
        <f t="shared" si="12"/>
        <v>0.37931574804306106</v>
      </c>
      <c r="BL33">
        <f t="shared" si="14"/>
        <v>0.12856286878828802</v>
      </c>
      <c r="BM33">
        <f t="shared" si="14"/>
        <v>2.1879298411816222E-2</v>
      </c>
      <c r="BN33">
        <f t="shared" si="14"/>
        <v>-1.7018360135204292E-2</v>
      </c>
      <c r="BO33">
        <f t="shared" si="14"/>
        <v>5.3049583679030683E-2</v>
      </c>
      <c r="BP33">
        <f t="shared" si="14"/>
        <v>-2.4111663718884901E-2</v>
      </c>
      <c r="BQ33">
        <f t="shared" si="14"/>
        <v>1.8553372772485612E-2</v>
      </c>
      <c r="BR33">
        <f t="shared" si="14"/>
        <v>0.20630871523351629</v>
      </c>
      <c r="BS33">
        <f t="shared" si="14"/>
        <v>-4.1716707454357828E-2</v>
      </c>
      <c r="BT33">
        <f t="shared" si="14"/>
        <v>6.1232397366133354E-2</v>
      </c>
      <c r="BU33">
        <f t="shared" si="14"/>
        <v>2.6081221464193859E-2</v>
      </c>
      <c r="BV33">
        <f t="shared" si="14"/>
        <v>2.2164436687755574E-2</v>
      </c>
      <c r="BW33">
        <f t="shared" si="15"/>
        <v>1.8534050581509327E-2</v>
      </c>
      <c r="BX33">
        <f t="shared" si="15"/>
        <v>6.5143690123602715E-2</v>
      </c>
      <c r="BY33">
        <f t="shared" si="15"/>
        <v>0.2190014237620016</v>
      </c>
      <c r="BZ33">
        <f t="shared" si="15"/>
        <v>-0.20697778690147914</v>
      </c>
      <c r="CA33">
        <f t="shared" si="15"/>
        <v>-0.27197483028376351</v>
      </c>
      <c r="CB33">
        <f t="shared" si="15"/>
        <v>-0.28252294047824988</v>
      </c>
      <c r="CC33">
        <f t="shared" si="15"/>
        <v>0.26649379403285378</v>
      </c>
      <c r="CD33">
        <f t="shared" si="15"/>
        <v>-1.6361375728069845E-2</v>
      </c>
      <c r="CE33">
        <f t="shared" si="15"/>
        <v>1.8968224999175783E-2</v>
      </c>
      <c r="CG33">
        <f t="shared" si="5"/>
        <v>0.99999999999999956</v>
      </c>
      <c r="CH33">
        <f t="shared" si="6"/>
        <v>0.99999999999999978</v>
      </c>
      <c r="CJ33">
        <f t="shared" si="7"/>
        <v>8.9776251740391902E-2</v>
      </c>
      <c r="CL33">
        <f>SUMPRODUCT(AS33:CE33,Dimorfismo!AS33:CE33)</f>
        <v>4.7985646527658202E-2</v>
      </c>
      <c r="CM33">
        <f t="shared" si="8"/>
        <v>4.7985646527658202E-2</v>
      </c>
      <c r="CN33">
        <f t="shared" si="9"/>
        <v>4.8022528435632726E-2</v>
      </c>
    </row>
    <row r="34" spans="1:92" x14ac:dyDescent="0.25">
      <c r="A34" t="s">
        <v>35</v>
      </c>
      <c r="B34">
        <v>-2.9362200712533554E-2</v>
      </c>
      <c r="C34">
        <v>-7.0072307582740842E-2</v>
      </c>
      <c r="D34">
        <v>-0.16518181588019409</v>
      </c>
      <c r="E34">
        <v>-0.1347529013816888</v>
      </c>
      <c r="F34">
        <v>-9.886111458755463E-2</v>
      </c>
      <c r="G34">
        <v>-3.7178040073035733E-2</v>
      </c>
      <c r="H34">
        <v>-0.10895631776659655</v>
      </c>
      <c r="I34">
        <v>-9.9479667289281273E-2</v>
      </c>
      <c r="J34">
        <v>-4.7897560854370273E-3</v>
      </c>
      <c r="K34">
        <v>8.5180952407853158E-2</v>
      </c>
      <c r="L34">
        <v>5.4542224373702094E-3</v>
      </c>
      <c r="M34">
        <v>-2.5150507275873563E-2</v>
      </c>
      <c r="N34">
        <v>-0.20525139072712775</v>
      </c>
      <c r="O34">
        <v>-9.6735200218855483E-2</v>
      </c>
      <c r="P34">
        <v>-6.527951370343972E-2</v>
      </c>
      <c r="Q34">
        <v>0.27453043780223862</v>
      </c>
      <c r="R34">
        <v>0.31093526778059222</v>
      </c>
      <c r="S34">
        <v>0.38099720415345673</v>
      </c>
      <c r="T34">
        <v>0.37931574750038716</v>
      </c>
      <c r="U34">
        <v>0.12856286860435756</v>
      </c>
      <c r="V34">
        <v>2.1879298380514268E-2</v>
      </c>
      <c r="W34">
        <v>-1.7018360110856712E-2</v>
      </c>
      <c r="X34">
        <v>5.3049583603134484E-2</v>
      </c>
      <c r="Y34">
        <v>-2.4111663684389179E-2</v>
      </c>
      <c r="Z34">
        <v>1.8553372745941946E-2</v>
      </c>
      <c r="AA34">
        <v>0.20630871493835756</v>
      </c>
      <c r="AB34">
        <v>-4.171670739467518E-2</v>
      </c>
      <c r="AC34">
        <v>6.1232397278530283E-2</v>
      </c>
      <c r="AD34">
        <v>2.6081221426880359E-2</v>
      </c>
      <c r="AE34">
        <v>2.2164436656045682E-2</v>
      </c>
      <c r="AF34">
        <v>1.8534050554993301E-2</v>
      </c>
      <c r="AG34">
        <v>6.5143690030403892E-2</v>
      </c>
      <c r="AH34">
        <v>0.21900142344868384</v>
      </c>
      <c r="AI34">
        <v>-0.2069777866053632</v>
      </c>
      <c r="AJ34">
        <v>-0.27197482989465854</v>
      </c>
      <c r="AK34">
        <v>-0.2825229400740541</v>
      </c>
      <c r="AL34">
        <v>0.26649379365159032</v>
      </c>
      <c r="AM34">
        <v>-1.6361375704662191E-2</v>
      </c>
      <c r="AN34">
        <v>1.8968224972038601E-2</v>
      </c>
      <c r="AP34">
        <f t="shared" si="2"/>
        <v>0.99999999713866938</v>
      </c>
      <c r="AQ34">
        <f t="shared" si="3"/>
        <v>0.99999999856933464</v>
      </c>
      <c r="AS34">
        <f t="shared" si="13"/>
        <v>-2.9362200754541039E-2</v>
      </c>
      <c r="AT34">
        <f t="shared" si="13"/>
        <v>-7.0072307682990873E-2</v>
      </c>
      <c r="AU34">
        <f t="shared" si="13"/>
        <v>-0.165181816116514</v>
      </c>
      <c r="AV34">
        <f t="shared" si="13"/>
        <v>-0.13475290157447511</v>
      </c>
      <c r="AW34">
        <f t="shared" si="13"/>
        <v>-9.8861114728991797E-2</v>
      </c>
      <c r="AX34">
        <f t="shared" si="13"/>
        <v>-3.7178040126225068E-2</v>
      </c>
      <c r="AY34">
        <f t="shared" si="13"/>
        <v>-0.10895631792247658</v>
      </c>
      <c r="AZ34">
        <f t="shared" si="13"/>
        <v>-9.9479667431603386E-2</v>
      </c>
      <c r="BA34">
        <f t="shared" si="13"/>
        <v>-4.7897560922895658E-3</v>
      </c>
      <c r="BB34">
        <f t="shared" si="12"/>
        <v>8.5180952529718593E-2</v>
      </c>
      <c r="BC34">
        <f t="shared" si="12"/>
        <v>5.4542224451733764E-3</v>
      </c>
      <c r="BD34">
        <f t="shared" si="12"/>
        <v>-2.5150507311855523E-2</v>
      </c>
      <c r="BE34">
        <f t="shared" si="12"/>
        <v>-0.2052513910207738</v>
      </c>
      <c r="BF34">
        <f t="shared" si="12"/>
        <v>-9.673520035725118E-2</v>
      </c>
      <c r="BG34">
        <f t="shared" si="12"/>
        <v>-6.5279513796832861E-2</v>
      </c>
      <c r="BH34">
        <f t="shared" si="12"/>
        <v>0.27453043819499984</v>
      </c>
      <c r="BI34">
        <f t="shared" si="12"/>
        <v>0.31093526822543655</v>
      </c>
      <c r="BJ34">
        <f t="shared" si="12"/>
        <v>0.38099720469853621</v>
      </c>
      <c r="BK34">
        <f t="shared" si="12"/>
        <v>0.37931574804306106</v>
      </c>
      <c r="BL34">
        <f t="shared" si="14"/>
        <v>0.12856286878828802</v>
      </c>
      <c r="BM34">
        <f t="shared" si="14"/>
        <v>2.1879298411816222E-2</v>
      </c>
      <c r="BN34">
        <f t="shared" si="14"/>
        <v>-1.7018360135204292E-2</v>
      </c>
      <c r="BO34">
        <f t="shared" si="14"/>
        <v>5.3049583679030683E-2</v>
      </c>
      <c r="BP34">
        <f t="shared" si="14"/>
        <v>-2.4111663718884901E-2</v>
      </c>
      <c r="BQ34">
        <f t="shared" si="14"/>
        <v>1.8553372772485612E-2</v>
      </c>
      <c r="BR34">
        <f t="shared" si="14"/>
        <v>0.20630871523351629</v>
      </c>
      <c r="BS34">
        <f t="shared" si="14"/>
        <v>-4.1716707454357828E-2</v>
      </c>
      <c r="BT34">
        <f t="shared" si="14"/>
        <v>6.1232397366133354E-2</v>
      </c>
      <c r="BU34">
        <f t="shared" si="14"/>
        <v>2.6081221464193859E-2</v>
      </c>
      <c r="BV34">
        <f t="shared" si="14"/>
        <v>2.2164436687755574E-2</v>
      </c>
      <c r="BW34">
        <f t="shared" si="15"/>
        <v>1.8534050581509327E-2</v>
      </c>
      <c r="BX34">
        <f t="shared" si="15"/>
        <v>6.5143690123602715E-2</v>
      </c>
      <c r="BY34">
        <f t="shared" si="15"/>
        <v>0.2190014237620016</v>
      </c>
      <c r="BZ34">
        <f t="shared" si="15"/>
        <v>-0.20697778690147914</v>
      </c>
      <c r="CA34">
        <f t="shared" si="15"/>
        <v>-0.27197483028376351</v>
      </c>
      <c r="CB34">
        <f t="shared" si="15"/>
        <v>-0.28252294047824988</v>
      </c>
      <c r="CC34">
        <f t="shared" si="15"/>
        <v>0.26649379403285378</v>
      </c>
      <c r="CD34">
        <f t="shared" si="15"/>
        <v>-1.6361375728069845E-2</v>
      </c>
      <c r="CE34">
        <f t="shared" si="15"/>
        <v>1.8968224999175783E-2</v>
      </c>
      <c r="CG34">
        <f t="shared" si="5"/>
        <v>0.99999999999999956</v>
      </c>
      <c r="CH34">
        <f t="shared" si="6"/>
        <v>0.99999999999999978</v>
      </c>
      <c r="CJ34">
        <f t="shared" si="7"/>
        <v>8.9776251740391902E-2</v>
      </c>
      <c r="CL34">
        <f>SUMPRODUCT(AS34:CE34,Dimorfismo!AS34:CE34)</f>
        <v>-0.21154713488937799</v>
      </c>
      <c r="CM34">
        <f t="shared" si="8"/>
        <v>0.21154713488937799</v>
      </c>
      <c r="CN34">
        <f t="shared" si="9"/>
        <v>0.21479040951295988</v>
      </c>
    </row>
    <row r="35" spans="1:92" x14ac:dyDescent="0.25">
      <c r="A35" t="s">
        <v>36</v>
      </c>
      <c r="B35">
        <v>-2.9362200712533554E-2</v>
      </c>
      <c r="C35">
        <v>-7.0072307582740842E-2</v>
      </c>
      <c r="D35">
        <v>-0.16518181588019409</v>
      </c>
      <c r="E35">
        <v>-0.1347529013816888</v>
      </c>
      <c r="F35">
        <v>-9.886111458755463E-2</v>
      </c>
      <c r="G35">
        <v>-3.7178040073035733E-2</v>
      </c>
      <c r="H35">
        <v>-0.10895631776659655</v>
      </c>
      <c r="I35">
        <v>-9.9479667289281273E-2</v>
      </c>
      <c r="J35">
        <v>-4.7897560854370273E-3</v>
      </c>
      <c r="K35">
        <v>8.5180952407853158E-2</v>
      </c>
      <c r="L35">
        <v>5.4542224373702094E-3</v>
      </c>
      <c r="M35">
        <v>-2.5150507275873563E-2</v>
      </c>
      <c r="N35">
        <v>-0.20525139072712775</v>
      </c>
      <c r="O35">
        <v>-9.6735200218855483E-2</v>
      </c>
      <c r="P35">
        <v>-6.527951370343972E-2</v>
      </c>
      <c r="Q35">
        <v>0.27453043780223862</v>
      </c>
      <c r="R35">
        <v>0.31093526778059222</v>
      </c>
      <c r="S35">
        <v>0.38099720415345673</v>
      </c>
      <c r="T35">
        <v>0.37931574750038716</v>
      </c>
      <c r="U35">
        <v>0.12856286860435756</v>
      </c>
      <c r="V35">
        <v>2.1879298380514268E-2</v>
      </c>
      <c r="W35">
        <v>-1.7018360110856712E-2</v>
      </c>
      <c r="X35">
        <v>5.3049583603134484E-2</v>
      </c>
      <c r="Y35">
        <v>-2.4111663684389179E-2</v>
      </c>
      <c r="Z35">
        <v>1.8553372745941946E-2</v>
      </c>
      <c r="AA35">
        <v>0.20630871493835756</v>
      </c>
      <c r="AB35">
        <v>-4.171670739467518E-2</v>
      </c>
      <c r="AC35">
        <v>6.1232397278530283E-2</v>
      </c>
      <c r="AD35">
        <v>2.6081221426880359E-2</v>
      </c>
      <c r="AE35">
        <v>2.2164436656045682E-2</v>
      </c>
      <c r="AF35">
        <v>1.8534050554993301E-2</v>
      </c>
      <c r="AG35">
        <v>6.5143690030403892E-2</v>
      </c>
      <c r="AH35">
        <v>0.21900142344868384</v>
      </c>
      <c r="AI35">
        <v>-0.2069777866053632</v>
      </c>
      <c r="AJ35">
        <v>-0.27197482989465854</v>
      </c>
      <c r="AK35">
        <v>-0.2825229400740541</v>
      </c>
      <c r="AL35">
        <v>0.26649379365159032</v>
      </c>
      <c r="AM35">
        <v>-1.6361375704662191E-2</v>
      </c>
      <c r="AN35">
        <v>1.8968224972038601E-2</v>
      </c>
      <c r="AP35">
        <f t="shared" si="2"/>
        <v>0.99999999713866938</v>
      </c>
      <c r="AQ35">
        <f t="shared" si="3"/>
        <v>0.99999999856933464</v>
      </c>
      <c r="AS35">
        <f t="shared" si="13"/>
        <v>-2.9362200754541039E-2</v>
      </c>
      <c r="AT35">
        <f t="shared" si="13"/>
        <v>-7.0072307682990873E-2</v>
      </c>
      <c r="AU35">
        <f t="shared" si="13"/>
        <v>-0.165181816116514</v>
      </c>
      <c r="AV35">
        <f t="shared" si="13"/>
        <v>-0.13475290157447511</v>
      </c>
      <c r="AW35">
        <f t="shared" si="13"/>
        <v>-9.8861114728991797E-2</v>
      </c>
      <c r="AX35">
        <f t="shared" si="13"/>
        <v>-3.7178040126225068E-2</v>
      </c>
      <c r="AY35">
        <f t="shared" si="13"/>
        <v>-0.10895631792247658</v>
      </c>
      <c r="AZ35">
        <f t="shared" si="13"/>
        <v>-9.9479667431603386E-2</v>
      </c>
      <c r="BA35">
        <f t="shared" si="13"/>
        <v>-4.7897560922895658E-3</v>
      </c>
      <c r="BB35">
        <f t="shared" si="12"/>
        <v>8.5180952529718593E-2</v>
      </c>
      <c r="BC35">
        <f t="shared" si="12"/>
        <v>5.4542224451733764E-3</v>
      </c>
      <c r="BD35">
        <f t="shared" si="12"/>
        <v>-2.5150507311855523E-2</v>
      </c>
      <c r="BE35">
        <f t="shared" si="12"/>
        <v>-0.2052513910207738</v>
      </c>
      <c r="BF35">
        <f t="shared" si="12"/>
        <v>-9.673520035725118E-2</v>
      </c>
      <c r="BG35">
        <f t="shared" si="12"/>
        <v>-6.5279513796832861E-2</v>
      </c>
      <c r="BH35">
        <f t="shared" si="12"/>
        <v>0.27453043819499984</v>
      </c>
      <c r="BI35">
        <f t="shared" si="12"/>
        <v>0.31093526822543655</v>
      </c>
      <c r="BJ35">
        <f t="shared" si="12"/>
        <v>0.38099720469853621</v>
      </c>
      <c r="BK35">
        <f t="shared" si="12"/>
        <v>0.37931574804306106</v>
      </c>
      <c r="BL35">
        <f t="shared" si="14"/>
        <v>0.12856286878828802</v>
      </c>
      <c r="BM35">
        <f t="shared" si="14"/>
        <v>2.1879298411816222E-2</v>
      </c>
      <c r="BN35">
        <f t="shared" si="14"/>
        <v>-1.7018360135204292E-2</v>
      </c>
      <c r="BO35">
        <f t="shared" si="14"/>
        <v>5.3049583679030683E-2</v>
      </c>
      <c r="BP35">
        <f t="shared" si="14"/>
        <v>-2.4111663718884901E-2</v>
      </c>
      <c r="BQ35">
        <f t="shared" si="14"/>
        <v>1.8553372772485612E-2</v>
      </c>
      <c r="BR35">
        <f t="shared" si="14"/>
        <v>0.20630871523351629</v>
      </c>
      <c r="BS35">
        <f t="shared" si="14"/>
        <v>-4.1716707454357828E-2</v>
      </c>
      <c r="BT35">
        <f t="shared" si="14"/>
        <v>6.1232397366133354E-2</v>
      </c>
      <c r="BU35">
        <f t="shared" si="14"/>
        <v>2.6081221464193859E-2</v>
      </c>
      <c r="BV35">
        <f t="shared" si="14"/>
        <v>2.2164436687755574E-2</v>
      </c>
      <c r="BW35">
        <f t="shared" si="15"/>
        <v>1.8534050581509327E-2</v>
      </c>
      <c r="BX35">
        <f t="shared" si="15"/>
        <v>6.5143690123602715E-2</v>
      </c>
      <c r="BY35">
        <f t="shared" si="15"/>
        <v>0.2190014237620016</v>
      </c>
      <c r="BZ35">
        <f t="shared" si="15"/>
        <v>-0.20697778690147914</v>
      </c>
      <c r="CA35">
        <f t="shared" si="15"/>
        <v>-0.27197483028376351</v>
      </c>
      <c r="CB35">
        <f t="shared" si="15"/>
        <v>-0.28252294047824988</v>
      </c>
      <c r="CC35">
        <f t="shared" si="15"/>
        <v>0.26649379403285378</v>
      </c>
      <c r="CD35">
        <f t="shared" si="15"/>
        <v>-1.6361375728069845E-2</v>
      </c>
      <c r="CE35">
        <f t="shared" si="15"/>
        <v>1.8968224999175783E-2</v>
      </c>
      <c r="CG35">
        <f t="shared" si="5"/>
        <v>0.99999999999999956</v>
      </c>
      <c r="CH35">
        <f t="shared" si="6"/>
        <v>0.99999999999999978</v>
      </c>
      <c r="CJ35">
        <f t="shared" si="7"/>
        <v>8.9776251740391902E-2</v>
      </c>
      <c r="CL35">
        <f>SUMPRODUCT(AS35:CE35,Dimorfismo!AS35:CE35)</f>
        <v>0.30129956537788455</v>
      </c>
      <c r="CM35">
        <f t="shared" si="8"/>
        <v>0.30129956537788455</v>
      </c>
      <c r="CN35">
        <f t="shared" si="9"/>
        <v>0.31094831109488491</v>
      </c>
    </row>
    <row r="36" spans="1:92" x14ac:dyDescent="0.25">
      <c r="A36" t="s">
        <v>37</v>
      </c>
      <c r="B36">
        <v>-2.9362200712533554E-2</v>
      </c>
      <c r="C36">
        <v>-7.0072307582740842E-2</v>
      </c>
      <c r="D36">
        <v>-0.16518181588019409</v>
      </c>
      <c r="E36">
        <v>-0.1347529013816888</v>
      </c>
      <c r="F36">
        <v>-9.886111458755463E-2</v>
      </c>
      <c r="G36">
        <v>-3.7178040073035733E-2</v>
      </c>
      <c r="H36">
        <v>-0.10895631776659655</v>
      </c>
      <c r="I36">
        <v>-9.9479667289281273E-2</v>
      </c>
      <c r="J36">
        <v>-4.7897560854370273E-3</v>
      </c>
      <c r="K36">
        <v>8.5180952407853158E-2</v>
      </c>
      <c r="L36">
        <v>5.4542224373702094E-3</v>
      </c>
      <c r="M36">
        <v>-2.5150507275873563E-2</v>
      </c>
      <c r="N36">
        <v>-0.20525139072712775</v>
      </c>
      <c r="O36">
        <v>-9.6735200218855483E-2</v>
      </c>
      <c r="P36">
        <v>-6.527951370343972E-2</v>
      </c>
      <c r="Q36">
        <v>0.27453043780223862</v>
      </c>
      <c r="R36">
        <v>0.31093526778059222</v>
      </c>
      <c r="S36">
        <v>0.38099720415345673</v>
      </c>
      <c r="T36">
        <v>0.37931574750038716</v>
      </c>
      <c r="U36">
        <v>0.12856286860435756</v>
      </c>
      <c r="V36">
        <v>2.1879298380514268E-2</v>
      </c>
      <c r="W36">
        <v>-1.7018360110856712E-2</v>
      </c>
      <c r="X36">
        <v>5.3049583603134484E-2</v>
      </c>
      <c r="Y36">
        <v>-2.4111663684389179E-2</v>
      </c>
      <c r="Z36">
        <v>1.8553372745941946E-2</v>
      </c>
      <c r="AA36">
        <v>0.20630871493835756</v>
      </c>
      <c r="AB36">
        <v>-4.171670739467518E-2</v>
      </c>
      <c r="AC36">
        <v>6.1232397278530283E-2</v>
      </c>
      <c r="AD36">
        <v>2.6081221426880359E-2</v>
      </c>
      <c r="AE36">
        <v>2.2164436656045682E-2</v>
      </c>
      <c r="AF36">
        <v>1.8534050554993301E-2</v>
      </c>
      <c r="AG36">
        <v>6.5143690030403892E-2</v>
      </c>
      <c r="AH36">
        <v>0.21900142344868384</v>
      </c>
      <c r="AI36">
        <v>-0.2069777866053632</v>
      </c>
      <c r="AJ36">
        <v>-0.27197482989465854</v>
      </c>
      <c r="AK36">
        <v>-0.2825229400740541</v>
      </c>
      <c r="AL36">
        <v>0.26649379365159032</v>
      </c>
      <c r="AM36">
        <v>-1.6361375704662191E-2</v>
      </c>
      <c r="AN36">
        <v>1.8968224972038601E-2</v>
      </c>
      <c r="AP36">
        <f t="shared" si="2"/>
        <v>0.99999999713866938</v>
      </c>
      <c r="AQ36">
        <f t="shared" si="3"/>
        <v>0.99999999856933464</v>
      </c>
      <c r="AS36">
        <f t="shared" si="13"/>
        <v>-2.9362200754541039E-2</v>
      </c>
      <c r="AT36">
        <f t="shared" si="13"/>
        <v>-7.0072307682990873E-2</v>
      </c>
      <c r="AU36">
        <f t="shared" si="13"/>
        <v>-0.165181816116514</v>
      </c>
      <c r="AV36">
        <f t="shared" si="13"/>
        <v>-0.13475290157447511</v>
      </c>
      <c r="AW36">
        <f t="shared" si="13"/>
        <v>-9.8861114728991797E-2</v>
      </c>
      <c r="AX36">
        <f t="shared" si="13"/>
        <v>-3.7178040126225068E-2</v>
      </c>
      <c r="AY36">
        <f t="shared" si="13"/>
        <v>-0.10895631792247658</v>
      </c>
      <c r="AZ36">
        <f t="shared" si="13"/>
        <v>-9.9479667431603386E-2</v>
      </c>
      <c r="BA36">
        <f t="shared" si="13"/>
        <v>-4.7897560922895658E-3</v>
      </c>
      <c r="BB36">
        <f t="shared" si="12"/>
        <v>8.5180952529718593E-2</v>
      </c>
      <c r="BC36">
        <f t="shared" si="12"/>
        <v>5.4542224451733764E-3</v>
      </c>
      <c r="BD36">
        <f t="shared" si="12"/>
        <v>-2.5150507311855523E-2</v>
      </c>
      <c r="BE36">
        <f t="shared" si="12"/>
        <v>-0.2052513910207738</v>
      </c>
      <c r="BF36">
        <f t="shared" si="12"/>
        <v>-9.673520035725118E-2</v>
      </c>
      <c r="BG36">
        <f t="shared" si="12"/>
        <v>-6.5279513796832861E-2</v>
      </c>
      <c r="BH36">
        <f t="shared" si="12"/>
        <v>0.27453043819499984</v>
      </c>
      <c r="BI36">
        <f t="shared" si="12"/>
        <v>0.31093526822543655</v>
      </c>
      <c r="BJ36">
        <f t="shared" si="12"/>
        <v>0.38099720469853621</v>
      </c>
      <c r="BK36">
        <f t="shared" si="12"/>
        <v>0.37931574804306106</v>
      </c>
      <c r="BL36">
        <f t="shared" si="14"/>
        <v>0.12856286878828802</v>
      </c>
      <c r="BM36">
        <f t="shared" si="14"/>
        <v>2.1879298411816222E-2</v>
      </c>
      <c r="BN36">
        <f t="shared" si="14"/>
        <v>-1.7018360135204292E-2</v>
      </c>
      <c r="BO36">
        <f t="shared" si="14"/>
        <v>5.3049583679030683E-2</v>
      </c>
      <c r="BP36">
        <f t="shared" si="14"/>
        <v>-2.4111663718884901E-2</v>
      </c>
      <c r="BQ36">
        <f t="shared" si="14"/>
        <v>1.8553372772485612E-2</v>
      </c>
      <c r="BR36">
        <f t="shared" si="14"/>
        <v>0.20630871523351629</v>
      </c>
      <c r="BS36">
        <f t="shared" si="14"/>
        <v>-4.1716707454357828E-2</v>
      </c>
      <c r="BT36">
        <f t="shared" si="14"/>
        <v>6.1232397366133354E-2</v>
      </c>
      <c r="BU36">
        <f t="shared" si="14"/>
        <v>2.6081221464193859E-2</v>
      </c>
      <c r="BV36">
        <f t="shared" si="14"/>
        <v>2.2164436687755574E-2</v>
      </c>
      <c r="BW36">
        <f t="shared" si="15"/>
        <v>1.8534050581509327E-2</v>
      </c>
      <c r="BX36">
        <f t="shared" si="15"/>
        <v>6.5143690123602715E-2</v>
      </c>
      <c r="BY36">
        <f t="shared" si="15"/>
        <v>0.2190014237620016</v>
      </c>
      <c r="BZ36">
        <f t="shared" si="15"/>
        <v>-0.20697778690147914</v>
      </c>
      <c r="CA36">
        <f t="shared" si="15"/>
        <v>-0.27197483028376351</v>
      </c>
      <c r="CB36">
        <f t="shared" si="15"/>
        <v>-0.28252294047824988</v>
      </c>
      <c r="CC36">
        <f t="shared" si="15"/>
        <v>0.26649379403285378</v>
      </c>
      <c r="CD36">
        <f t="shared" si="15"/>
        <v>-1.6361375728069845E-2</v>
      </c>
      <c r="CE36">
        <f t="shared" si="15"/>
        <v>1.8968224999175783E-2</v>
      </c>
      <c r="CG36">
        <f t="shared" si="5"/>
        <v>0.99999999999999956</v>
      </c>
      <c r="CH36">
        <f t="shared" si="6"/>
        <v>0.99999999999999978</v>
      </c>
      <c r="CJ36">
        <f t="shared" si="7"/>
        <v>8.9776251740391902E-2</v>
      </c>
      <c r="CL36">
        <f>SUMPRODUCT(AS36:CE36,Dimorfismo!AS36:CE36)</f>
        <v>-5.5927538302080901E-2</v>
      </c>
      <c r="CM36">
        <f t="shared" si="8"/>
        <v>5.5927538302080901E-2</v>
      </c>
      <c r="CN36">
        <f t="shared" si="9"/>
        <v>5.5985959703445977E-2</v>
      </c>
    </row>
    <row r="37" spans="1:92" x14ac:dyDescent="0.25">
      <c r="A37" t="s">
        <v>38</v>
      </c>
      <c r="B37">
        <v>-2.9362200712533554E-2</v>
      </c>
      <c r="C37">
        <v>-7.0072307582740842E-2</v>
      </c>
      <c r="D37">
        <v>-0.16518181588019409</v>
      </c>
      <c r="E37">
        <v>-0.1347529013816888</v>
      </c>
      <c r="F37">
        <v>-9.886111458755463E-2</v>
      </c>
      <c r="G37">
        <v>-3.7178040073035733E-2</v>
      </c>
      <c r="H37">
        <v>-0.10895631776659655</v>
      </c>
      <c r="I37">
        <v>-9.9479667289281273E-2</v>
      </c>
      <c r="J37">
        <v>-4.7897560854370273E-3</v>
      </c>
      <c r="K37">
        <v>8.5180952407853158E-2</v>
      </c>
      <c r="L37">
        <v>5.4542224373702094E-3</v>
      </c>
      <c r="M37">
        <v>-2.5150507275873563E-2</v>
      </c>
      <c r="N37">
        <v>-0.20525139072712775</v>
      </c>
      <c r="O37">
        <v>-9.6735200218855483E-2</v>
      </c>
      <c r="P37">
        <v>-6.527951370343972E-2</v>
      </c>
      <c r="Q37">
        <v>0.27453043780223862</v>
      </c>
      <c r="R37">
        <v>0.31093526778059222</v>
      </c>
      <c r="S37">
        <v>0.38099720415345673</v>
      </c>
      <c r="T37">
        <v>0.37931574750038716</v>
      </c>
      <c r="U37">
        <v>0.12856286860435756</v>
      </c>
      <c r="V37">
        <v>2.1879298380514268E-2</v>
      </c>
      <c r="W37">
        <v>-1.7018360110856712E-2</v>
      </c>
      <c r="X37">
        <v>5.3049583603134484E-2</v>
      </c>
      <c r="Y37">
        <v>-2.4111663684389179E-2</v>
      </c>
      <c r="Z37">
        <v>1.8553372745941946E-2</v>
      </c>
      <c r="AA37">
        <v>0.20630871493835756</v>
      </c>
      <c r="AB37">
        <v>-4.171670739467518E-2</v>
      </c>
      <c r="AC37">
        <v>6.1232397278530283E-2</v>
      </c>
      <c r="AD37">
        <v>2.6081221426880359E-2</v>
      </c>
      <c r="AE37">
        <v>2.2164436656045682E-2</v>
      </c>
      <c r="AF37">
        <v>1.8534050554993301E-2</v>
      </c>
      <c r="AG37">
        <v>6.5143690030403892E-2</v>
      </c>
      <c r="AH37">
        <v>0.21900142344868384</v>
      </c>
      <c r="AI37">
        <v>-0.2069777866053632</v>
      </c>
      <c r="AJ37">
        <v>-0.27197482989465854</v>
      </c>
      <c r="AK37">
        <v>-0.2825229400740541</v>
      </c>
      <c r="AL37">
        <v>0.26649379365159032</v>
      </c>
      <c r="AM37">
        <v>-1.6361375704662191E-2</v>
      </c>
      <c r="AN37">
        <v>1.8968224972038601E-2</v>
      </c>
      <c r="AP37">
        <f t="shared" si="2"/>
        <v>0.99999999713866938</v>
      </c>
      <c r="AQ37">
        <f t="shared" si="3"/>
        <v>0.99999999856933464</v>
      </c>
      <c r="AS37">
        <f t="shared" si="13"/>
        <v>-2.9362200754541039E-2</v>
      </c>
      <c r="AT37">
        <f t="shared" si="13"/>
        <v>-7.0072307682990873E-2</v>
      </c>
      <c r="AU37">
        <f t="shared" si="13"/>
        <v>-0.165181816116514</v>
      </c>
      <c r="AV37">
        <f t="shared" si="13"/>
        <v>-0.13475290157447511</v>
      </c>
      <c r="AW37">
        <f t="shared" si="13"/>
        <v>-9.8861114728991797E-2</v>
      </c>
      <c r="AX37">
        <f t="shared" si="13"/>
        <v>-3.7178040126225068E-2</v>
      </c>
      <c r="AY37">
        <f t="shared" si="13"/>
        <v>-0.10895631792247658</v>
      </c>
      <c r="AZ37">
        <f t="shared" si="13"/>
        <v>-9.9479667431603386E-2</v>
      </c>
      <c r="BA37">
        <f t="shared" si="13"/>
        <v>-4.7897560922895658E-3</v>
      </c>
      <c r="BB37">
        <f t="shared" si="12"/>
        <v>8.5180952529718593E-2</v>
      </c>
      <c r="BC37">
        <f t="shared" si="12"/>
        <v>5.4542224451733764E-3</v>
      </c>
      <c r="BD37">
        <f t="shared" si="12"/>
        <v>-2.5150507311855523E-2</v>
      </c>
      <c r="BE37">
        <f t="shared" si="12"/>
        <v>-0.2052513910207738</v>
      </c>
      <c r="BF37">
        <f t="shared" si="12"/>
        <v>-9.673520035725118E-2</v>
      </c>
      <c r="BG37">
        <f t="shared" si="12"/>
        <v>-6.5279513796832861E-2</v>
      </c>
      <c r="BH37">
        <f t="shared" si="12"/>
        <v>0.27453043819499984</v>
      </c>
      <c r="BI37">
        <f t="shared" si="12"/>
        <v>0.31093526822543655</v>
      </c>
      <c r="BJ37">
        <f t="shared" si="12"/>
        <v>0.38099720469853621</v>
      </c>
      <c r="BK37">
        <f t="shared" si="12"/>
        <v>0.37931574804306106</v>
      </c>
      <c r="BL37">
        <f t="shared" si="14"/>
        <v>0.12856286878828802</v>
      </c>
      <c r="BM37">
        <f t="shared" si="14"/>
        <v>2.1879298411816222E-2</v>
      </c>
      <c r="BN37">
        <f t="shared" si="14"/>
        <v>-1.7018360135204292E-2</v>
      </c>
      <c r="BO37">
        <f t="shared" si="14"/>
        <v>5.3049583679030683E-2</v>
      </c>
      <c r="BP37">
        <f t="shared" si="14"/>
        <v>-2.4111663718884901E-2</v>
      </c>
      <c r="BQ37">
        <f t="shared" si="14"/>
        <v>1.8553372772485612E-2</v>
      </c>
      <c r="BR37">
        <f t="shared" si="14"/>
        <v>0.20630871523351629</v>
      </c>
      <c r="BS37">
        <f t="shared" si="14"/>
        <v>-4.1716707454357828E-2</v>
      </c>
      <c r="BT37">
        <f t="shared" si="14"/>
        <v>6.1232397366133354E-2</v>
      </c>
      <c r="BU37">
        <f t="shared" si="14"/>
        <v>2.6081221464193859E-2</v>
      </c>
      <c r="BV37">
        <f t="shared" si="14"/>
        <v>2.2164436687755574E-2</v>
      </c>
      <c r="BW37">
        <f t="shared" si="15"/>
        <v>1.8534050581509327E-2</v>
      </c>
      <c r="BX37">
        <f t="shared" si="15"/>
        <v>6.5143690123602715E-2</v>
      </c>
      <c r="BY37">
        <f t="shared" si="15"/>
        <v>0.2190014237620016</v>
      </c>
      <c r="BZ37">
        <f t="shared" si="15"/>
        <v>-0.20697778690147914</v>
      </c>
      <c r="CA37">
        <f t="shared" si="15"/>
        <v>-0.27197483028376351</v>
      </c>
      <c r="CB37">
        <f t="shared" si="15"/>
        <v>-0.28252294047824988</v>
      </c>
      <c r="CC37">
        <f t="shared" si="15"/>
        <v>0.26649379403285378</v>
      </c>
      <c r="CD37">
        <f t="shared" si="15"/>
        <v>-1.6361375728069845E-2</v>
      </c>
      <c r="CE37">
        <f t="shared" si="15"/>
        <v>1.8968224999175783E-2</v>
      </c>
      <c r="CG37">
        <f t="shared" si="5"/>
        <v>0.99999999999999956</v>
      </c>
      <c r="CH37">
        <f t="shared" si="6"/>
        <v>0.99999999999999978</v>
      </c>
      <c r="CJ37">
        <f t="shared" si="7"/>
        <v>8.9776251740391902E-2</v>
      </c>
      <c r="CL37">
        <f>SUMPRODUCT(AS37:CE37,Dimorfismo!AS37:CE37)</f>
        <v>-3.9774187253564457E-2</v>
      </c>
      <c r="CM37">
        <f t="shared" si="8"/>
        <v>3.9774187253564457E-2</v>
      </c>
      <c r="CN37">
        <f t="shared" si="9"/>
        <v>3.9795181253254638E-2</v>
      </c>
    </row>
    <row r="38" spans="1:92" x14ac:dyDescent="0.25">
      <c r="A38" t="s">
        <v>39</v>
      </c>
      <c r="B38">
        <v>-2.9362200712533554E-2</v>
      </c>
      <c r="C38">
        <v>-7.0072307582740842E-2</v>
      </c>
      <c r="D38">
        <v>-0.16518181588019409</v>
      </c>
      <c r="E38">
        <v>-0.1347529013816888</v>
      </c>
      <c r="F38">
        <v>-9.886111458755463E-2</v>
      </c>
      <c r="G38">
        <v>-3.7178040073035733E-2</v>
      </c>
      <c r="H38">
        <v>-0.10895631776659655</v>
      </c>
      <c r="I38">
        <v>-9.9479667289281273E-2</v>
      </c>
      <c r="J38">
        <v>-4.7897560854370273E-3</v>
      </c>
      <c r="K38">
        <v>8.5180952407853158E-2</v>
      </c>
      <c r="L38">
        <v>5.4542224373702094E-3</v>
      </c>
      <c r="M38">
        <v>-2.5150507275873563E-2</v>
      </c>
      <c r="N38">
        <v>-0.20525139072712775</v>
      </c>
      <c r="O38">
        <v>-9.6735200218855483E-2</v>
      </c>
      <c r="P38">
        <v>-6.527951370343972E-2</v>
      </c>
      <c r="Q38">
        <v>0.27453043780223862</v>
      </c>
      <c r="R38">
        <v>0.31093526778059222</v>
      </c>
      <c r="S38">
        <v>0.38099720415345673</v>
      </c>
      <c r="T38">
        <v>0.37931574750038716</v>
      </c>
      <c r="U38">
        <v>0.12856286860435756</v>
      </c>
      <c r="V38">
        <v>2.1879298380514268E-2</v>
      </c>
      <c r="W38">
        <v>-1.7018360110856712E-2</v>
      </c>
      <c r="X38">
        <v>5.3049583603134484E-2</v>
      </c>
      <c r="Y38">
        <v>-2.4111663684389179E-2</v>
      </c>
      <c r="Z38">
        <v>1.8553372745941946E-2</v>
      </c>
      <c r="AA38">
        <v>0.20630871493835756</v>
      </c>
      <c r="AB38">
        <v>-4.171670739467518E-2</v>
      </c>
      <c r="AC38">
        <v>6.1232397278530283E-2</v>
      </c>
      <c r="AD38">
        <v>2.6081221426880359E-2</v>
      </c>
      <c r="AE38">
        <v>2.2164436656045682E-2</v>
      </c>
      <c r="AF38">
        <v>1.8534050554993301E-2</v>
      </c>
      <c r="AG38">
        <v>6.5143690030403892E-2</v>
      </c>
      <c r="AH38">
        <v>0.21900142344868384</v>
      </c>
      <c r="AI38">
        <v>-0.2069777866053632</v>
      </c>
      <c r="AJ38">
        <v>-0.27197482989465854</v>
      </c>
      <c r="AK38">
        <v>-0.2825229400740541</v>
      </c>
      <c r="AL38">
        <v>0.26649379365159032</v>
      </c>
      <c r="AM38">
        <v>-1.6361375704662191E-2</v>
      </c>
      <c r="AN38">
        <v>1.8968224972038601E-2</v>
      </c>
      <c r="AP38">
        <f t="shared" si="2"/>
        <v>0.99999999713866938</v>
      </c>
      <c r="AQ38">
        <f t="shared" si="3"/>
        <v>0.99999999856933464</v>
      </c>
      <c r="AS38">
        <f t="shared" si="13"/>
        <v>-2.9362200754541039E-2</v>
      </c>
      <c r="AT38">
        <f t="shared" si="13"/>
        <v>-7.0072307682990873E-2</v>
      </c>
      <c r="AU38">
        <f t="shared" si="13"/>
        <v>-0.165181816116514</v>
      </c>
      <c r="AV38">
        <f t="shared" si="13"/>
        <v>-0.13475290157447511</v>
      </c>
      <c r="AW38">
        <f t="shared" si="13"/>
        <v>-9.8861114728991797E-2</v>
      </c>
      <c r="AX38">
        <f t="shared" si="13"/>
        <v>-3.7178040126225068E-2</v>
      </c>
      <c r="AY38">
        <f t="shared" si="13"/>
        <v>-0.10895631792247658</v>
      </c>
      <c r="AZ38">
        <f t="shared" si="13"/>
        <v>-9.9479667431603386E-2</v>
      </c>
      <c r="BA38">
        <f t="shared" si="13"/>
        <v>-4.7897560922895658E-3</v>
      </c>
      <c r="BB38">
        <f t="shared" si="12"/>
        <v>8.5180952529718593E-2</v>
      </c>
      <c r="BC38">
        <f t="shared" si="12"/>
        <v>5.4542224451733764E-3</v>
      </c>
      <c r="BD38">
        <f t="shared" si="12"/>
        <v>-2.5150507311855523E-2</v>
      </c>
      <c r="BE38">
        <f t="shared" si="12"/>
        <v>-0.2052513910207738</v>
      </c>
      <c r="BF38">
        <f t="shared" si="12"/>
        <v>-9.673520035725118E-2</v>
      </c>
      <c r="BG38">
        <f t="shared" si="12"/>
        <v>-6.5279513796832861E-2</v>
      </c>
      <c r="BH38">
        <f t="shared" si="12"/>
        <v>0.27453043819499984</v>
      </c>
      <c r="BI38">
        <f t="shared" si="12"/>
        <v>0.31093526822543655</v>
      </c>
      <c r="BJ38">
        <f t="shared" si="12"/>
        <v>0.38099720469853621</v>
      </c>
      <c r="BK38">
        <f t="shared" si="12"/>
        <v>0.37931574804306106</v>
      </c>
      <c r="BL38">
        <f t="shared" si="14"/>
        <v>0.12856286878828802</v>
      </c>
      <c r="BM38">
        <f t="shared" si="14"/>
        <v>2.1879298411816222E-2</v>
      </c>
      <c r="BN38">
        <f t="shared" si="14"/>
        <v>-1.7018360135204292E-2</v>
      </c>
      <c r="BO38">
        <f t="shared" si="14"/>
        <v>5.3049583679030683E-2</v>
      </c>
      <c r="BP38">
        <f t="shared" si="14"/>
        <v>-2.4111663718884901E-2</v>
      </c>
      <c r="BQ38">
        <f t="shared" si="14"/>
        <v>1.8553372772485612E-2</v>
      </c>
      <c r="BR38">
        <f t="shared" si="14"/>
        <v>0.20630871523351629</v>
      </c>
      <c r="BS38">
        <f t="shared" si="14"/>
        <v>-4.1716707454357828E-2</v>
      </c>
      <c r="BT38">
        <f t="shared" si="14"/>
        <v>6.1232397366133354E-2</v>
      </c>
      <c r="BU38">
        <f t="shared" si="14"/>
        <v>2.6081221464193859E-2</v>
      </c>
      <c r="BV38">
        <f t="shared" si="14"/>
        <v>2.2164436687755574E-2</v>
      </c>
      <c r="BW38">
        <f t="shared" si="15"/>
        <v>1.8534050581509327E-2</v>
      </c>
      <c r="BX38">
        <f t="shared" si="15"/>
        <v>6.5143690123602715E-2</v>
      </c>
      <c r="BY38">
        <f t="shared" si="15"/>
        <v>0.2190014237620016</v>
      </c>
      <c r="BZ38">
        <f t="shared" si="15"/>
        <v>-0.20697778690147914</v>
      </c>
      <c r="CA38">
        <f t="shared" si="15"/>
        <v>-0.27197483028376351</v>
      </c>
      <c r="CB38">
        <f t="shared" si="15"/>
        <v>-0.28252294047824988</v>
      </c>
      <c r="CC38">
        <f t="shared" si="15"/>
        <v>0.26649379403285378</v>
      </c>
      <c r="CD38">
        <f t="shared" si="15"/>
        <v>-1.6361375728069845E-2</v>
      </c>
      <c r="CE38">
        <f t="shared" si="15"/>
        <v>1.8968224999175783E-2</v>
      </c>
      <c r="CG38">
        <f t="shared" si="5"/>
        <v>0.99999999999999956</v>
      </c>
      <c r="CH38">
        <f t="shared" si="6"/>
        <v>0.99999999999999978</v>
      </c>
      <c r="CJ38">
        <f t="shared" si="7"/>
        <v>8.9776251740391902E-2</v>
      </c>
      <c r="CL38">
        <f>SUMPRODUCT(AS38:CE38,Dimorfismo!AS38:CE38)</f>
        <v>8.4613320015338764E-2</v>
      </c>
      <c r="CM38">
        <f t="shared" si="8"/>
        <v>8.4613320015338764E-2</v>
      </c>
      <c r="CN38">
        <f t="shared" si="9"/>
        <v>8.4816119144992611E-2</v>
      </c>
    </row>
    <row r="39" spans="1:92" x14ac:dyDescent="0.25">
      <c r="A39" t="s">
        <v>40</v>
      </c>
      <c r="B39">
        <v>-2.9362200712533554E-2</v>
      </c>
      <c r="C39">
        <v>-7.0072307582740842E-2</v>
      </c>
      <c r="D39">
        <v>-0.16518181588019409</v>
      </c>
      <c r="E39">
        <v>-0.1347529013816888</v>
      </c>
      <c r="F39">
        <v>-9.886111458755463E-2</v>
      </c>
      <c r="G39">
        <v>-3.7178040073035733E-2</v>
      </c>
      <c r="H39">
        <v>-0.10895631776659655</v>
      </c>
      <c r="I39">
        <v>-9.9479667289281273E-2</v>
      </c>
      <c r="J39">
        <v>-4.7897560854370273E-3</v>
      </c>
      <c r="K39">
        <v>8.5180952407853158E-2</v>
      </c>
      <c r="L39">
        <v>5.4542224373702094E-3</v>
      </c>
      <c r="M39">
        <v>-2.5150507275873563E-2</v>
      </c>
      <c r="N39">
        <v>-0.20525139072712775</v>
      </c>
      <c r="O39">
        <v>-9.6735200218855483E-2</v>
      </c>
      <c r="P39">
        <v>-6.527951370343972E-2</v>
      </c>
      <c r="Q39">
        <v>0.27453043780223862</v>
      </c>
      <c r="R39">
        <v>0.31093526778059222</v>
      </c>
      <c r="S39">
        <v>0.38099720415345673</v>
      </c>
      <c r="T39">
        <v>0.37931574750038716</v>
      </c>
      <c r="U39">
        <v>0.12856286860435756</v>
      </c>
      <c r="V39">
        <v>2.1879298380514268E-2</v>
      </c>
      <c r="W39">
        <v>-1.7018360110856712E-2</v>
      </c>
      <c r="X39">
        <v>5.3049583603134484E-2</v>
      </c>
      <c r="Y39">
        <v>-2.4111663684389179E-2</v>
      </c>
      <c r="Z39">
        <v>1.8553372745941946E-2</v>
      </c>
      <c r="AA39">
        <v>0.20630871493835756</v>
      </c>
      <c r="AB39">
        <v>-4.171670739467518E-2</v>
      </c>
      <c r="AC39">
        <v>6.1232397278530283E-2</v>
      </c>
      <c r="AD39">
        <v>2.6081221426880359E-2</v>
      </c>
      <c r="AE39">
        <v>2.2164436656045682E-2</v>
      </c>
      <c r="AF39">
        <v>1.8534050554993301E-2</v>
      </c>
      <c r="AG39">
        <v>6.5143690030403892E-2</v>
      </c>
      <c r="AH39">
        <v>0.21900142344868384</v>
      </c>
      <c r="AI39">
        <v>-0.2069777866053632</v>
      </c>
      <c r="AJ39">
        <v>-0.27197482989465854</v>
      </c>
      <c r="AK39">
        <v>-0.2825229400740541</v>
      </c>
      <c r="AL39">
        <v>0.26649379365159032</v>
      </c>
      <c r="AM39">
        <v>-1.6361375704662191E-2</v>
      </c>
      <c r="AN39">
        <v>1.8968224972038601E-2</v>
      </c>
      <c r="AP39">
        <f t="shared" si="2"/>
        <v>0.99999999713866938</v>
      </c>
      <c r="AQ39">
        <f t="shared" si="3"/>
        <v>0.99999999856933464</v>
      </c>
      <c r="AS39">
        <f t="shared" si="13"/>
        <v>-2.9362200754541039E-2</v>
      </c>
      <c r="AT39">
        <f t="shared" si="13"/>
        <v>-7.0072307682990873E-2</v>
      </c>
      <c r="AU39">
        <f t="shared" si="13"/>
        <v>-0.165181816116514</v>
      </c>
      <c r="AV39">
        <f t="shared" si="13"/>
        <v>-0.13475290157447511</v>
      </c>
      <c r="AW39">
        <f t="shared" si="13"/>
        <v>-9.8861114728991797E-2</v>
      </c>
      <c r="AX39">
        <f t="shared" si="13"/>
        <v>-3.7178040126225068E-2</v>
      </c>
      <c r="AY39">
        <f t="shared" si="13"/>
        <v>-0.10895631792247658</v>
      </c>
      <c r="AZ39">
        <f t="shared" si="13"/>
        <v>-9.9479667431603386E-2</v>
      </c>
      <c r="BA39">
        <f t="shared" si="13"/>
        <v>-4.7897560922895658E-3</v>
      </c>
      <c r="BB39">
        <f t="shared" si="12"/>
        <v>8.5180952529718593E-2</v>
      </c>
      <c r="BC39">
        <f t="shared" si="12"/>
        <v>5.4542224451733764E-3</v>
      </c>
      <c r="BD39">
        <f t="shared" si="12"/>
        <v>-2.5150507311855523E-2</v>
      </c>
      <c r="BE39">
        <f t="shared" si="12"/>
        <v>-0.2052513910207738</v>
      </c>
      <c r="BF39">
        <f t="shared" si="12"/>
        <v>-9.673520035725118E-2</v>
      </c>
      <c r="BG39">
        <f t="shared" si="12"/>
        <v>-6.5279513796832861E-2</v>
      </c>
      <c r="BH39">
        <f t="shared" si="12"/>
        <v>0.27453043819499984</v>
      </c>
      <c r="BI39">
        <f t="shared" si="12"/>
        <v>0.31093526822543655</v>
      </c>
      <c r="BJ39">
        <f t="shared" si="12"/>
        <v>0.38099720469853621</v>
      </c>
      <c r="BK39">
        <f t="shared" si="12"/>
        <v>0.37931574804306106</v>
      </c>
      <c r="BL39">
        <f t="shared" si="14"/>
        <v>0.12856286878828802</v>
      </c>
      <c r="BM39">
        <f t="shared" si="14"/>
        <v>2.1879298411816222E-2</v>
      </c>
      <c r="BN39">
        <f t="shared" si="14"/>
        <v>-1.7018360135204292E-2</v>
      </c>
      <c r="BO39">
        <f t="shared" si="14"/>
        <v>5.3049583679030683E-2</v>
      </c>
      <c r="BP39">
        <f t="shared" si="14"/>
        <v>-2.4111663718884901E-2</v>
      </c>
      <c r="BQ39">
        <f t="shared" si="14"/>
        <v>1.8553372772485612E-2</v>
      </c>
      <c r="BR39">
        <f t="shared" si="14"/>
        <v>0.20630871523351629</v>
      </c>
      <c r="BS39">
        <f t="shared" si="14"/>
        <v>-4.1716707454357828E-2</v>
      </c>
      <c r="BT39">
        <f t="shared" si="14"/>
        <v>6.1232397366133354E-2</v>
      </c>
      <c r="BU39">
        <f t="shared" si="14"/>
        <v>2.6081221464193859E-2</v>
      </c>
      <c r="BV39">
        <f t="shared" si="14"/>
        <v>2.2164436687755574E-2</v>
      </c>
      <c r="BW39">
        <f t="shared" si="15"/>
        <v>1.8534050581509327E-2</v>
      </c>
      <c r="BX39">
        <f t="shared" si="15"/>
        <v>6.5143690123602715E-2</v>
      </c>
      <c r="BY39">
        <f t="shared" si="15"/>
        <v>0.2190014237620016</v>
      </c>
      <c r="BZ39">
        <f t="shared" si="15"/>
        <v>-0.20697778690147914</v>
      </c>
      <c r="CA39">
        <f t="shared" si="15"/>
        <v>-0.27197483028376351</v>
      </c>
      <c r="CB39">
        <f t="shared" si="15"/>
        <v>-0.28252294047824988</v>
      </c>
      <c r="CC39">
        <f t="shared" si="15"/>
        <v>0.26649379403285378</v>
      </c>
      <c r="CD39">
        <f t="shared" si="15"/>
        <v>-1.6361375728069845E-2</v>
      </c>
      <c r="CE39">
        <f t="shared" si="15"/>
        <v>1.8968224999175783E-2</v>
      </c>
      <c r="CG39">
        <f t="shared" si="5"/>
        <v>0.99999999999999956</v>
      </c>
      <c r="CH39">
        <f t="shared" si="6"/>
        <v>0.99999999999999978</v>
      </c>
      <c r="CJ39">
        <f t="shared" si="7"/>
        <v>8.9776251740391902E-2</v>
      </c>
      <c r="CL39">
        <f>SUMPRODUCT(AS39:CE39,Dimorfismo!AS39:CE39)</f>
        <v>0.27121855258525074</v>
      </c>
      <c r="CM39">
        <f t="shared" si="8"/>
        <v>0.27121855258525074</v>
      </c>
      <c r="CN39">
        <f t="shared" si="9"/>
        <v>0.27817866019269549</v>
      </c>
    </row>
    <row r="40" spans="1:92" x14ac:dyDescent="0.25">
      <c r="A40" t="s">
        <v>41</v>
      </c>
      <c r="B40">
        <v>-2.9362200712533554E-2</v>
      </c>
      <c r="C40">
        <v>-7.0072307582740842E-2</v>
      </c>
      <c r="D40">
        <v>-0.16518181588019409</v>
      </c>
      <c r="E40">
        <v>-0.1347529013816888</v>
      </c>
      <c r="F40">
        <v>-9.886111458755463E-2</v>
      </c>
      <c r="G40">
        <v>-3.7178040073035733E-2</v>
      </c>
      <c r="H40">
        <v>-0.10895631776659655</v>
      </c>
      <c r="I40">
        <v>-9.9479667289281273E-2</v>
      </c>
      <c r="J40">
        <v>-4.7897560854370273E-3</v>
      </c>
      <c r="K40">
        <v>8.5180952407853158E-2</v>
      </c>
      <c r="L40">
        <v>5.4542224373702094E-3</v>
      </c>
      <c r="M40">
        <v>-2.5150507275873563E-2</v>
      </c>
      <c r="N40">
        <v>-0.20525139072712775</v>
      </c>
      <c r="O40">
        <v>-9.6735200218855483E-2</v>
      </c>
      <c r="P40">
        <v>-6.527951370343972E-2</v>
      </c>
      <c r="Q40">
        <v>0.27453043780223862</v>
      </c>
      <c r="R40">
        <v>0.31093526778059222</v>
      </c>
      <c r="S40">
        <v>0.38099720415345673</v>
      </c>
      <c r="T40">
        <v>0.37931574750038716</v>
      </c>
      <c r="U40">
        <v>0.12856286860435756</v>
      </c>
      <c r="V40">
        <v>2.1879298380514268E-2</v>
      </c>
      <c r="W40">
        <v>-1.7018360110856712E-2</v>
      </c>
      <c r="X40">
        <v>5.3049583603134484E-2</v>
      </c>
      <c r="Y40">
        <v>-2.4111663684389179E-2</v>
      </c>
      <c r="Z40">
        <v>1.8553372745941946E-2</v>
      </c>
      <c r="AA40">
        <v>0.20630871493835756</v>
      </c>
      <c r="AB40">
        <v>-4.171670739467518E-2</v>
      </c>
      <c r="AC40">
        <v>6.1232397278530283E-2</v>
      </c>
      <c r="AD40">
        <v>2.6081221426880359E-2</v>
      </c>
      <c r="AE40">
        <v>2.2164436656045682E-2</v>
      </c>
      <c r="AF40">
        <v>1.8534050554993301E-2</v>
      </c>
      <c r="AG40">
        <v>6.5143690030403892E-2</v>
      </c>
      <c r="AH40">
        <v>0.21900142344868384</v>
      </c>
      <c r="AI40">
        <v>-0.2069777866053632</v>
      </c>
      <c r="AJ40">
        <v>-0.27197482989465854</v>
      </c>
      <c r="AK40">
        <v>-0.2825229400740541</v>
      </c>
      <c r="AL40">
        <v>0.26649379365159032</v>
      </c>
      <c r="AM40">
        <v>-1.6361375704662191E-2</v>
      </c>
      <c r="AN40">
        <v>1.8968224972038601E-2</v>
      </c>
      <c r="AP40">
        <f t="shared" si="2"/>
        <v>0.99999999713866938</v>
      </c>
      <c r="AQ40">
        <f t="shared" si="3"/>
        <v>0.99999999856933464</v>
      </c>
      <c r="AS40">
        <f t="shared" si="13"/>
        <v>-2.9362200754541039E-2</v>
      </c>
      <c r="AT40">
        <f t="shared" si="13"/>
        <v>-7.0072307682990873E-2</v>
      </c>
      <c r="AU40">
        <f t="shared" si="13"/>
        <v>-0.165181816116514</v>
      </c>
      <c r="AV40">
        <f t="shared" si="13"/>
        <v>-0.13475290157447511</v>
      </c>
      <c r="AW40">
        <f t="shared" si="13"/>
        <v>-9.8861114728991797E-2</v>
      </c>
      <c r="AX40">
        <f t="shared" si="13"/>
        <v>-3.7178040126225068E-2</v>
      </c>
      <c r="AY40">
        <f t="shared" si="13"/>
        <v>-0.10895631792247658</v>
      </c>
      <c r="AZ40">
        <f t="shared" si="13"/>
        <v>-9.9479667431603386E-2</v>
      </c>
      <c r="BA40">
        <f t="shared" si="13"/>
        <v>-4.7897560922895658E-3</v>
      </c>
      <c r="BB40">
        <f t="shared" si="12"/>
        <v>8.5180952529718593E-2</v>
      </c>
      <c r="BC40">
        <f t="shared" si="12"/>
        <v>5.4542224451733764E-3</v>
      </c>
      <c r="BD40">
        <f t="shared" si="12"/>
        <v>-2.5150507311855523E-2</v>
      </c>
      <c r="BE40">
        <f t="shared" si="12"/>
        <v>-0.2052513910207738</v>
      </c>
      <c r="BF40">
        <f t="shared" si="12"/>
        <v>-9.673520035725118E-2</v>
      </c>
      <c r="BG40">
        <f t="shared" si="12"/>
        <v>-6.5279513796832861E-2</v>
      </c>
      <c r="BH40">
        <f t="shared" si="12"/>
        <v>0.27453043819499984</v>
      </c>
      <c r="BI40">
        <f t="shared" si="12"/>
        <v>0.31093526822543655</v>
      </c>
      <c r="BJ40">
        <f t="shared" si="12"/>
        <v>0.38099720469853621</v>
      </c>
      <c r="BK40">
        <f t="shared" si="12"/>
        <v>0.37931574804306106</v>
      </c>
      <c r="BL40">
        <f t="shared" si="14"/>
        <v>0.12856286878828802</v>
      </c>
      <c r="BM40">
        <f t="shared" si="14"/>
        <v>2.1879298411816222E-2</v>
      </c>
      <c r="BN40">
        <f t="shared" si="14"/>
        <v>-1.7018360135204292E-2</v>
      </c>
      <c r="BO40">
        <f t="shared" si="14"/>
        <v>5.3049583679030683E-2</v>
      </c>
      <c r="BP40">
        <f t="shared" si="14"/>
        <v>-2.4111663718884901E-2</v>
      </c>
      <c r="BQ40">
        <f t="shared" si="14"/>
        <v>1.8553372772485612E-2</v>
      </c>
      <c r="BR40">
        <f t="shared" si="14"/>
        <v>0.20630871523351629</v>
      </c>
      <c r="BS40">
        <f t="shared" si="14"/>
        <v>-4.1716707454357828E-2</v>
      </c>
      <c r="BT40">
        <f t="shared" si="14"/>
        <v>6.1232397366133354E-2</v>
      </c>
      <c r="BU40">
        <f t="shared" si="14"/>
        <v>2.6081221464193859E-2</v>
      </c>
      <c r="BV40">
        <f t="shared" si="14"/>
        <v>2.2164436687755574E-2</v>
      </c>
      <c r="BW40">
        <f t="shared" si="15"/>
        <v>1.8534050581509327E-2</v>
      </c>
      <c r="BX40">
        <f t="shared" si="15"/>
        <v>6.5143690123602715E-2</v>
      </c>
      <c r="BY40">
        <f t="shared" si="15"/>
        <v>0.2190014237620016</v>
      </c>
      <c r="BZ40">
        <f t="shared" si="15"/>
        <v>-0.20697778690147914</v>
      </c>
      <c r="CA40">
        <f t="shared" si="15"/>
        <v>-0.27197483028376351</v>
      </c>
      <c r="CB40">
        <f t="shared" si="15"/>
        <v>-0.28252294047824988</v>
      </c>
      <c r="CC40">
        <f t="shared" si="15"/>
        <v>0.26649379403285378</v>
      </c>
      <c r="CD40">
        <f t="shared" si="15"/>
        <v>-1.6361375728069845E-2</v>
      </c>
      <c r="CE40">
        <f t="shared" si="15"/>
        <v>1.8968224999175783E-2</v>
      </c>
      <c r="CG40">
        <f t="shared" si="5"/>
        <v>0.99999999999999956</v>
      </c>
      <c r="CH40">
        <f t="shared" si="6"/>
        <v>0.99999999999999978</v>
      </c>
      <c r="CJ40">
        <f t="shared" si="7"/>
        <v>8.9776251740391902E-2</v>
      </c>
      <c r="CL40">
        <f>SUMPRODUCT(AS40:CE40,Dimorfismo!AS40:CE40)</f>
        <v>0.26876973349783234</v>
      </c>
      <c r="CM40">
        <f t="shared" si="8"/>
        <v>0.26876973349783234</v>
      </c>
      <c r="CN40">
        <f t="shared" si="9"/>
        <v>0.27553729198148746</v>
      </c>
    </row>
    <row r="41" spans="1:92" x14ac:dyDescent="0.25">
      <c r="A41" t="s">
        <v>42</v>
      </c>
      <c r="B41">
        <v>6.377434063631652E-4</v>
      </c>
      <c r="C41">
        <v>0.14029894896271397</v>
      </c>
      <c r="D41">
        <v>-4.745144845423948E-2</v>
      </c>
      <c r="E41">
        <v>-1.601859968099857E-3</v>
      </c>
      <c r="F41">
        <v>-0.18937456526987273</v>
      </c>
      <c r="G41">
        <v>-8.5485134692323272E-2</v>
      </c>
      <c r="H41">
        <v>-7.4139307177988251E-2</v>
      </c>
      <c r="I41">
        <v>-3.9094522285600057E-2</v>
      </c>
      <c r="J41">
        <v>-0.16343979419382684</v>
      </c>
      <c r="K41">
        <v>1.3951403826379237E-2</v>
      </c>
      <c r="L41">
        <v>-1.3104414387557451E-2</v>
      </c>
      <c r="M41">
        <v>-5.4607277976832014E-2</v>
      </c>
      <c r="N41">
        <v>-0.23149741080286418</v>
      </c>
      <c r="O41">
        <v>-0.23627701207843113</v>
      </c>
      <c r="P41">
        <v>0.10384847757420221</v>
      </c>
      <c r="Q41">
        <v>-5.2301549465908384E-2</v>
      </c>
      <c r="R41">
        <v>-4.1171728107784057E-2</v>
      </c>
      <c r="S41">
        <v>1.8884995520253491E-2</v>
      </c>
      <c r="T41">
        <v>0.20668412422439056</v>
      </c>
      <c r="U41">
        <v>6.2919457249419695E-3</v>
      </c>
      <c r="V41">
        <v>8.9074088597073428E-2</v>
      </c>
      <c r="W41">
        <v>7.9318333455721299E-2</v>
      </c>
      <c r="X41">
        <v>-0.13708208897571966</v>
      </c>
      <c r="Y41">
        <v>-8.93851004574466E-3</v>
      </c>
      <c r="Z41">
        <v>0.38626737100698633</v>
      </c>
      <c r="AA41">
        <v>0.31532959471004501</v>
      </c>
      <c r="AB41">
        <v>3.4475746356308686E-2</v>
      </c>
      <c r="AC41">
        <v>0.16780435673722269</v>
      </c>
      <c r="AD41">
        <v>1.9318794824830818E-2</v>
      </c>
      <c r="AE41">
        <v>-2.640525764786765E-2</v>
      </c>
      <c r="AF41">
        <v>-3.2578191439576E-2</v>
      </c>
      <c r="AG41">
        <v>4.8178249351264489E-2</v>
      </c>
      <c r="AH41">
        <v>0.17179070904328506</v>
      </c>
      <c r="AI41">
        <v>-0.26320162495619642</v>
      </c>
      <c r="AJ41">
        <v>-0.36766601787648984</v>
      </c>
      <c r="AK41">
        <v>-0.40326734489946781</v>
      </c>
      <c r="AL41">
        <v>-9.8349831485554359E-2</v>
      </c>
      <c r="AM41">
        <v>-9.0491810932413666E-2</v>
      </c>
      <c r="AN41">
        <v>-8.6173831428661019E-3</v>
      </c>
      <c r="AP41">
        <f t="shared" si="2"/>
        <v>1.0000000042863189</v>
      </c>
      <c r="AQ41">
        <f t="shared" si="3"/>
        <v>1.0000000021431594</v>
      </c>
      <c r="AS41">
        <f t="shared" si="13"/>
        <v>6.3774340499637939E-4</v>
      </c>
      <c r="AT41">
        <f t="shared" si="13"/>
        <v>0.14029894866203096</v>
      </c>
      <c r="AU41">
        <f t="shared" si="13"/>
        <v>-4.745144835254346E-2</v>
      </c>
      <c r="AV41">
        <f t="shared" si="13"/>
        <v>-1.6018599646668158E-3</v>
      </c>
      <c r="AW41">
        <f t="shared" si="13"/>
        <v>-0.18937456486401286</v>
      </c>
      <c r="AX41">
        <f t="shared" si="13"/>
        <v>-8.5485134509115004E-2</v>
      </c>
      <c r="AY41">
        <f t="shared" si="13"/>
        <v>-7.4139307019095893E-2</v>
      </c>
      <c r="AZ41">
        <f t="shared" si="13"/>
        <v>-3.9094522201814266E-2</v>
      </c>
      <c r="BA41">
        <f t="shared" si="13"/>
        <v>-0.16343979384354931</v>
      </c>
      <c r="BB41">
        <f t="shared" si="12"/>
        <v>1.3951403796479155E-2</v>
      </c>
      <c r="BC41">
        <f t="shared" si="12"/>
        <v>-1.3104414359472603E-2</v>
      </c>
      <c r="BD41">
        <f t="shared" si="12"/>
        <v>-5.4607277859799914E-2</v>
      </c>
      <c r="BE41">
        <f t="shared" si="12"/>
        <v>-0.23149741030672832</v>
      </c>
      <c r="BF41">
        <f t="shared" si="12"/>
        <v>-0.23627701157205183</v>
      </c>
      <c r="BG41">
        <f t="shared" si="12"/>
        <v>0.10384847735163837</v>
      </c>
      <c r="BH41">
        <f t="shared" si="12"/>
        <v>-5.2301549353817825E-2</v>
      </c>
      <c r="BI41">
        <f t="shared" si="12"/>
        <v>-4.117172801954648E-2</v>
      </c>
      <c r="BJ41">
        <f t="shared" si="12"/>
        <v>1.8884995479779936E-2</v>
      </c>
      <c r="BK41">
        <f t="shared" si="12"/>
        <v>0.20668412378143353</v>
      </c>
      <c r="BL41">
        <f t="shared" si="14"/>
        <v>6.2919457114573264E-3</v>
      </c>
      <c r="BM41">
        <f t="shared" si="14"/>
        <v>8.9074088406173452E-2</v>
      </c>
      <c r="BN41">
        <f t="shared" si="14"/>
        <v>7.9318333285729459E-2</v>
      </c>
      <c r="BO41">
        <f t="shared" si="14"/>
        <v>-0.13708208868193089</v>
      </c>
      <c r="BP41">
        <f t="shared" si="14"/>
        <v>-8.938510026588008E-3</v>
      </c>
      <c r="BQ41">
        <f t="shared" si="14"/>
        <v>0.38626737017915375</v>
      </c>
      <c r="BR41">
        <f t="shared" si="14"/>
        <v>0.31532959403424343</v>
      </c>
      <c r="BS41">
        <f t="shared" si="14"/>
        <v>3.4475746282421664E-2</v>
      </c>
      <c r="BT41">
        <f t="shared" si="14"/>
        <v>0.1678043563775912</v>
      </c>
      <c r="BU41">
        <f t="shared" si="14"/>
        <v>1.9318794783427563E-2</v>
      </c>
      <c r="BV41">
        <f t="shared" si="14"/>
        <v>-2.6405257591276973E-2</v>
      </c>
      <c r="BW41">
        <f t="shared" si="15"/>
        <v>-3.2578191369755739E-2</v>
      </c>
      <c r="BX41">
        <f t="shared" si="15"/>
        <v>4.817824924801082E-2</v>
      </c>
      <c r="BY41">
        <f t="shared" si="15"/>
        <v>0.17179070867511018</v>
      </c>
      <c r="BZ41">
        <f t="shared" si="15"/>
        <v>-0.26320162439211336</v>
      </c>
      <c r="CA41">
        <f t="shared" si="15"/>
        <v>-0.36766601708852292</v>
      </c>
      <c r="CB41">
        <f t="shared" si="15"/>
        <v>-0.40326734403520159</v>
      </c>
      <c r="CC41">
        <f t="shared" si="15"/>
        <v>-9.8349831274774993E-2</v>
      </c>
      <c r="CD41">
        <f t="shared" si="15"/>
        <v>-9.0491810738475287E-2</v>
      </c>
      <c r="CE41">
        <f t="shared" si="15"/>
        <v>-8.6173831243976755E-3</v>
      </c>
      <c r="CG41">
        <f t="shared" si="5"/>
        <v>1.0000000000000002</v>
      </c>
      <c r="CH41">
        <f t="shared" si="6"/>
        <v>1</v>
      </c>
      <c r="CJ41">
        <f t="shared" si="7"/>
        <v>-0.13834899567800585</v>
      </c>
      <c r="CL41">
        <f>SUMPRODUCT(AS41:CE41,Dimorfismo!AS41:CE41)</f>
        <v>8.4350705439390994E-2</v>
      </c>
      <c r="CM41">
        <f t="shared" si="8"/>
        <v>8.4350705439390994E-2</v>
      </c>
      <c r="CN41">
        <f t="shared" si="9"/>
        <v>8.4551616758276077E-2</v>
      </c>
    </row>
    <row r="42" spans="1:92" x14ac:dyDescent="0.25">
      <c r="A42" t="s">
        <v>43</v>
      </c>
      <c r="B42">
        <v>6.377434063631652E-4</v>
      </c>
      <c r="C42">
        <v>0.14029894896271397</v>
      </c>
      <c r="D42">
        <v>-4.745144845423948E-2</v>
      </c>
      <c r="E42">
        <v>-1.601859968099857E-3</v>
      </c>
      <c r="F42">
        <v>-0.18937456526987273</v>
      </c>
      <c r="G42">
        <v>-8.5485134692323272E-2</v>
      </c>
      <c r="H42">
        <v>-7.4139307177988251E-2</v>
      </c>
      <c r="I42">
        <v>-3.9094522285600057E-2</v>
      </c>
      <c r="J42">
        <v>-0.16343979419382684</v>
      </c>
      <c r="K42">
        <v>1.3951403826379237E-2</v>
      </c>
      <c r="L42">
        <v>-1.3104414387557451E-2</v>
      </c>
      <c r="M42">
        <v>-5.4607277976832014E-2</v>
      </c>
      <c r="N42">
        <v>-0.23149741080286418</v>
      </c>
      <c r="O42">
        <v>-0.23627701207843113</v>
      </c>
      <c r="P42">
        <v>0.10384847757420221</v>
      </c>
      <c r="Q42">
        <v>-5.2301549465908384E-2</v>
      </c>
      <c r="R42">
        <v>-4.1171728107784057E-2</v>
      </c>
      <c r="S42">
        <v>1.8884995520253491E-2</v>
      </c>
      <c r="T42">
        <v>0.20668412422439056</v>
      </c>
      <c r="U42">
        <v>6.2919457249419695E-3</v>
      </c>
      <c r="V42">
        <v>8.9074088597073428E-2</v>
      </c>
      <c r="W42">
        <v>7.9318333455721299E-2</v>
      </c>
      <c r="X42">
        <v>-0.13708208897571966</v>
      </c>
      <c r="Y42">
        <v>-8.93851004574466E-3</v>
      </c>
      <c r="Z42">
        <v>0.38626737100698633</v>
      </c>
      <c r="AA42">
        <v>0.31532959471004501</v>
      </c>
      <c r="AB42">
        <v>3.4475746356308686E-2</v>
      </c>
      <c r="AC42">
        <v>0.16780435673722269</v>
      </c>
      <c r="AD42">
        <v>1.9318794824830818E-2</v>
      </c>
      <c r="AE42">
        <v>-2.640525764786765E-2</v>
      </c>
      <c r="AF42">
        <v>-3.2578191439576E-2</v>
      </c>
      <c r="AG42">
        <v>4.8178249351264489E-2</v>
      </c>
      <c r="AH42">
        <v>0.17179070904328506</v>
      </c>
      <c r="AI42">
        <v>-0.26320162495619642</v>
      </c>
      <c r="AJ42">
        <v>-0.36766601787648984</v>
      </c>
      <c r="AK42">
        <v>-0.40326734489946781</v>
      </c>
      <c r="AL42">
        <v>-9.8349831485554359E-2</v>
      </c>
      <c r="AM42">
        <v>-9.0491810932413666E-2</v>
      </c>
      <c r="AN42">
        <v>-8.6173831428661019E-3</v>
      </c>
      <c r="AP42">
        <f t="shared" si="2"/>
        <v>1.0000000042863189</v>
      </c>
      <c r="AQ42">
        <f t="shared" si="3"/>
        <v>1.0000000021431594</v>
      </c>
      <c r="AS42">
        <f t="shared" si="13"/>
        <v>6.3774340499637939E-4</v>
      </c>
      <c r="AT42">
        <f t="shared" si="13"/>
        <v>0.14029894866203096</v>
      </c>
      <c r="AU42">
        <f t="shared" si="13"/>
        <v>-4.745144835254346E-2</v>
      </c>
      <c r="AV42">
        <f t="shared" si="13"/>
        <v>-1.6018599646668158E-3</v>
      </c>
      <c r="AW42">
        <f t="shared" si="13"/>
        <v>-0.18937456486401286</v>
      </c>
      <c r="AX42">
        <f t="shared" si="13"/>
        <v>-8.5485134509115004E-2</v>
      </c>
      <c r="AY42">
        <f t="shared" si="13"/>
        <v>-7.4139307019095893E-2</v>
      </c>
      <c r="AZ42">
        <f t="shared" si="13"/>
        <v>-3.9094522201814266E-2</v>
      </c>
      <c r="BA42">
        <f t="shared" si="13"/>
        <v>-0.16343979384354931</v>
      </c>
      <c r="BB42">
        <f t="shared" si="12"/>
        <v>1.3951403796479155E-2</v>
      </c>
      <c r="BC42">
        <f t="shared" si="12"/>
        <v>-1.3104414359472603E-2</v>
      </c>
      <c r="BD42">
        <f t="shared" si="12"/>
        <v>-5.4607277859799914E-2</v>
      </c>
      <c r="BE42">
        <f t="shared" si="12"/>
        <v>-0.23149741030672832</v>
      </c>
      <c r="BF42">
        <f t="shared" si="12"/>
        <v>-0.23627701157205183</v>
      </c>
      <c r="BG42">
        <f t="shared" si="12"/>
        <v>0.10384847735163837</v>
      </c>
      <c r="BH42">
        <f t="shared" si="12"/>
        <v>-5.2301549353817825E-2</v>
      </c>
      <c r="BI42">
        <f t="shared" si="12"/>
        <v>-4.117172801954648E-2</v>
      </c>
      <c r="BJ42">
        <f t="shared" si="12"/>
        <v>1.8884995479779936E-2</v>
      </c>
      <c r="BK42">
        <f t="shared" si="12"/>
        <v>0.20668412378143353</v>
      </c>
      <c r="BL42">
        <f t="shared" si="14"/>
        <v>6.2919457114573264E-3</v>
      </c>
      <c r="BM42">
        <f t="shared" si="14"/>
        <v>8.9074088406173452E-2</v>
      </c>
      <c r="BN42">
        <f t="shared" si="14"/>
        <v>7.9318333285729459E-2</v>
      </c>
      <c r="BO42">
        <f t="shared" si="14"/>
        <v>-0.13708208868193089</v>
      </c>
      <c r="BP42">
        <f t="shared" si="14"/>
        <v>-8.938510026588008E-3</v>
      </c>
      <c r="BQ42">
        <f t="shared" si="14"/>
        <v>0.38626737017915375</v>
      </c>
      <c r="BR42">
        <f t="shared" si="14"/>
        <v>0.31532959403424343</v>
      </c>
      <c r="BS42">
        <f t="shared" si="14"/>
        <v>3.4475746282421664E-2</v>
      </c>
      <c r="BT42">
        <f t="shared" si="14"/>
        <v>0.1678043563775912</v>
      </c>
      <c r="BU42">
        <f t="shared" si="14"/>
        <v>1.9318794783427563E-2</v>
      </c>
      <c r="BV42">
        <f t="shared" si="14"/>
        <v>-2.6405257591276973E-2</v>
      </c>
      <c r="BW42">
        <f t="shared" si="15"/>
        <v>-3.2578191369755739E-2</v>
      </c>
      <c r="BX42">
        <f t="shared" si="15"/>
        <v>4.817824924801082E-2</v>
      </c>
      <c r="BY42">
        <f t="shared" si="15"/>
        <v>0.17179070867511018</v>
      </c>
      <c r="BZ42">
        <f t="shared" si="15"/>
        <v>-0.26320162439211336</v>
      </c>
      <c r="CA42">
        <f t="shared" si="15"/>
        <v>-0.36766601708852292</v>
      </c>
      <c r="CB42">
        <f t="shared" si="15"/>
        <v>-0.40326734403520159</v>
      </c>
      <c r="CC42">
        <f t="shared" si="15"/>
        <v>-9.8349831274774993E-2</v>
      </c>
      <c r="CD42">
        <f t="shared" si="15"/>
        <v>-9.0491810738475287E-2</v>
      </c>
      <c r="CE42">
        <f t="shared" si="15"/>
        <v>-8.6173831243976755E-3</v>
      </c>
      <c r="CG42">
        <f t="shared" si="5"/>
        <v>1.0000000000000002</v>
      </c>
      <c r="CH42">
        <f t="shared" si="6"/>
        <v>1</v>
      </c>
      <c r="CJ42">
        <f t="shared" si="7"/>
        <v>-0.13834899567800585</v>
      </c>
      <c r="CL42">
        <f>SUMPRODUCT(AS42:CE42,Dimorfismo!AS42:CE42)</f>
        <v>5.6982104718630806E-2</v>
      </c>
      <c r="CM42">
        <f t="shared" si="8"/>
        <v>5.6982104718630806E-2</v>
      </c>
      <c r="CN42">
        <f t="shared" si="9"/>
        <v>5.7043898024104311E-2</v>
      </c>
    </row>
    <row r="43" spans="1:92" x14ac:dyDescent="0.25">
      <c r="A43" t="s">
        <v>44</v>
      </c>
      <c r="B43">
        <v>6.377434063631652E-4</v>
      </c>
      <c r="C43">
        <v>0.14029894896271397</v>
      </c>
      <c r="D43">
        <v>-4.745144845423948E-2</v>
      </c>
      <c r="E43">
        <v>-1.601859968099857E-3</v>
      </c>
      <c r="F43">
        <v>-0.18937456526987273</v>
      </c>
      <c r="G43">
        <v>-8.5485134692323272E-2</v>
      </c>
      <c r="H43">
        <v>-7.4139307177988251E-2</v>
      </c>
      <c r="I43">
        <v>-3.9094522285600057E-2</v>
      </c>
      <c r="J43">
        <v>-0.16343979419382684</v>
      </c>
      <c r="K43">
        <v>1.3951403826379237E-2</v>
      </c>
      <c r="L43">
        <v>-1.3104414387557451E-2</v>
      </c>
      <c r="M43">
        <v>-5.4607277976832014E-2</v>
      </c>
      <c r="N43">
        <v>-0.23149741080286418</v>
      </c>
      <c r="O43">
        <v>-0.23627701207843113</v>
      </c>
      <c r="P43">
        <v>0.10384847757420221</v>
      </c>
      <c r="Q43">
        <v>-5.2301549465908384E-2</v>
      </c>
      <c r="R43">
        <v>-4.1171728107784057E-2</v>
      </c>
      <c r="S43">
        <v>1.8884995520253491E-2</v>
      </c>
      <c r="T43">
        <v>0.20668412422439056</v>
      </c>
      <c r="U43">
        <v>6.2919457249419695E-3</v>
      </c>
      <c r="V43">
        <v>8.9074088597073428E-2</v>
      </c>
      <c r="W43">
        <v>7.9318333455721299E-2</v>
      </c>
      <c r="X43">
        <v>-0.13708208897571966</v>
      </c>
      <c r="Y43">
        <v>-8.93851004574466E-3</v>
      </c>
      <c r="Z43">
        <v>0.38626737100698633</v>
      </c>
      <c r="AA43">
        <v>0.31532959471004501</v>
      </c>
      <c r="AB43">
        <v>3.4475746356308686E-2</v>
      </c>
      <c r="AC43">
        <v>0.16780435673722269</v>
      </c>
      <c r="AD43">
        <v>1.9318794824830818E-2</v>
      </c>
      <c r="AE43">
        <v>-2.640525764786765E-2</v>
      </c>
      <c r="AF43">
        <v>-3.2578191439576E-2</v>
      </c>
      <c r="AG43">
        <v>4.8178249351264489E-2</v>
      </c>
      <c r="AH43">
        <v>0.17179070904328506</v>
      </c>
      <c r="AI43">
        <v>-0.26320162495619642</v>
      </c>
      <c r="AJ43">
        <v>-0.36766601787648984</v>
      </c>
      <c r="AK43">
        <v>-0.40326734489946781</v>
      </c>
      <c r="AL43">
        <v>-9.8349831485554359E-2</v>
      </c>
      <c r="AM43">
        <v>-9.0491810932413666E-2</v>
      </c>
      <c r="AN43">
        <v>-8.6173831428661019E-3</v>
      </c>
      <c r="AP43">
        <f t="shared" si="2"/>
        <v>1.0000000042863189</v>
      </c>
      <c r="AQ43">
        <f t="shared" si="3"/>
        <v>1.0000000021431594</v>
      </c>
      <c r="AS43">
        <f t="shared" si="13"/>
        <v>6.3774340499637939E-4</v>
      </c>
      <c r="AT43">
        <f t="shared" si="13"/>
        <v>0.14029894866203096</v>
      </c>
      <c r="AU43">
        <f t="shared" si="13"/>
        <v>-4.745144835254346E-2</v>
      </c>
      <c r="AV43">
        <f t="shared" si="13"/>
        <v>-1.6018599646668158E-3</v>
      </c>
      <c r="AW43">
        <f t="shared" si="13"/>
        <v>-0.18937456486401286</v>
      </c>
      <c r="AX43">
        <f t="shared" si="13"/>
        <v>-8.5485134509115004E-2</v>
      </c>
      <c r="AY43">
        <f t="shared" si="13"/>
        <v>-7.4139307019095893E-2</v>
      </c>
      <c r="AZ43">
        <f t="shared" si="13"/>
        <v>-3.9094522201814266E-2</v>
      </c>
      <c r="BA43">
        <f t="shared" si="13"/>
        <v>-0.16343979384354931</v>
      </c>
      <c r="BB43">
        <f t="shared" si="12"/>
        <v>1.3951403796479155E-2</v>
      </c>
      <c r="BC43">
        <f t="shared" si="12"/>
        <v>-1.3104414359472603E-2</v>
      </c>
      <c r="BD43">
        <f t="shared" si="12"/>
        <v>-5.4607277859799914E-2</v>
      </c>
      <c r="BE43">
        <f t="shared" si="12"/>
        <v>-0.23149741030672832</v>
      </c>
      <c r="BF43">
        <f t="shared" si="12"/>
        <v>-0.23627701157205183</v>
      </c>
      <c r="BG43">
        <f t="shared" si="12"/>
        <v>0.10384847735163837</v>
      </c>
      <c r="BH43">
        <f t="shared" si="12"/>
        <v>-5.2301549353817825E-2</v>
      </c>
      <c r="BI43">
        <f t="shared" si="12"/>
        <v>-4.117172801954648E-2</v>
      </c>
      <c r="BJ43">
        <f t="shared" si="12"/>
        <v>1.8884995479779936E-2</v>
      </c>
      <c r="BK43">
        <f t="shared" si="12"/>
        <v>0.20668412378143353</v>
      </c>
      <c r="BL43">
        <f t="shared" si="14"/>
        <v>6.2919457114573264E-3</v>
      </c>
      <c r="BM43">
        <f t="shared" si="14"/>
        <v>8.9074088406173452E-2</v>
      </c>
      <c r="BN43">
        <f t="shared" si="14"/>
        <v>7.9318333285729459E-2</v>
      </c>
      <c r="BO43">
        <f t="shared" si="14"/>
        <v>-0.13708208868193089</v>
      </c>
      <c r="BP43">
        <f t="shared" si="14"/>
        <v>-8.938510026588008E-3</v>
      </c>
      <c r="BQ43">
        <f t="shared" si="14"/>
        <v>0.38626737017915375</v>
      </c>
      <c r="BR43">
        <f t="shared" si="14"/>
        <v>0.31532959403424343</v>
      </c>
      <c r="BS43">
        <f t="shared" si="14"/>
        <v>3.4475746282421664E-2</v>
      </c>
      <c r="BT43">
        <f t="shared" si="14"/>
        <v>0.1678043563775912</v>
      </c>
      <c r="BU43">
        <f t="shared" si="14"/>
        <v>1.9318794783427563E-2</v>
      </c>
      <c r="BV43">
        <f t="shared" si="14"/>
        <v>-2.6405257591276973E-2</v>
      </c>
      <c r="BW43">
        <f t="shared" si="15"/>
        <v>-3.2578191369755739E-2</v>
      </c>
      <c r="BX43">
        <f t="shared" si="15"/>
        <v>4.817824924801082E-2</v>
      </c>
      <c r="BY43">
        <f t="shared" si="15"/>
        <v>0.17179070867511018</v>
      </c>
      <c r="BZ43">
        <f t="shared" si="15"/>
        <v>-0.26320162439211336</v>
      </c>
      <c r="CA43">
        <f t="shared" si="15"/>
        <v>-0.36766601708852292</v>
      </c>
      <c r="CB43">
        <f t="shared" si="15"/>
        <v>-0.40326734403520159</v>
      </c>
      <c r="CC43">
        <f t="shared" si="15"/>
        <v>-9.8349831274774993E-2</v>
      </c>
      <c r="CD43">
        <f t="shared" si="15"/>
        <v>-9.0491810738475287E-2</v>
      </c>
      <c r="CE43">
        <f t="shared" si="15"/>
        <v>-8.6173831243976755E-3</v>
      </c>
      <c r="CG43">
        <f t="shared" si="5"/>
        <v>1.0000000000000002</v>
      </c>
      <c r="CH43">
        <f t="shared" si="6"/>
        <v>1</v>
      </c>
      <c r="CJ43">
        <f t="shared" si="7"/>
        <v>-0.13834899567800585</v>
      </c>
      <c r="CL43">
        <f>SUMPRODUCT(AS43:CE43,Dimorfismo!AS43:CE43)</f>
        <v>0.14935699496824034</v>
      </c>
      <c r="CM43">
        <f t="shared" si="8"/>
        <v>0.14935699496824034</v>
      </c>
      <c r="CN43">
        <f t="shared" si="9"/>
        <v>0.15048269508236536</v>
      </c>
    </row>
    <row r="44" spans="1:92" x14ac:dyDescent="0.25">
      <c r="A44" t="s">
        <v>45</v>
      </c>
      <c r="B44">
        <v>6.377434063631652E-4</v>
      </c>
      <c r="C44">
        <v>0.14029894896271397</v>
      </c>
      <c r="D44">
        <v>-4.745144845423948E-2</v>
      </c>
      <c r="E44">
        <v>-1.601859968099857E-3</v>
      </c>
      <c r="F44">
        <v>-0.18937456526987273</v>
      </c>
      <c r="G44">
        <v>-8.5485134692323272E-2</v>
      </c>
      <c r="H44">
        <v>-7.4139307177988251E-2</v>
      </c>
      <c r="I44">
        <v>-3.9094522285600057E-2</v>
      </c>
      <c r="J44">
        <v>-0.16343979419382684</v>
      </c>
      <c r="K44">
        <v>1.3951403826379237E-2</v>
      </c>
      <c r="L44">
        <v>-1.3104414387557451E-2</v>
      </c>
      <c r="M44">
        <v>-5.4607277976832014E-2</v>
      </c>
      <c r="N44">
        <v>-0.23149741080286418</v>
      </c>
      <c r="O44">
        <v>-0.23627701207843113</v>
      </c>
      <c r="P44">
        <v>0.10384847757420221</v>
      </c>
      <c r="Q44">
        <v>-5.2301549465908384E-2</v>
      </c>
      <c r="R44">
        <v>-4.1171728107784057E-2</v>
      </c>
      <c r="S44">
        <v>1.8884995520253491E-2</v>
      </c>
      <c r="T44">
        <v>0.20668412422439056</v>
      </c>
      <c r="U44">
        <v>6.2919457249419695E-3</v>
      </c>
      <c r="V44">
        <v>8.9074088597073428E-2</v>
      </c>
      <c r="W44">
        <v>7.9318333455721299E-2</v>
      </c>
      <c r="X44">
        <v>-0.13708208897571966</v>
      </c>
      <c r="Y44">
        <v>-8.93851004574466E-3</v>
      </c>
      <c r="Z44">
        <v>0.38626737100698633</v>
      </c>
      <c r="AA44">
        <v>0.31532959471004501</v>
      </c>
      <c r="AB44">
        <v>3.4475746356308686E-2</v>
      </c>
      <c r="AC44">
        <v>0.16780435673722269</v>
      </c>
      <c r="AD44">
        <v>1.9318794824830818E-2</v>
      </c>
      <c r="AE44">
        <v>-2.640525764786765E-2</v>
      </c>
      <c r="AF44">
        <v>-3.2578191439576E-2</v>
      </c>
      <c r="AG44">
        <v>4.8178249351264489E-2</v>
      </c>
      <c r="AH44">
        <v>0.17179070904328506</v>
      </c>
      <c r="AI44">
        <v>-0.26320162495619642</v>
      </c>
      <c r="AJ44">
        <v>-0.36766601787648984</v>
      </c>
      <c r="AK44">
        <v>-0.40326734489946781</v>
      </c>
      <c r="AL44">
        <v>-9.8349831485554359E-2</v>
      </c>
      <c r="AM44">
        <v>-9.0491810932413666E-2</v>
      </c>
      <c r="AN44">
        <v>-8.6173831428661019E-3</v>
      </c>
      <c r="AP44">
        <f t="shared" si="2"/>
        <v>1.0000000042863189</v>
      </c>
      <c r="AQ44">
        <f t="shared" si="3"/>
        <v>1.0000000021431594</v>
      </c>
      <c r="AS44">
        <f t="shared" si="13"/>
        <v>6.3774340499637939E-4</v>
      </c>
      <c r="AT44">
        <f t="shared" si="13"/>
        <v>0.14029894866203096</v>
      </c>
      <c r="AU44">
        <f t="shared" si="13"/>
        <v>-4.745144835254346E-2</v>
      </c>
      <c r="AV44">
        <f t="shared" si="13"/>
        <v>-1.6018599646668158E-3</v>
      </c>
      <c r="AW44">
        <f t="shared" si="13"/>
        <v>-0.18937456486401286</v>
      </c>
      <c r="AX44">
        <f t="shared" si="13"/>
        <v>-8.5485134509115004E-2</v>
      </c>
      <c r="AY44">
        <f t="shared" si="13"/>
        <v>-7.4139307019095893E-2</v>
      </c>
      <c r="AZ44">
        <f t="shared" si="13"/>
        <v>-3.9094522201814266E-2</v>
      </c>
      <c r="BA44">
        <f t="shared" si="13"/>
        <v>-0.16343979384354931</v>
      </c>
      <c r="BB44">
        <f t="shared" si="12"/>
        <v>1.3951403796479155E-2</v>
      </c>
      <c r="BC44">
        <f t="shared" si="12"/>
        <v>-1.3104414359472603E-2</v>
      </c>
      <c r="BD44">
        <f t="shared" si="12"/>
        <v>-5.4607277859799914E-2</v>
      </c>
      <c r="BE44">
        <f t="shared" si="12"/>
        <v>-0.23149741030672832</v>
      </c>
      <c r="BF44">
        <f t="shared" si="12"/>
        <v>-0.23627701157205183</v>
      </c>
      <c r="BG44">
        <f t="shared" si="12"/>
        <v>0.10384847735163837</v>
      </c>
      <c r="BH44">
        <f t="shared" si="12"/>
        <v>-5.2301549353817825E-2</v>
      </c>
      <c r="BI44">
        <f t="shared" si="12"/>
        <v>-4.117172801954648E-2</v>
      </c>
      <c r="BJ44">
        <f t="shared" si="12"/>
        <v>1.8884995479779936E-2</v>
      </c>
      <c r="BK44">
        <f t="shared" si="12"/>
        <v>0.20668412378143353</v>
      </c>
      <c r="BL44">
        <f t="shared" si="14"/>
        <v>6.2919457114573264E-3</v>
      </c>
      <c r="BM44">
        <f t="shared" si="14"/>
        <v>8.9074088406173452E-2</v>
      </c>
      <c r="BN44">
        <f t="shared" si="14"/>
        <v>7.9318333285729459E-2</v>
      </c>
      <c r="BO44">
        <f t="shared" si="14"/>
        <v>-0.13708208868193089</v>
      </c>
      <c r="BP44">
        <f t="shared" si="14"/>
        <v>-8.938510026588008E-3</v>
      </c>
      <c r="BQ44">
        <f t="shared" si="14"/>
        <v>0.38626737017915375</v>
      </c>
      <c r="BR44">
        <f t="shared" si="14"/>
        <v>0.31532959403424343</v>
      </c>
      <c r="BS44">
        <f t="shared" si="14"/>
        <v>3.4475746282421664E-2</v>
      </c>
      <c r="BT44">
        <f t="shared" si="14"/>
        <v>0.1678043563775912</v>
      </c>
      <c r="BU44">
        <f t="shared" si="14"/>
        <v>1.9318794783427563E-2</v>
      </c>
      <c r="BV44">
        <f t="shared" si="14"/>
        <v>-2.6405257591276973E-2</v>
      </c>
      <c r="BW44">
        <f t="shared" si="15"/>
        <v>-3.2578191369755739E-2</v>
      </c>
      <c r="BX44">
        <f t="shared" si="15"/>
        <v>4.817824924801082E-2</v>
      </c>
      <c r="BY44">
        <f t="shared" si="15"/>
        <v>0.17179070867511018</v>
      </c>
      <c r="BZ44">
        <f t="shared" si="15"/>
        <v>-0.26320162439211336</v>
      </c>
      <c r="CA44">
        <f t="shared" si="15"/>
        <v>-0.36766601708852292</v>
      </c>
      <c r="CB44">
        <f t="shared" si="15"/>
        <v>-0.40326734403520159</v>
      </c>
      <c r="CC44">
        <f t="shared" si="15"/>
        <v>-9.8349831274774993E-2</v>
      </c>
      <c r="CD44">
        <f t="shared" si="15"/>
        <v>-9.0491810738475287E-2</v>
      </c>
      <c r="CE44">
        <f t="shared" si="15"/>
        <v>-8.6173831243976755E-3</v>
      </c>
      <c r="CG44">
        <f t="shared" si="5"/>
        <v>1.0000000000000002</v>
      </c>
      <c r="CH44">
        <f t="shared" si="6"/>
        <v>1</v>
      </c>
      <c r="CJ44">
        <f t="shared" si="7"/>
        <v>-0.13834899567800585</v>
      </c>
      <c r="CL44">
        <f>SUMPRODUCT(AS44:CE44,Dimorfismo!AS44:CE44)</f>
        <v>0.10590429454336274</v>
      </c>
      <c r="CM44">
        <f t="shared" si="8"/>
        <v>0.10590429454336274</v>
      </c>
      <c r="CN44">
        <f t="shared" si="9"/>
        <v>0.10630291142412863</v>
      </c>
    </row>
    <row r="45" spans="1:92" x14ac:dyDescent="0.25">
      <c r="A45" t="s">
        <v>46</v>
      </c>
      <c r="B45">
        <v>6.377434063631652E-4</v>
      </c>
      <c r="C45">
        <v>0.14029894896271397</v>
      </c>
      <c r="D45">
        <v>-4.745144845423948E-2</v>
      </c>
      <c r="E45">
        <v>-1.601859968099857E-3</v>
      </c>
      <c r="F45">
        <v>-0.18937456526987273</v>
      </c>
      <c r="G45">
        <v>-8.5485134692323272E-2</v>
      </c>
      <c r="H45">
        <v>-7.4139307177988251E-2</v>
      </c>
      <c r="I45">
        <v>-3.9094522285600057E-2</v>
      </c>
      <c r="J45">
        <v>-0.16343979419382684</v>
      </c>
      <c r="K45">
        <v>1.3951403826379237E-2</v>
      </c>
      <c r="L45">
        <v>-1.3104414387557451E-2</v>
      </c>
      <c r="M45">
        <v>-5.4607277976832014E-2</v>
      </c>
      <c r="N45">
        <v>-0.23149741080286418</v>
      </c>
      <c r="O45">
        <v>-0.23627701207843113</v>
      </c>
      <c r="P45">
        <v>0.10384847757420221</v>
      </c>
      <c r="Q45">
        <v>-5.2301549465908384E-2</v>
      </c>
      <c r="R45">
        <v>-4.1171728107784057E-2</v>
      </c>
      <c r="S45">
        <v>1.8884995520253491E-2</v>
      </c>
      <c r="T45">
        <v>0.20668412422439056</v>
      </c>
      <c r="U45">
        <v>6.2919457249419695E-3</v>
      </c>
      <c r="V45">
        <v>8.9074088597073428E-2</v>
      </c>
      <c r="W45">
        <v>7.9318333455721299E-2</v>
      </c>
      <c r="X45">
        <v>-0.13708208897571966</v>
      </c>
      <c r="Y45">
        <v>-8.93851004574466E-3</v>
      </c>
      <c r="Z45">
        <v>0.38626737100698633</v>
      </c>
      <c r="AA45">
        <v>0.31532959471004501</v>
      </c>
      <c r="AB45">
        <v>3.4475746356308686E-2</v>
      </c>
      <c r="AC45">
        <v>0.16780435673722269</v>
      </c>
      <c r="AD45">
        <v>1.9318794824830818E-2</v>
      </c>
      <c r="AE45">
        <v>-2.640525764786765E-2</v>
      </c>
      <c r="AF45">
        <v>-3.2578191439576E-2</v>
      </c>
      <c r="AG45">
        <v>4.8178249351264489E-2</v>
      </c>
      <c r="AH45">
        <v>0.17179070904328506</v>
      </c>
      <c r="AI45">
        <v>-0.26320162495619642</v>
      </c>
      <c r="AJ45">
        <v>-0.36766601787648984</v>
      </c>
      <c r="AK45">
        <v>-0.40326734489946781</v>
      </c>
      <c r="AL45">
        <v>-9.8349831485554359E-2</v>
      </c>
      <c r="AM45">
        <v>-9.0491810932413666E-2</v>
      </c>
      <c r="AN45">
        <v>-8.6173831428661019E-3</v>
      </c>
      <c r="AP45">
        <f t="shared" si="2"/>
        <v>1.0000000042863189</v>
      </c>
      <c r="AQ45">
        <f t="shared" si="3"/>
        <v>1.0000000021431594</v>
      </c>
      <c r="AS45">
        <f t="shared" si="13"/>
        <v>6.3774340499637939E-4</v>
      </c>
      <c r="AT45">
        <f t="shared" si="13"/>
        <v>0.14029894866203096</v>
      </c>
      <c r="AU45">
        <f t="shared" si="13"/>
        <v>-4.745144835254346E-2</v>
      </c>
      <c r="AV45">
        <f t="shared" si="13"/>
        <v>-1.6018599646668158E-3</v>
      </c>
      <c r="AW45">
        <f t="shared" si="13"/>
        <v>-0.18937456486401286</v>
      </c>
      <c r="AX45">
        <f t="shared" si="13"/>
        <v>-8.5485134509115004E-2</v>
      </c>
      <c r="AY45">
        <f t="shared" si="13"/>
        <v>-7.4139307019095893E-2</v>
      </c>
      <c r="AZ45">
        <f t="shared" si="13"/>
        <v>-3.9094522201814266E-2</v>
      </c>
      <c r="BA45">
        <f t="shared" si="13"/>
        <v>-0.16343979384354931</v>
      </c>
      <c r="BB45">
        <f t="shared" si="12"/>
        <v>1.3951403796479155E-2</v>
      </c>
      <c r="BC45">
        <f t="shared" si="12"/>
        <v>-1.3104414359472603E-2</v>
      </c>
      <c r="BD45">
        <f t="shared" si="12"/>
        <v>-5.4607277859799914E-2</v>
      </c>
      <c r="BE45">
        <f t="shared" si="12"/>
        <v>-0.23149741030672832</v>
      </c>
      <c r="BF45">
        <f t="shared" si="12"/>
        <v>-0.23627701157205183</v>
      </c>
      <c r="BG45">
        <f t="shared" si="12"/>
        <v>0.10384847735163837</v>
      </c>
      <c r="BH45">
        <f t="shared" si="12"/>
        <v>-5.2301549353817825E-2</v>
      </c>
      <c r="BI45">
        <f t="shared" si="12"/>
        <v>-4.117172801954648E-2</v>
      </c>
      <c r="BJ45">
        <f t="shared" si="12"/>
        <v>1.8884995479779936E-2</v>
      </c>
      <c r="BK45">
        <f t="shared" si="12"/>
        <v>0.20668412378143353</v>
      </c>
      <c r="BL45">
        <f t="shared" si="14"/>
        <v>6.2919457114573264E-3</v>
      </c>
      <c r="BM45">
        <f t="shared" si="14"/>
        <v>8.9074088406173452E-2</v>
      </c>
      <c r="BN45">
        <f t="shared" si="14"/>
        <v>7.9318333285729459E-2</v>
      </c>
      <c r="BO45">
        <f t="shared" si="14"/>
        <v>-0.13708208868193089</v>
      </c>
      <c r="BP45">
        <f t="shared" si="14"/>
        <v>-8.938510026588008E-3</v>
      </c>
      <c r="BQ45">
        <f t="shared" si="14"/>
        <v>0.38626737017915375</v>
      </c>
      <c r="BR45">
        <f t="shared" si="14"/>
        <v>0.31532959403424343</v>
      </c>
      <c r="BS45">
        <f t="shared" si="14"/>
        <v>3.4475746282421664E-2</v>
      </c>
      <c r="BT45">
        <f t="shared" si="14"/>
        <v>0.1678043563775912</v>
      </c>
      <c r="BU45">
        <f t="shared" si="14"/>
        <v>1.9318794783427563E-2</v>
      </c>
      <c r="BV45">
        <f t="shared" si="14"/>
        <v>-2.6405257591276973E-2</v>
      </c>
      <c r="BW45">
        <f t="shared" si="15"/>
        <v>-3.2578191369755739E-2</v>
      </c>
      <c r="BX45">
        <f t="shared" si="15"/>
        <v>4.817824924801082E-2</v>
      </c>
      <c r="BY45">
        <f t="shared" si="15"/>
        <v>0.17179070867511018</v>
      </c>
      <c r="BZ45">
        <f t="shared" si="15"/>
        <v>-0.26320162439211336</v>
      </c>
      <c r="CA45">
        <f t="shared" si="15"/>
        <v>-0.36766601708852292</v>
      </c>
      <c r="CB45">
        <f t="shared" si="15"/>
        <v>-0.40326734403520159</v>
      </c>
      <c r="CC45">
        <f t="shared" si="15"/>
        <v>-9.8349831274774993E-2</v>
      </c>
      <c r="CD45">
        <f t="shared" si="15"/>
        <v>-9.0491810738475287E-2</v>
      </c>
      <c r="CE45">
        <f t="shared" si="15"/>
        <v>-8.6173831243976755E-3</v>
      </c>
      <c r="CG45">
        <f t="shared" si="5"/>
        <v>1.0000000000000002</v>
      </c>
      <c r="CH45">
        <f t="shared" si="6"/>
        <v>1</v>
      </c>
      <c r="CJ45">
        <f t="shared" si="7"/>
        <v>-0.13834899567800585</v>
      </c>
      <c r="CL45">
        <f>SUMPRODUCT(AS45:CE45,Dimorfismo!AS45:CE45)</f>
        <v>-4.9768690858921799E-2</v>
      </c>
      <c r="CM45">
        <f t="shared" si="8"/>
        <v>4.9768690858921799E-2</v>
      </c>
      <c r="CN45">
        <f t="shared" si="9"/>
        <v>4.9809843099689832E-2</v>
      </c>
    </row>
    <row r="46" spans="1:92" x14ac:dyDescent="0.25">
      <c r="A46" t="s">
        <v>47</v>
      </c>
      <c r="B46">
        <v>6.377434063631652E-4</v>
      </c>
      <c r="C46">
        <v>0.14029894896271397</v>
      </c>
      <c r="D46">
        <v>-4.745144845423948E-2</v>
      </c>
      <c r="E46">
        <v>-1.601859968099857E-3</v>
      </c>
      <c r="F46">
        <v>-0.18937456526987273</v>
      </c>
      <c r="G46">
        <v>-8.5485134692323272E-2</v>
      </c>
      <c r="H46">
        <v>-7.4139307177988251E-2</v>
      </c>
      <c r="I46">
        <v>-3.9094522285600057E-2</v>
      </c>
      <c r="J46">
        <v>-0.16343979419382684</v>
      </c>
      <c r="K46">
        <v>1.3951403826379237E-2</v>
      </c>
      <c r="L46">
        <v>-1.3104414387557451E-2</v>
      </c>
      <c r="M46">
        <v>-5.4607277976832014E-2</v>
      </c>
      <c r="N46">
        <v>-0.23149741080286418</v>
      </c>
      <c r="O46">
        <v>-0.23627701207843113</v>
      </c>
      <c r="P46">
        <v>0.10384847757420221</v>
      </c>
      <c r="Q46">
        <v>-5.2301549465908384E-2</v>
      </c>
      <c r="R46">
        <v>-4.1171728107784057E-2</v>
      </c>
      <c r="S46">
        <v>1.8884995520253491E-2</v>
      </c>
      <c r="T46">
        <v>0.20668412422439056</v>
      </c>
      <c r="U46">
        <v>6.2919457249419695E-3</v>
      </c>
      <c r="V46">
        <v>8.9074088597073428E-2</v>
      </c>
      <c r="W46">
        <v>7.9318333455721299E-2</v>
      </c>
      <c r="X46">
        <v>-0.13708208897571966</v>
      </c>
      <c r="Y46">
        <v>-8.93851004574466E-3</v>
      </c>
      <c r="Z46">
        <v>0.38626737100698633</v>
      </c>
      <c r="AA46">
        <v>0.31532959471004501</v>
      </c>
      <c r="AB46">
        <v>3.4475746356308686E-2</v>
      </c>
      <c r="AC46">
        <v>0.16780435673722269</v>
      </c>
      <c r="AD46">
        <v>1.9318794824830818E-2</v>
      </c>
      <c r="AE46">
        <v>-2.640525764786765E-2</v>
      </c>
      <c r="AF46">
        <v>-3.2578191439576E-2</v>
      </c>
      <c r="AG46">
        <v>4.8178249351264489E-2</v>
      </c>
      <c r="AH46">
        <v>0.17179070904328506</v>
      </c>
      <c r="AI46">
        <v>-0.26320162495619642</v>
      </c>
      <c r="AJ46">
        <v>-0.36766601787648984</v>
      </c>
      <c r="AK46">
        <v>-0.40326734489946781</v>
      </c>
      <c r="AL46">
        <v>-9.8349831485554359E-2</v>
      </c>
      <c r="AM46">
        <v>-9.0491810932413666E-2</v>
      </c>
      <c r="AN46">
        <v>-8.6173831428661019E-3</v>
      </c>
      <c r="AP46">
        <f t="shared" si="2"/>
        <v>1.0000000042863189</v>
      </c>
      <c r="AQ46">
        <f t="shared" si="3"/>
        <v>1.0000000021431594</v>
      </c>
      <c r="AS46">
        <f t="shared" si="13"/>
        <v>6.3774340499637939E-4</v>
      </c>
      <c r="AT46">
        <f t="shared" si="13"/>
        <v>0.14029894866203096</v>
      </c>
      <c r="AU46">
        <f t="shared" si="13"/>
        <v>-4.745144835254346E-2</v>
      </c>
      <c r="AV46">
        <f t="shared" si="13"/>
        <v>-1.6018599646668158E-3</v>
      </c>
      <c r="AW46">
        <f t="shared" si="13"/>
        <v>-0.18937456486401286</v>
      </c>
      <c r="AX46">
        <f t="shared" si="13"/>
        <v>-8.5485134509115004E-2</v>
      </c>
      <c r="AY46">
        <f t="shared" si="13"/>
        <v>-7.4139307019095893E-2</v>
      </c>
      <c r="AZ46">
        <f t="shared" si="13"/>
        <v>-3.9094522201814266E-2</v>
      </c>
      <c r="BA46">
        <f t="shared" si="13"/>
        <v>-0.16343979384354931</v>
      </c>
      <c r="BB46">
        <f t="shared" si="12"/>
        <v>1.3951403796479155E-2</v>
      </c>
      <c r="BC46">
        <f t="shared" si="12"/>
        <v>-1.3104414359472603E-2</v>
      </c>
      <c r="BD46">
        <f t="shared" si="12"/>
        <v>-5.4607277859799914E-2</v>
      </c>
      <c r="BE46">
        <f t="shared" si="12"/>
        <v>-0.23149741030672832</v>
      </c>
      <c r="BF46">
        <f t="shared" si="12"/>
        <v>-0.23627701157205183</v>
      </c>
      <c r="BG46">
        <f t="shared" si="12"/>
        <v>0.10384847735163837</v>
      </c>
      <c r="BH46">
        <f t="shared" si="12"/>
        <v>-5.2301549353817825E-2</v>
      </c>
      <c r="BI46">
        <f t="shared" si="12"/>
        <v>-4.117172801954648E-2</v>
      </c>
      <c r="BJ46">
        <f t="shared" si="12"/>
        <v>1.8884995479779936E-2</v>
      </c>
      <c r="BK46">
        <f t="shared" si="12"/>
        <v>0.20668412378143353</v>
      </c>
      <c r="BL46">
        <f t="shared" si="14"/>
        <v>6.2919457114573264E-3</v>
      </c>
      <c r="BM46">
        <f t="shared" si="14"/>
        <v>8.9074088406173452E-2</v>
      </c>
      <c r="BN46">
        <f t="shared" si="14"/>
        <v>7.9318333285729459E-2</v>
      </c>
      <c r="BO46">
        <f t="shared" si="14"/>
        <v>-0.13708208868193089</v>
      </c>
      <c r="BP46">
        <f t="shared" si="14"/>
        <v>-8.938510026588008E-3</v>
      </c>
      <c r="BQ46">
        <f t="shared" si="14"/>
        <v>0.38626737017915375</v>
      </c>
      <c r="BR46">
        <f t="shared" si="14"/>
        <v>0.31532959403424343</v>
      </c>
      <c r="BS46">
        <f t="shared" si="14"/>
        <v>3.4475746282421664E-2</v>
      </c>
      <c r="BT46">
        <f t="shared" si="14"/>
        <v>0.1678043563775912</v>
      </c>
      <c r="BU46">
        <f t="shared" si="14"/>
        <v>1.9318794783427563E-2</v>
      </c>
      <c r="BV46">
        <f t="shared" si="14"/>
        <v>-2.6405257591276973E-2</v>
      </c>
      <c r="BW46">
        <f t="shared" si="15"/>
        <v>-3.2578191369755739E-2</v>
      </c>
      <c r="BX46">
        <f t="shared" si="15"/>
        <v>4.817824924801082E-2</v>
      </c>
      <c r="BY46">
        <f t="shared" si="15"/>
        <v>0.17179070867511018</v>
      </c>
      <c r="BZ46">
        <f t="shared" si="15"/>
        <v>-0.26320162439211336</v>
      </c>
      <c r="CA46">
        <f t="shared" si="15"/>
        <v>-0.36766601708852292</v>
      </c>
      <c r="CB46">
        <f t="shared" si="15"/>
        <v>-0.40326734403520159</v>
      </c>
      <c r="CC46">
        <f t="shared" si="15"/>
        <v>-9.8349831274774993E-2</v>
      </c>
      <c r="CD46">
        <f t="shared" si="15"/>
        <v>-9.0491810738475287E-2</v>
      </c>
      <c r="CE46">
        <f t="shared" si="15"/>
        <v>-8.6173831243976755E-3</v>
      </c>
      <c r="CG46">
        <f t="shared" si="5"/>
        <v>1.0000000000000002</v>
      </c>
      <c r="CH46">
        <f t="shared" si="6"/>
        <v>1</v>
      </c>
      <c r="CJ46">
        <f t="shared" si="7"/>
        <v>-0.13834899567800585</v>
      </c>
      <c r="CL46">
        <f>SUMPRODUCT(AS46:CE46,Dimorfismo!AS46:CE46)</f>
        <v>-0.23084661525592845</v>
      </c>
      <c r="CM46">
        <f t="shared" si="8"/>
        <v>0.23084661525592845</v>
      </c>
      <c r="CN46">
        <f t="shared" si="9"/>
        <v>0.2350835535289218</v>
      </c>
    </row>
    <row r="47" spans="1:92" x14ac:dyDescent="0.25">
      <c r="A47" t="s">
        <v>48</v>
      </c>
      <c r="B47">
        <v>6.377434063631652E-4</v>
      </c>
      <c r="C47">
        <v>0.14029894896271397</v>
      </c>
      <c r="D47">
        <v>-4.745144845423948E-2</v>
      </c>
      <c r="E47">
        <v>-1.601859968099857E-3</v>
      </c>
      <c r="F47">
        <v>-0.18937456526987273</v>
      </c>
      <c r="G47">
        <v>-8.5485134692323272E-2</v>
      </c>
      <c r="H47">
        <v>-7.4139307177988251E-2</v>
      </c>
      <c r="I47">
        <v>-3.9094522285600057E-2</v>
      </c>
      <c r="J47">
        <v>-0.16343979419382684</v>
      </c>
      <c r="K47">
        <v>1.3951403826379237E-2</v>
      </c>
      <c r="L47">
        <v>-1.3104414387557451E-2</v>
      </c>
      <c r="M47">
        <v>-5.4607277976832014E-2</v>
      </c>
      <c r="N47">
        <v>-0.23149741080286418</v>
      </c>
      <c r="O47">
        <v>-0.23627701207843113</v>
      </c>
      <c r="P47">
        <v>0.10384847757420221</v>
      </c>
      <c r="Q47">
        <v>-5.2301549465908384E-2</v>
      </c>
      <c r="R47">
        <v>-4.1171728107784057E-2</v>
      </c>
      <c r="S47">
        <v>1.8884995520253491E-2</v>
      </c>
      <c r="T47">
        <v>0.20668412422439056</v>
      </c>
      <c r="U47">
        <v>6.2919457249419695E-3</v>
      </c>
      <c r="V47">
        <v>8.9074088597073428E-2</v>
      </c>
      <c r="W47">
        <v>7.9318333455721299E-2</v>
      </c>
      <c r="X47">
        <v>-0.13708208897571966</v>
      </c>
      <c r="Y47">
        <v>-8.93851004574466E-3</v>
      </c>
      <c r="Z47">
        <v>0.38626737100698633</v>
      </c>
      <c r="AA47">
        <v>0.31532959471004501</v>
      </c>
      <c r="AB47">
        <v>3.4475746356308686E-2</v>
      </c>
      <c r="AC47">
        <v>0.16780435673722269</v>
      </c>
      <c r="AD47">
        <v>1.9318794824830818E-2</v>
      </c>
      <c r="AE47">
        <v>-2.640525764786765E-2</v>
      </c>
      <c r="AF47">
        <v>-3.2578191439576E-2</v>
      </c>
      <c r="AG47">
        <v>4.8178249351264489E-2</v>
      </c>
      <c r="AH47">
        <v>0.17179070904328506</v>
      </c>
      <c r="AI47">
        <v>-0.26320162495619642</v>
      </c>
      <c r="AJ47">
        <v>-0.36766601787648984</v>
      </c>
      <c r="AK47">
        <v>-0.40326734489946781</v>
      </c>
      <c r="AL47">
        <v>-9.8349831485554359E-2</v>
      </c>
      <c r="AM47">
        <v>-9.0491810932413666E-2</v>
      </c>
      <c r="AN47">
        <v>-8.6173831428661019E-3</v>
      </c>
      <c r="AP47">
        <f t="shared" si="2"/>
        <v>1.0000000042863189</v>
      </c>
      <c r="AQ47">
        <f t="shared" si="3"/>
        <v>1.0000000021431594</v>
      </c>
      <c r="AS47">
        <f t="shared" si="13"/>
        <v>6.3774340499637939E-4</v>
      </c>
      <c r="AT47">
        <f t="shared" si="13"/>
        <v>0.14029894866203096</v>
      </c>
      <c r="AU47">
        <f t="shared" si="13"/>
        <v>-4.745144835254346E-2</v>
      </c>
      <c r="AV47">
        <f t="shared" si="13"/>
        <v>-1.6018599646668158E-3</v>
      </c>
      <c r="AW47">
        <f t="shared" si="13"/>
        <v>-0.18937456486401286</v>
      </c>
      <c r="AX47">
        <f t="shared" si="13"/>
        <v>-8.5485134509115004E-2</v>
      </c>
      <c r="AY47">
        <f t="shared" si="13"/>
        <v>-7.4139307019095893E-2</v>
      </c>
      <c r="AZ47">
        <f t="shared" si="13"/>
        <v>-3.9094522201814266E-2</v>
      </c>
      <c r="BA47">
        <f t="shared" si="13"/>
        <v>-0.16343979384354931</v>
      </c>
      <c r="BB47">
        <f t="shared" si="12"/>
        <v>1.3951403796479155E-2</v>
      </c>
      <c r="BC47">
        <f t="shared" si="12"/>
        <v>-1.3104414359472603E-2</v>
      </c>
      <c r="BD47">
        <f t="shared" si="12"/>
        <v>-5.4607277859799914E-2</v>
      </c>
      <c r="BE47">
        <f t="shared" si="12"/>
        <v>-0.23149741030672832</v>
      </c>
      <c r="BF47">
        <f t="shared" si="12"/>
        <v>-0.23627701157205183</v>
      </c>
      <c r="BG47">
        <f t="shared" si="12"/>
        <v>0.10384847735163837</v>
      </c>
      <c r="BH47">
        <f t="shared" si="12"/>
        <v>-5.2301549353817825E-2</v>
      </c>
      <c r="BI47">
        <f t="shared" si="12"/>
        <v>-4.117172801954648E-2</v>
      </c>
      <c r="BJ47">
        <f t="shared" si="12"/>
        <v>1.8884995479779936E-2</v>
      </c>
      <c r="BK47">
        <f t="shared" si="12"/>
        <v>0.20668412378143353</v>
      </c>
      <c r="BL47">
        <f t="shared" si="14"/>
        <v>6.2919457114573264E-3</v>
      </c>
      <c r="BM47">
        <f t="shared" si="14"/>
        <v>8.9074088406173452E-2</v>
      </c>
      <c r="BN47">
        <f t="shared" si="14"/>
        <v>7.9318333285729459E-2</v>
      </c>
      <c r="BO47">
        <f t="shared" si="14"/>
        <v>-0.13708208868193089</v>
      </c>
      <c r="BP47">
        <f t="shared" si="14"/>
        <v>-8.938510026588008E-3</v>
      </c>
      <c r="BQ47">
        <f t="shared" si="14"/>
        <v>0.38626737017915375</v>
      </c>
      <c r="BR47">
        <f t="shared" si="14"/>
        <v>0.31532959403424343</v>
      </c>
      <c r="BS47">
        <f t="shared" si="14"/>
        <v>3.4475746282421664E-2</v>
      </c>
      <c r="BT47">
        <f t="shared" si="14"/>
        <v>0.1678043563775912</v>
      </c>
      <c r="BU47">
        <f t="shared" si="14"/>
        <v>1.9318794783427563E-2</v>
      </c>
      <c r="BV47">
        <f t="shared" si="14"/>
        <v>-2.6405257591276973E-2</v>
      </c>
      <c r="BW47">
        <f t="shared" si="15"/>
        <v>-3.2578191369755739E-2</v>
      </c>
      <c r="BX47">
        <f t="shared" si="15"/>
        <v>4.817824924801082E-2</v>
      </c>
      <c r="BY47">
        <f t="shared" si="15"/>
        <v>0.17179070867511018</v>
      </c>
      <c r="BZ47">
        <f t="shared" si="15"/>
        <v>-0.26320162439211336</v>
      </c>
      <c r="CA47">
        <f t="shared" si="15"/>
        <v>-0.36766601708852292</v>
      </c>
      <c r="CB47">
        <f t="shared" si="15"/>
        <v>-0.40326734403520159</v>
      </c>
      <c r="CC47">
        <f t="shared" si="15"/>
        <v>-9.8349831274774993E-2</v>
      </c>
      <c r="CD47">
        <f t="shared" si="15"/>
        <v>-9.0491810738475287E-2</v>
      </c>
      <c r="CE47">
        <f t="shared" si="15"/>
        <v>-8.6173831243976755E-3</v>
      </c>
      <c r="CG47">
        <f t="shared" si="5"/>
        <v>1.0000000000000002</v>
      </c>
      <c r="CH47">
        <f t="shared" si="6"/>
        <v>1</v>
      </c>
      <c r="CJ47">
        <f t="shared" si="7"/>
        <v>-0.13834899567800585</v>
      </c>
      <c r="CL47">
        <f>SUMPRODUCT(AS47:CE47,Dimorfismo!AS47:CE47)</f>
        <v>0.22757668992827323</v>
      </c>
      <c r="CM47">
        <f t="shared" si="8"/>
        <v>0.22757668992827323</v>
      </c>
      <c r="CN47">
        <f t="shared" si="9"/>
        <v>0.23163230269066021</v>
      </c>
    </row>
    <row r="48" spans="1:92" x14ac:dyDescent="0.25">
      <c r="A48" t="s">
        <v>49</v>
      </c>
      <c r="B48">
        <v>6.377434063631652E-4</v>
      </c>
      <c r="C48">
        <v>0.14029894896271397</v>
      </c>
      <c r="D48">
        <v>-4.745144845423948E-2</v>
      </c>
      <c r="E48">
        <v>-1.601859968099857E-3</v>
      </c>
      <c r="F48">
        <v>-0.18937456526987273</v>
      </c>
      <c r="G48">
        <v>-8.5485134692323272E-2</v>
      </c>
      <c r="H48">
        <v>-7.4139307177988251E-2</v>
      </c>
      <c r="I48">
        <v>-3.9094522285600057E-2</v>
      </c>
      <c r="J48">
        <v>-0.16343979419382684</v>
      </c>
      <c r="K48">
        <v>1.3951403826379237E-2</v>
      </c>
      <c r="L48">
        <v>-1.3104414387557451E-2</v>
      </c>
      <c r="M48">
        <v>-5.4607277976832014E-2</v>
      </c>
      <c r="N48">
        <v>-0.23149741080286418</v>
      </c>
      <c r="O48">
        <v>-0.23627701207843113</v>
      </c>
      <c r="P48">
        <v>0.10384847757420221</v>
      </c>
      <c r="Q48">
        <v>-5.2301549465908384E-2</v>
      </c>
      <c r="R48">
        <v>-4.1171728107784057E-2</v>
      </c>
      <c r="S48">
        <v>1.8884995520253491E-2</v>
      </c>
      <c r="T48">
        <v>0.20668412422439056</v>
      </c>
      <c r="U48">
        <v>6.2919457249419695E-3</v>
      </c>
      <c r="V48">
        <v>8.9074088597073428E-2</v>
      </c>
      <c r="W48">
        <v>7.9318333455721299E-2</v>
      </c>
      <c r="X48">
        <v>-0.13708208897571966</v>
      </c>
      <c r="Y48">
        <v>-8.93851004574466E-3</v>
      </c>
      <c r="Z48">
        <v>0.38626737100698633</v>
      </c>
      <c r="AA48">
        <v>0.31532959471004501</v>
      </c>
      <c r="AB48">
        <v>3.4475746356308686E-2</v>
      </c>
      <c r="AC48">
        <v>0.16780435673722269</v>
      </c>
      <c r="AD48">
        <v>1.9318794824830818E-2</v>
      </c>
      <c r="AE48">
        <v>-2.640525764786765E-2</v>
      </c>
      <c r="AF48">
        <v>-3.2578191439576E-2</v>
      </c>
      <c r="AG48">
        <v>4.8178249351264489E-2</v>
      </c>
      <c r="AH48">
        <v>0.17179070904328506</v>
      </c>
      <c r="AI48">
        <v>-0.26320162495619642</v>
      </c>
      <c r="AJ48">
        <v>-0.36766601787648984</v>
      </c>
      <c r="AK48">
        <v>-0.40326734489946781</v>
      </c>
      <c r="AL48">
        <v>-9.8349831485554359E-2</v>
      </c>
      <c r="AM48">
        <v>-9.0491810932413666E-2</v>
      </c>
      <c r="AN48">
        <v>-8.6173831428661019E-3</v>
      </c>
      <c r="AP48">
        <f t="shared" si="2"/>
        <v>1.0000000042863189</v>
      </c>
      <c r="AQ48">
        <f t="shared" si="3"/>
        <v>1.0000000021431594</v>
      </c>
      <c r="AS48">
        <f t="shared" si="13"/>
        <v>6.3774340499637939E-4</v>
      </c>
      <c r="AT48">
        <f t="shared" si="13"/>
        <v>0.14029894866203096</v>
      </c>
      <c r="AU48">
        <f t="shared" si="13"/>
        <v>-4.745144835254346E-2</v>
      </c>
      <c r="AV48">
        <f t="shared" si="13"/>
        <v>-1.6018599646668158E-3</v>
      </c>
      <c r="AW48">
        <f t="shared" si="13"/>
        <v>-0.18937456486401286</v>
      </c>
      <c r="AX48">
        <f t="shared" si="13"/>
        <v>-8.5485134509115004E-2</v>
      </c>
      <c r="AY48">
        <f t="shared" si="13"/>
        <v>-7.4139307019095893E-2</v>
      </c>
      <c r="AZ48">
        <f t="shared" si="13"/>
        <v>-3.9094522201814266E-2</v>
      </c>
      <c r="BA48">
        <f t="shared" si="13"/>
        <v>-0.16343979384354931</v>
      </c>
      <c r="BB48">
        <f t="shared" si="12"/>
        <v>1.3951403796479155E-2</v>
      </c>
      <c r="BC48">
        <f t="shared" si="12"/>
        <v>-1.3104414359472603E-2</v>
      </c>
      <c r="BD48">
        <f t="shared" si="12"/>
        <v>-5.4607277859799914E-2</v>
      </c>
      <c r="BE48">
        <f t="shared" si="12"/>
        <v>-0.23149741030672832</v>
      </c>
      <c r="BF48">
        <f t="shared" si="12"/>
        <v>-0.23627701157205183</v>
      </c>
      <c r="BG48">
        <f t="shared" si="12"/>
        <v>0.10384847735163837</v>
      </c>
      <c r="BH48">
        <f t="shared" si="12"/>
        <v>-5.2301549353817825E-2</v>
      </c>
      <c r="BI48">
        <f t="shared" si="12"/>
        <v>-4.117172801954648E-2</v>
      </c>
      <c r="BJ48">
        <f t="shared" si="12"/>
        <v>1.8884995479779936E-2</v>
      </c>
      <c r="BK48">
        <f t="shared" si="12"/>
        <v>0.20668412378143353</v>
      </c>
      <c r="BL48">
        <f t="shared" si="14"/>
        <v>6.2919457114573264E-3</v>
      </c>
      <c r="BM48">
        <f t="shared" si="14"/>
        <v>8.9074088406173452E-2</v>
      </c>
      <c r="BN48">
        <f t="shared" si="14"/>
        <v>7.9318333285729459E-2</v>
      </c>
      <c r="BO48">
        <f t="shared" si="14"/>
        <v>-0.13708208868193089</v>
      </c>
      <c r="BP48">
        <f t="shared" si="14"/>
        <v>-8.938510026588008E-3</v>
      </c>
      <c r="BQ48">
        <f t="shared" si="14"/>
        <v>0.38626737017915375</v>
      </c>
      <c r="BR48">
        <f t="shared" si="14"/>
        <v>0.31532959403424343</v>
      </c>
      <c r="BS48">
        <f t="shared" si="14"/>
        <v>3.4475746282421664E-2</v>
      </c>
      <c r="BT48">
        <f t="shared" si="14"/>
        <v>0.1678043563775912</v>
      </c>
      <c r="BU48">
        <f t="shared" si="14"/>
        <v>1.9318794783427563E-2</v>
      </c>
      <c r="BV48">
        <f t="shared" si="14"/>
        <v>-2.6405257591276973E-2</v>
      </c>
      <c r="BW48">
        <f t="shared" si="15"/>
        <v>-3.2578191369755739E-2</v>
      </c>
      <c r="BX48">
        <f t="shared" si="15"/>
        <v>4.817824924801082E-2</v>
      </c>
      <c r="BY48">
        <f t="shared" si="15"/>
        <v>0.17179070867511018</v>
      </c>
      <c r="BZ48">
        <f t="shared" si="15"/>
        <v>-0.26320162439211336</v>
      </c>
      <c r="CA48">
        <f t="shared" si="15"/>
        <v>-0.36766601708852292</v>
      </c>
      <c r="CB48">
        <f t="shared" si="15"/>
        <v>-0.40326734403520159</v>
      </c>
      <c r="CC48">
        <f t="shared" si="15"/>
        <v>-9.8349831274774993E-2</v>
      </c>
      <c r="CD48">
        <f t="shared" si="15"/>
        <v>-9.0491810738475287E-2</v>
      </c>
      <c r="CE48">
        <f t="shared" si="15"/>
        <v>-8.6173831243976755E-3</v>
      </c>
      <c r="CG48">
        <f t="shared" si="5"/>
        <v>1.0000000000000002</v>
      </c>
      <c r="CH48">
        <f t="shared" si="6"/>
        <v>1</v>
      </c>
      <c r="CJ48">
        <f t="shared" si="7"/>
        <v>-0.13834899567800585</v>
      </c>
      <c r="CL48">
        <f>SUMPRODUCT(AS48:CE48,Dimorfismo!AS48:CE48)</f>
        <v>-0.1305211448233855</v>
      </c>
      <c r="CM48">
        <f t="shared" si="8"/>
        <v>0.1305211448233855</v>
      </c>
      <c r="CN48">
        <f t="shared" si="9"/>
        <v>0.13126999018611746</v>
      </c>
    </row>
    <row r="49" spans="1:92" x14ac:dyDescent="0.25">
      <c r="A49" t="s">
        <v>50</v>
      </c>
      <c r="B49">
        <v>6.377434063631652E-4</v>
      </c>
      <c r="C49">
        <v>0.14029894896271397</v>
      </c>
      <c r="D49">
        <v>-4.745144845423948E-2</v>
      </c>
      <c r="E49">
        <v>-1.601859968099857E-3</v>
      </c>
      <c r="F49">
        <v>-0.18937456526987273</v>
      </c>
      <c r="G49">
        <v>-8.5485134692323272E-2</v>
      </c>
      <c r="H49">
        <v>-7.4139307177988251E-2</v>
      </c>
      <c r="I49">
        <v>-3.9094522285600057E-2</v>
      </c>
      <c r="J49">
        <v>-0.16343979419382684</v>
      </c>
      <c r="K49">
        <v>1.3951403826379237E-2</v>
      </c>
      <c r="L49">
        <v>-1.3104414387557451E-2</v>
      </c>
      <c r="M49">
        <v>-5.4607277976832014E-2</v>
      </c>
      <c r="N49">
        <v>-0.23149741080286418</v>
      </c>
      <c r="O49">
        <v>-0.23627701207843113</v>
      </c>
      <c r="P49">
        <v>0.10384847757420221</v>
      </c>
      <c r="Q49">
        <v>-5.2301549465908384E-2</v>
      </c>
      <c r="R49">
        <v>-4.1171728107784057E-2</v>
      </c>
      <c r="S49">
        <v>1.8884995520253491E-2</v>
      </c>
      <c r="T49">
        <v>0.20668412422439056</v>
      </c>
      <c r="U49">
        <v>6.2919457249419695E-3</v>
      </c>
      <c r="V49">
        <v>8.9074088597073428E-2</v>
      </c>
      <c r="W49">
        <v>7.9318333455721299E-2</v>
      </c>
      <c r="X49">
        <v>-0.13708208897571966</v>
      </c>
      <c r="Y49">
        <v>-8.93851004574466E-3</v>
      </c>
      <c r="Z49">
        <v>0.38626737100698633</v>
      </c>
      <c r="AA49">
        <v>0.31532959471004501</v>
      </c>
      <c r="AB49">
        <v>3.4475746356308686E-2</v>
      </c>
      <c r="AC49">
        <v>0.16780435673722269</v>
      </c>
      <c r="AD49">
        <v>1.9318794824830818E-2</v>
      </c>
      <c r="AE49">
        <v>-2.640525764786765E-2</v>
      </c>
      <c r="AF49">
        <v>-3.2578191439576E-2</v>
      </c>
      <c r="AG49">
        <v>4.8178249351264489E-2</v>
      </c>
      <c r="AH49">
        <v>0.17179070904328506</v>
      </c>
      <c r="AI49">
        <v>-0.26320162495619642</v>
      </c>
      <c r="AJ49">
        <v>-0.36766601787648984</v>
      </c>
      <c r="AK49">
        <v>-0.40326734489946781</v>
      </c>
      <c r="AL49">
        <v>-9.8349831485554359E-2</v>
      </c>
      <c r="AM49">
        <v>-9.0491810932413666E-2</v>
      </c>
      <c r="AN49">
        <v>-8.6173831428661019E-3</v>
      </c>
      <c r="AP49">
        <f t="shared" si="2"/>
        <v>1.0000000042863189</v>
      </c>
      <c r="AQ49">
        <f t="shared" si="3"/>
        <v>1.0000000021431594</v>
      </c>
      <c r="AS49">
        <f t="shared" si="13"/>
        <v>6.3774340499637939E-4</v>
      </c>
      <c r="AT49">
        <f t="shared" si="13"/>
        <v>0.14029894866203096</v>
      </c>
      <c r="AU49">
        <f t="shared" si="13"/>
        <v>-4.745144835254346E-2</v>
      </c>
      <c r="AV49">
        <f t="shared" si="13"/>
        <v>-1.6018599646668158E-3</v>
      </c>
      <c r="AW49">
        <f t="shared" si="13"/>
        <v>-0.18937456486401286</v>
      </c>
      <c r="AX49">
        <f t="shared" si="13"/>
        <v>-8.5485134509115004E-2</v>
      </c>
      <c r="AY49">
        <f t="shared" si="13"/>
        <v>-7.4139307019095893E-2</v>
      </c>
      <c r="AZ49">
        <f t="shared" si="13"/>
        <v>-3.9094522201814266E-2</v>
      </c>
      <c r="BA49">
        <f t="shared" si="13"/>
        <v>-0.16343979384354931</v>
      </c>
      <c r="BB49">
        <f t="shared" si="12"/>
        <v>1.3951403796479155E-2</v>
      </c>
      <c r="BC49">
        <f t="shared" si="12"/>
        <v>-1.3104414359472603E-2</v>
      </c>
      <c r="BD49">
        <f t="shared" si="12"/>
        <v>-5.4607277859799914E-2</v>
      </c>
      <c r="BE49">
        <f t="shared" si="12"/>
        <v>-0.23149741030672832</v>
      </c>
      <c r="BF49">
        <f t="shared" si="12"/>
        <v>-0.23627701157205183</v>
      </c>
      <c r="BG49">
        <f t="shared" si="12"/>
        <v>0.10384847735163837</v>
      </c>
      <c r="BH49">
        <f t="shared" si="12"/>
        <v>-5.2301549353817825E-2</v>
      </c>
      <c r="BI49">
        <f t="shared" si="12"/>
        <v>-4.117172801954648E-2</v>
      </c>
      <c r="BJ49">
        <f t="shared" si="12"/>
        <v>1.8884995479779936E-2</v>
      </c>
      <c r="BK49">
        <f t="shared" si="12"/>
        <v>0.20668412378143353</v>
      </c>
      <c r="BL49">
        <f t="shared" si="14"/>
        <v>6.2919457114573264E-3</v>
      </c>
      <c r="BM49">
        <f t="shared" si="14"/>
        <v>8.9074088406173452E-2</v>
      </c>
      <c r="BN49">
        <f t="shared" si="14"/>
        <v>7.9318333285729459E-2</v>
      </c>
      <c r="BO49">
        <f t="shared" si="14"/>
        <v>-0.13708208868193089</v>
      </c>
      <c r="BP49">
        <f t="shared" si="14"/>
        <v>-8.938510026588008E-3</v>
      </c>
      <c r="BQ49">
        <f t="shared" si="14"/>
        <v>0.38626737017915375</v>
      </c>
      <c r="BR49">
        <f t="shared" si="14"/>
        <v>0.31532959403424343</v>
      </c>
      <c r="BS49">
        <f t="shared" si="14"/>
        <v>3.4475746282421664E-2</v>
      </c>
      <c r="BT49">
        <f t="shared" si="14"/>
        <v>0.1678043563775912</v>
      </c>
      <c r="BU49">
        <f t="shared" si="14"/>
        <v>1.9318794783427563E-2</v>
      </c>
      <c r="BV49">
        <f t="shared" si="14"/>
        <v>-2.6405257591276973E-2</v>
      </c>
      <c r="BW49">
        <f t="shared" si="15"/>
        <v>-3.2578191369755739E-2</v>
      </c>
      <c r="BX49">
        <f t="shared" si="15"/>
        <v>4.817824924801082E-2</v>
      </c>
      <c r="BY49">
        <f t="shared" si="15"/>
        <v>0.17179070867511018</v>
      </c>
      <c r="BZ49">
        <f t="shared" si="15"/>
        <v>-0.26320162439211336</v>
      </c>
      <c r="CA49">
        <f t="shared" si="15"/>
        <v>-0.36766601708852292</v>
      </c>
      <c r="CB49">
        <f t="shared" si="15"/>
        <v>-0.40326734403520159</v>
      </c>
      <c r="CC49">
        <f t="shared" si="15"/>
        <v>-9.8349831274774993E-2</v>
      </c>
      <c r="CD49">
        <f t="shared" si="15"/>
        <v>-9.0491810738475287E-2</v>
      </c>
      <c r="CE49">
        <f t="shared" si="15"/>
        <v>-8.6173831243976755E-3</v>
      </c>
      <c r="CG49">
        <f t="shared" si="5"/>
        <v>1.0000000000000002</v>
      </c>
      <c r="CH49">
        <f t="shared" si="6"/>
        <v>1</v>
      </c>
      <c r="CJ49">
        <f t="shared" si="7"/>
        <v>-0.13834899567800585</v>
      </c>
      <c r="CL49">
        <f>SUMPRODUCT(AS49:CE49,Dimorfismo!AS49:CE49)</f>
        <v>-0.11406931266973121</v>
      </c>
      <c r="CM49">
        <f t="shared" si="8"/>
        <v>0.11406931266973121</v>
      </c>
      <c r="CN49">
        <f t="shared" si="9"/>
        <v>0.11456796082135944</v>
      </c>
    </row>
    <row r="50" spans="1:92" x14ac:dyDescent="0.25">
      <c r="A50" t="s">
        <v>51</v>
      </c>
      <c r="B50">
        <v>6.377434063631652E-4</v>
      </c>
      <c r="C50">
        <v>0.14029894896271397</v>
      </c>
      <c r="D50">
        <v>-4.745144845423948E-2</v>
      </c>
      <c r="E50">
        <v>-1.601859968099857E-3</v>
      </c>
      <c r="F50">
        <v>-0.18937456526987273</v>
      </c>
      <c r="G50">
        <v>-8.5485134692323272E-2</v>
      </c>
      <c r="H50">
        <v>-7.4139307177988251E-2</v>
      </c>
      <c r="I50">
        <v>-3.9094522285600057E-2</v>
      </c>
      <c r="J50">
        <v>-0.16343979419382684</v>
      </c>
      <c r="K50">
        <v>1.3951403826379237E-2</v>
      </c>
      <c r="L50">
        <v>-1.3104414387557451E-2</v>
      </c>
      <c r="M50">
        <v>-5.4607277976832014E-2</v>
      </c>
      <c r="N50">
        <v>-0.23149741080286418</v>
      </c>
      <c r="O50">
        <v>-0.23627701207843113</v>
      </c>
      <c r="P50">
        <v>0.10384847757420221</v>
      </c>
      <c r="Q50">
        <v>-5.2301549465908384E-2</v>
      </c>
      <c r="R50">
        <v>-4.1171728107784057E-2</v>
      </c>
      <c r="S50">
        <v>1.8884995520253491E-2</v>
      </c>
      <c r="T50">
        <v>0.20668412422439056</v>
      </c>
      <c r="U50">
        <v>6.2919457249419695E-3</v>
      </c>
      <c r="V50">
        <v>8.9074088597073428E-2</v>
      </c>
      <c r="W50">
        <v>7.9318333455721299E-2</v>
      </c>
      <c r="X50">
        <v>-0.13708208897571966</v>
      </c>
      <c r="Y50">
        <v>-8.93851004574466E-3</v>
      </c>
      <c r="Z50">
        <v>0.38626737100698633</v>
      </c>
      <c r="AA50">
        <v>0.31532959471004501</v>
      </c>
      <c r="AB50">
        <v>3.4475746356308686E-2</v>
      </c>
      <c r="AC50">
        <v>0.16780435673722269</v>
      </c>
      <c r="AD50">
        <v>1.9318794824830818E-2</v>
      </c>
      <c r="AE50">
        <v>-2.640525764786765E-2</v>
      </c>
      <c r="AF50">
        <v>-3.2578191439576E-2</v>
      </c>
      <c r="AG50">
        <v>4.8178249351264489E-2</v>
      </c>
      <c r="AH50">
        <v>0.17179070904328506</v>
      </c>
      <c r="AI50">
        <v>-0.26320162495619642</v>
      </c>
      <c r="AJ50">
        <v>-0.36766601787648984</v>
      </c>
      <c r="AK50">
        <v>-0.40326734489946781</v>
      </c>
      <c r="AL50">
        <v>-9.8349831485554359E-2</v>
      </c>
      <c r="AM50">
        <v>-9.0491810932413666E-2</v>
      </c>
      <c r="AN50">
        <v>-8.6173831428661019E-3</v>
      </c>
      <c r="AP50">
        <f t="shared" si="2"/>
        <v>1.0000000042863189</v>
      </c>
      <c r="AQ50">
        <f t="shared" si="3"/>
        <v>1.0000000021431594</v>
      </c>
      <c r="AS50">
        <f t="shared" si="13"/>
        <v>6.3774340499637939E-4</v>
      </c>
      <c r="AT50">
        <f t="shared" si="13"/>
        <v>0.14029894866203096</v>
      </c>
      <c r="AU50">
        <f t="shared" si="13"/>
        <v>-4.745144835254346E-2</v>
      </c>
      <c r="AV50">
        <f t="shared" si="13"/>
        <v>-1.6018599646668158E-3</v>
      </c>
      <c r="AW50">
        <f t="shared" si="13"/>
        <v>-0.18937456486401286</v>
      </c>
      <c r="AX50">
        <f t="shared" si="13"/>
        <v>-8.5485134509115004E-2</v>
      </c>
      <c r="AY50">
        <f t="shared" si="13"/>
        <v>-7.4139307019095893E-2</v>
      </c>
      <c r="AZ50">
        <f t="shared" si="13"/>
        <v>-3.9094522201814266E-2</v>
      </c>
      <c r="BA50">
        <f t="shared" si="13"/>
        <v>-0.16343979384354931</v>
      </c>
      <c r="BB50">
        <f t="shared" si="12"/>
        <v>1.3951403796479155E-2</v>
      </c>
      <c r="BC50">
        <f t="shared" si="12"/>
        <v>-1.3104414359472603E-2</v>
      </c>
      <c r="BD50">
        <f t="shared" si="12"/>
        <v>-5.4607277859799914E-2</v>
      </c>
      <c r="BE50">
        <f t="shared" si="12"/>
        <v>-0.23149741030672832</v>
      </c>
      <c r="BF50">
        <f t="shared" si="12"/>
        <v>-0.23627701157205183</v>
      </c>
      <c r="BG50">
        <f t="shared" si="12"/>
        <v>0.10384847735163837</v>
      </c>
      <c r="BH50">
        <f t="shared" si="12"/>
        <v>-5.2301549353817825E-2</v>
      </c>
      <c r="BI50">
        <f t="shared" si="12"/>
        <v>-4.117172801954648E-2</v>
      </c>
      <c r="BJ50">
        <f t="shared" si="12"/>
        <v>1.8884995479779936E-2</v>
      </c>
      <c r="BK50">
        <f t="shared" si="12"/>
        <v>0.20668412378143353</v>
      </c>
      <c r="BL50">
        <f t="shared" si="14"/>
        <v>6.2919457114573264E-3</v>
      </c>
      <c r="BM50">
        <f t="shared" si="14"/>
        <v>8.9074088406173452E-2</v>
      </c>
      <c r="BN50">
        <f t="shared" si="14"/>
        <v>7.9318333285729459E-2</v>
      </c>
      <c r="BO50">
        <f t="shared" si="14"/>
        <v>-0.13708208868193089</v>
      </c>
      <c r="BP50">
        <f t="shared" si="14"/>
        <v>-8.938510026588008E-3</v>
      </c>
      <c r="BQ50">
        <f t="shared" si="14"/>
        <v>0.38626737017915375</v>
      </c>
      <c r="BR50">
        <f t="shared" si="14"/>
        <v>0.31532959403424343</v>
      </c>
      <c r="BS50">
        <f t="shared" si="14"/>
        <v>3.4475746282421664E-2</v>
      </c>
      <c r="BT50">
        <f t="shared" si="14"/>
        <v>0.1678043563775912</v>
      </c>
      <c r="BU50">
        <f t="shared" si="14"/>
        <v>1.9318794783427563E-2</v>
      </c>
      <c r="BV50">
        <f t="shared" si="14"/>
        <v>-2.6405257591276973E-2</v>
      </c>
      <c r="BW50">
        <f t="shared" si="15"/>
        <v>-3.2578191369755739E-2</v>
      </c>
      <c r="BX50">
        <f t="shared" si="15"/>
        <v>4.817824924801082E-2</v>
      </c>
      <c r="BY50">
        <f t="shared" si="15"/>
        <v>0.17179070867511018</v>
      </c>
      <c r="BZ50">
        <f t="shared" si="15"/>
        <v>-0.26320162439211336</v>
      </c>
      <c r="CA50">
        <f t="shared" si="15"/>
        <v>-0.36766601708852292</v>
      </c>
      <c r="CB50">
        <f t="shared" si="15"/>
        <v>-0.40326734403520159</v>
      </c>
      <c r="CC50">
        <f t="shared" si="15"/>
        <v>-9.8349831274774993E-2</v>
      </c>
      <c r="CD50">
        <f t="shared" si="15"/>
        <v>-9.0491810738475287E-2</v>
      </c>
      <c r="CE50">
        <f t="shared" si="15"/>
        <v>-8.6173831243976755E-3</v>
      </c>
      <c r="CG50">
        <f t="shared" si="5"/>
        <v>1.0000000000000002</v>
      </c>
      <c r="CH50">
        <f t="shared" si="6"/>
        <v>1</v>
      </c>
      <c r="CJ50">
        <f t="shared" si="7"/>
        <v>-0.13834899567800585</v>
      </c>
      <c r="CL50">
        <f>SUMPRODUCT(AS50:CE50,Dimorfismo!AS50:CE50)</f>
        <v>0.17709623943971559</v>
      </c>
      <c r="CM50">
        <f t="shared" si="8"/>
        <v>0.17709623943971559</v>
      </c>
      <c r="CN50">
        <f t="shared" si="9"/>
        <v>0.17898330707886703</v>
      </c>
    </row>
    <row r="51" spans="1:92" x14ac:dyDescent="0.25">
      <c r="A51" t="s">
        <v>52</v>
      </c>
      <c r="B51">
        <v>6.377434063631652E-4</v>
      </c>
      <c r="C51">
        <v>0.14029894896271397</v>
      </c>
      <c r="D51">
        <v>-4.745144845423948E-2</v>
      </c>
      <c r="E51">
        <v>-1.601859968099857E-3</v>
      </c>
      <c r="F51">
        <v>-0.18937456526987273</v>
      </c>
      <c r="G51">
        <v>-8.5485134692323272E-2</v>
      </c>
      <c r="H51">
        <v>-7.4139307177988251E-2</v>
      </c>
      <c r="I51">
        <v>-3.9094522285600057E-2</v>
      </c>
      <c r="J51">
        <v>-0.16343979419382684</v>
      </c>
      <c r="K51">
        <v>1.3951403826379237E-2</v>
      </c>
      <c r="L51">
        <v>-1.3104414387557451E-2</v>
      </c>
      <c r="M51">
        <v>-5.4607277976832014E-2</v>
      </c>
      <c r="N51">
        <v>-0.23149741080286418</v>
      </c>
      <c r="O51">
        <v>-0.23627701207843113</v>
      </c>
      <c r="P51">
        <v>0.10384847757420221</v>
      </c>
      <c r="Q51">
        <v>-5.2301549465908384E-2</v>
      </c>
      <c r="R51">
        <v>-4.1171728107784057E-2</v>
      </c>
      <c r="S51">
        <v>1.8884995520253491E-2</v>
      </c>
      <c r="T51">
        <v>0.20668412422439056</v>
      </c>
      <c r="U51">
        <v>6.2919457249419695E-3</v>
      </c>
      <c r="V51">
        <v>8.9074088597073428E-2</v>
      </c>
      <c r="W51">
        <v>7.9318333455721299E-2</v>
      </c>
      <c r="X51">
        <v>-0.13708208897571966</v>
      </c>
      <c r="Y51">
        <v>-8.93851004574466E-3</v>
      </c>
      <c r="Z51">
        <v>0.38626737100698633</v>
      </c>
      <c r="AA51">
        <v>0.31532959471004501</v>
      </c>
      <c r="AB51">
        <v>3.4475746356308686E-2</v>
      </c>
      <c r="AC51">
        <v>0.16780435673722269</v>
      </c>
      <c r="AD51">
        <v>1.9318794824830818E-2</v>
      </c>
      <c r="AE51">
        <v>-2.640525764786765E-2</v>
      </c>
      <c r="AF51">
        <v>-3.2578191439576E-2</v>
      </c>
      <c r="AG51">
        <v>4.8178249351264489E-2</v>
      </c>
      <c r="AH51">
        <v>0.17179070904328506</v>
      </c>
      <c r="AI51">
        <v>-0.26320162495619642</v>
      </c>
      <c r="AJ51">
        <v>-0.36766601787648984</v>
      </c>
      <c r="AK51">
        <v>-0.40326734489946781</v>
      </c>
      <c r="AL51">
        <v>-9.8349831485554359E-2</v>
      </c>
      <c r="AM51">
        <v>-9.0491810932413666E-2</v>
      </c>
      <c r="AN51">
        <v>-8.6173831428661019E-3</v>
      </c>
      <c r="AP51">
        <f t="shared" si="2"/>
        <v>1.0000000042863189</v>
      </c>
      <c r="AQ51">
        <f t="shared" si="3"/>
        <v>1.0000000021431594</v>
      </c>
      <c r="AS51">
        <f t="shared" si="13"/>
        <v>6.3774340499637939E-4</v>
      </c>
      <c r="AT51">
        <f t="shared" si="13"/>
        <v>0.14029894866203096</v>
      </c>
      <c r="AU51">
        <f t="shared" si="13"/>
        <v>-4.745144835254346E-2</v>
      </c>
      <c r="AV51">
        <f t="shared" si="13"/>
        <v>-1.6018599646668158E-3</v>
      </c>
      <c r="AW51">
        <f t="shared" si="13"/>
        <v>-0.18937456486401286</v>
      </c>
      <c r="AX51">
        <f t="shared" si="13"/>
        <v>-8.5485134509115004E-2</v>
      </c>
      <c r="AY51">
        <f t="shared" si="13"/>
        <v>-7.4139307019095893E-2</v>
      </c>
      <c r="AZ51">
        <f t="shared" si="13"/>
        <v>-3.9094522201814266E-2</v>
      </c>
      <c r="BA51">
        <f t="shared" si="13"/>
        <v>-0.16343979384354931</v>
      </c>
      <c r="BB51">
        <f t="shared" si="12"/>
        <v>1.3951403796479155E-2</v>
      </c>
      <c r="BC51">
        <f t="shared" si="12"/>
        <v>-1.3104414359472603E-2</v>
      </c>
      <c r="BD51">
        <f t="shared" si="12"/>
        <v>-5.4607277859799914E-2</v>
      </c>
      <c r="BE51">
        <f t="shared" si="12"/>
        <v>-0.23149741030672832</v>
      </c>
      <c r="BF51">
        <f t="shared" si="12"/>
        <v>-0.23627701157205183</v>
      </c>
      <c r="BG51">
        <f t="shared" si="12"/>
        <v>0.10384847735163837</v>
      </c>
      <c r="BH51">
        <f t="shared" ref="BH51:BQ65" si="16">Q51/$AQ51</f>
        <v>-5.2301549353817825E-2</v>
      </c>
      <c r="BI51">
        <f t="shared" si="16"/>
        <v>-4.117172801954648E-2</v>
      </c>
      <c r="BJ51">
        <f t="shared" si="16"/>
        <v>1.8884995479779936E-2</v>
      </c>
      <c r="BK51">
        <f t="shared" si="16"/>
        <v>0.20668412378143353</v>
      </c>
      <c r="BL51">
        <f t="shared" si="14"/>
        <v>6.2919457114573264E-3</v>
      </c>
      <c r="BM51">
        <f t="shared" si="14"/>
        <v>8.9074088406173452E-2</v>
      </c>
      <c r="BN51">
        <f t="shared" si="14"/>
        <v>7.9318333285729459E-2</v>
      </c>
      <c r="BO51">
        <f t="shared" si="14"/>
        <v>-0.13708208868193089</v>
      </c>
      <c r="BP51">
        <f t="shared" si="14"/>
        <v>-8.938510026588008E-3</v>
      </c>
      <c r="BQ51">
        <f t="shared" si="14"/>
        <v>0.38626737017915375</v>
      </c>
      <c r="BR51">
        <f t="shared" si="14"/>
        <v>0.31532959403424343</v>
      </c>
      <c r="BS51">
        <f t="shared" si="14"/>
        <v>3.4475746282421664E-2</v>
      </c>
      <c r="BT51">
        <f t="shared" si="14"/>
        <v>0.1678043563775912</v>
      </c>
      <c r="BU51">
        <f t="shared" si="14"/>
        <v>1.9318794783427563E-2</v>
      </c>
      <c r="BV51">
        <f t="shared" si="14"/>
        <v>-2.6405257591276973E-2</v>
      </c>
      <c r="BW51">
        <f t="shared" si="15"/>
        <v>-3.2578191369755739E-2</v>
      </c>
      <c r="BX51">
        <f t="shared" si="15"/>
        <v>4.817824924801082E-2</v>
      </c>
      <c r="BY51">
        <f t="shared" si="15"/>
        <v>0.17179070867511018</v>
      </c>
      <c r="BZ51">
        <f t="shared" si="15"/>
        <v>-0.26320162439211336</v>
      </c>
      <c r="CA51">
        <f t="shared" si="15"/>
        <v>-0.36766601708852292</v>
      </c>
      <c r="CB51">
        <f t="shared" si="15"/>
        <v>-0.40326734403520159</v>
      </c>
      <c r="CC51">
        <f t="shared" si="15"/>
        <v>-9.8349831274774993E-2</v>
      </c>
      <c r="CD51">
        <f t="shared" si="15"/>
        <v>-9.0491810738475287E-2</v>
      </c>
      <c r="CE51">
        <f t="shared" si="15"/>
        <v>-8.6173831243976755E-3</v>
      </c>
      <c r="CG51">
        <f t="shared" si="5"/>
        <v>1.0000000000000002</v>
      </c>
      <c r="CH51">
        <f t="shared" si="6"/>
        <v>1</v>
      </c>
      <c r="CJ51">
        <f t="shared" si="7"/>
        <v>-0.13834899567800585</v>
      </c>
      <c r="CL51">
        <f>SUMPRODUCT(AS51:CE51,Dimorfismo!AS51:CE51)</f>
        <v>0.48251148272030636</v>
      </c>
      <c r="CM51">
        <f t="shared" si="8"/>
        <v>0.48251148272030636</v>
      </c>
      <c r="CN51">
        <f t="shared" si="9"/>
        <v>0.52625277014560667</v>
      </c>
    </row>
    <row r="52" spans="1:92" x14ac:dyDescent="0.25">
      <c r="A52" t="s">
        <v>53</v>
      </c>
      <c r="B52">
        <v>6.377434063631652E-4</v>
      </c>
      <c r="C52">
        <v>0.14029894896271397</v>
      </c>
      <c r="D52">
        <v>-4.745144845423948E-2</v>
      </c>
      <c r="E52">
        <v>-1.601859968099857E-3</v>
      </c>
      <c r="F52">
        <v>-0.18937456526987273</v>
      </c>
      <c r="G52">
        <v>-8.5485134692323272E-2</v>
      </c>
      <c r="H52">
        <v>-7.4139307177988251E-2</v>
      </c>
      <c r="I52">
        <v>-3.9094522285600057E-2</v>
      </c>
      <c r="J52">
        <v>-0.16343979419382684</v>
      </c>
      <c r="K52">
        <v>1.3951403826379237E-2</v>
      </c>
      <c r="L52">
        <v>-1.3104414387557451E-2</v>
      </c>
      <c r="M52">
        <v>-5.4607277976832014E-2</v>
      </c>
      <c r="N52">
        <v>-0.23149741080286418</v>
      </c>
      <c r="O52">
        <v>-0.23627701207843113</v>
      </c>
      <c r="P52">
        <v>0.10384847757420221</v>
      </c>
      <c r="Q52">
        <v>-5.2301549465908384E-2</v>
      </c>
      <c r="R52">
        <v>-4.1171728107784057E-2</v>
      </c>
      <c r="S52">
        <v>1.8884995520253491E-2</v>
      </c>
      <c r="T52">
        <v>0.20668412422439056</v>
      </c>
      <c r="U52">
        <v>6.2919457249419695E-3</v>
      </c>
      <c r="V52">
        <v>8.9074088597073428E-2</v>
      </c>
      <c r="W52">
        <v>7.9318333455721299E-2</v>
      </c>
      <c r="X52">
        <v>-0.13708208897571966</v>
      </c>
      <c r="Y52">
        <v>-8.93851004574466E-3</v>
      </c>
      <c r="Z52">
        <v>0.38626737100698633</v>
      </c>
      <c r="AA52">
        <v>0.31532959471004501</v>
      </c>
      <c r="AB52">
        <v>3.4475746356308686E-2</v>
      </c>
      <c r="AC52">
        <v>0.16780435673722269</v>
      </c>
      <c r="AD52">
        <v>1.9318794824830818E-2</v>
      </c>
      <c r="AE52">
        <v>-2.640525764786765E-2</v>
      </c>
      <c r="AF52">
        <v>-3.2578191439576E-2</v>
      </c>
      <c r="AG52">
        <v>4.8178249351264489E-2</v>
      </c>
      <c r="AH52">
        <v>0.17179070904328506</v>
      </c>
      <c r="AI52">
        <v>-0.26320162495619642</v>
      </c>
      <c r="AJ52">
        <v>-0.36766601787648984</v>
      </c>
      <c r="AK52">
        <v>-0.40326734489946781</v>
      </c>
      <c r="AL52">
        <v>-9.8349831485554359E-2</v>
      </c>
      <c r="AM52">
        <v>-9.0491810932413666E-2</v>
      </c>
      <c r="AN52">
        <v>-8.6173831428661019E-3</v>
      </c>
      <c r="AP52">
        <f t="shared" si="2"/>
        <v>1.0000000042863189</v>
      </c>
      <c r="AQ52">
        <f t="shared" si="3"/>
        <v>1.0000000021431594</v>
      </c>
      <c r="AS52">
        <f t="shared" si="13"/>
        <v>6.3774340499637939E-4</v>
      </c>
      <c r="AT52">
        <f t="shared" si="13"/>
        <v>0.14029894866203096</v>
      </c>
      <c r="AU52">
        <f t="shared" si="13"/>
        <v>-4.745144835254346E-2</v>
      </c>
      <c r="AV52">
        <f t="shared" si="13"/>
        <v>-1.6018599646668158E-3</v>
      </c>
      <c r="AW52">
        <f t="shared" si="13"/>
        <v>-0.18937456486401286</v>
      </c>
      <c r="AX52">
        <f t="shared" si="13"/>
        <v>-8.5485134509115004E-2</v>
      </c>
      <c r="AY52">
        <f t="shared" si="13"/>
        <v>-7.4139307019095893E-2</v>
      </c>
      <c r="AZ52">
        <f t="shared" si="13"/>
        <v>-3.9094522201814266E-2</v>
      </c>
      <c r="BA52">
        <f t="shared" si="13"/>
        <v>-0.16343979384354931</v>
      </c>
      <c r="BB52">
        <f t="shared" si="13"/>
        <v>1.3951403796479155E-2</v>
      </c>
      <c r="BC52">
        <f t="shared" si="13"/>
        <v>-1.3104414359472603E-2</v>
      </c>
      <c r="BD52">
        <f t="shared" si="13"/>
        <v>-5.4607277859799914E-2</v>
      </c>
      <c r="BE52">
        <f t="shared" ref="BE52:BG65" si="17">N52/$AQ52</f>
        <v>-0.23149741030672832</v>
      </c>
      <c r="BF52">
        <f t="shared" si="17"/>
        <v>-0.23627701157205183</v>
      </c>
      <c r="BG52">
        <f t="shared" si="17"/>
        <v>0.10384847735163837</v>
      </c>
      <c r="BH52">
        <f t="shared" si="16"/>
        <v>-5.2301549353817825E-2</v>
      </c>
      <c r="BI52">
        <f t="shared" si="16"/>
        <v>-4.117172801954648E-2</v>
      </c>
      <c r="BJ52">
        <f t="shared" si="16"/>
        <v>1.8884995479779936E-2</v>
      </c>
      <c r="BK52">
        <f t="shared" si="16"/>
        <v>0.20668412378143353</v>
      </c>
      <c r="BL52">
        <f t="shared" si="14"/>
        <v>6.2919457114573264E-3</v>
      </c>
      <c r="BM52">
        <f t="shared" si="14"/>
        <v>8.9074088406173452E-2</v>
      </c>
      <c r="BN52">
        <f t="shared" si="14"/>
        <v>7.9318333285729459E-2</v>
      </c>
      <c r="BO52">
        <f t="shared" si="14"/>
        <v>-0.13708208868193089</v>
      </c>
      <c r="BP52">
        <f t="shared" si="14"/>
        <v>-8.938510026588008E-3</v>
      </c>
      <c r="BQ52">
        <f t="shared" si="14"/>
        <v>0.38626737017915375</v>
      </c>
      <c r="BR52">
        <f t="shared" si="14"/>
        <v>0.31532959403424343</v>
      </c>
      <c r="BS52">
        <f t="shared" si="14"/>
        <v>3.4475746282421664E-2</v>
      </c>
      <c r="BT52">
        <f t="shared" si="14"/>
        <v>0.1678043563775912</v>
      </c>
      <c r="BU52">
        <f t="shared" si="14"/>
        <v>1.9318794783427563E-2</v>
      </c>
      <c r="BV52">
        <f t="shared" si="14"/>
        <v>-2.6405257591276973E-2</v>
      </c>
      <c r="BW52">
        <f t="shared" si="15"/>
        <v>-3.2578191369755739E-2</v>
      </c>
      <c r="BX52">
        <f t="shared" si="15"/>
        <v>4.817824924801082E-2</v>
      </c>
      <c r="BY52">
        <f t="shared" si="15"/>
        <v>0.17179070867511018</v>
      </c>
      <c r="BZ52">
        <f t="shared" si="15"/>
        <v>-0.26320162439211336</v>
      </c>
      <c r="CA52">
        <f t="shared" si="15"/>
        <v>-0.36766601708852292</v>
      </c>
      <c r="CB52">
        <f t="shared" si="15"/>
        <v>-0.40326734403520159</v>
      </c>
      <c r="CC52">
        <f t="shared" si="15"/>
        <v>-9.8349831274774993E-2</v>
      </c>
      <c r="CD52">
        <f t="shared" si="15"/>
        <v>-9.0491810738475287E-2</v>
      </c>
      <c r="CE52">
        <f t="shared" si="15"/>
        <v>-8.6173831243976755E-3</v>
      </c>
      <c r="CG52">
        <f t="shared" si="5"/>
        <v>1.0000000000000002</v>
      </c>
      <c r="CH52">
        <f t="shared" si="6"/>
        <v>1</v>
      </c>
      <c r="CJ52">
        <f t="shared" si="7"/>
        <v>-0.13834899567800585</v>
      </c>
      <c r="CL52">
        <f>SUMPRODUCT(AS52:CE52,Dimorfismo!AS52:CE52)</f>
        <v>0.18373015138513696</v>
      </c>
      <c r="CM52">
        <f t="shared" si="8"/>
        <v>0.18373015138513696</v>
      </c>
      <c r="CN52">
        <f t="shared" si="9"/>
        <v>0.18584043982926748</v>
      </c>
    </row>
    <row r="53" spans="1:92" ht="14.4" x14ac:dyDescent="0.3">
      <c r="A53" t="s">
        <v>54</v>
      </c>
      <c r="B53">
        <v>6.377434063631652E-4</v>
      </c>
      <c r="C53">
        <v>0.14029894896271397</v>
      </c>
      <c r="D53">
        <v>-4.745144845423948E-2</v>
      </c>
      <c r="E53">
        <v>-1.601859968099857E-3</v>
      </c>
      <c r="F53">
        <v>-0.18937456526987273</v>
      </c>
      <c r="G53">
        <v>-8.5485134692323272E-2</v>
      </c>
      <c r="H53">
        <v>-7.4139307177988251E-2</v>
      </c>
      <c r="I53">
        <v>-3.9094522285600057E-2</v>
      </c>
      <c r="J53">
        <v>-0.16343979419382684</v>
      </c>
      <c r="K53">
        <v>1.3951403826379237E-2</v>
      </c>
      <c r="L53">
        <v>-1.3104414387557451E-2</v>
      </c>
      <c r="M53">
        <v>-5.4607277976832014E-2</v>
      </c>
      <c r="N53">
        <v>-0.23149741080286418</v>
      </c>
      <c r="O53">
        <v>-0.23627701207843113</v>
      </c>
      <c r="P53">
        <v>0.10384847757420221</v>
      </c>
      <c r="Q53">
        <v>-5.2301549465908384E-2</v>
      </c>
      <c r="R53">
        <v>-4.1171728107784057E-2</v>
      </c>
      <c r="S53">
        <v>1.8884995520253491E-2</v>
      </c>
      <c r="T53">
        <v>0.20668412422439056</v>
      </c>
      <c r="U53">
        <v>6.2919457249419695E-3</v>
      </c>
      <c r="V53">
        <v>8.9074088597073428E-2</v>
      </c>
      <c r="W53">
        <v>7.9318333455721299E-2</v>
      </c>
      <c r="X53">
        <v>-0.13708208897571966</v>
      </c>
      <c r="Y53">
        <v>-8.93851004574466E-3</v>
      </c>
      <c r="Z53">
        <v>0.38626737100698633</v>
      </c>
      <c r="AA53">
        <v>0.31532959471004501</v>
      </c>
      <c r="AB53">
        <v>3.4475746356308686E-2</v>
      </c>
      <c r="AC53">
        <v>0.16780435673722269</v>
      </c>
      <c r="AD53">
        <v>1.9318794824830818E-2</v>
      </c>
      <c r="AE53">
        <v>-2.640525764786765E-2</v>
      </c>
      <c r="AF53">
        <v>-3.2578191439576E-2</v>
      </c>
      <c r="AG53">
        <v>4.8178249351264489E-2</v>
      </c>
      <c r="AH53">
        <v>0.17179070904328506</v>
      </c>
      <c r="AI53">
        <v>-0.26320162495619642</v>
      </c>
      <c r="AJ53">
        <v>-0.36766601787648984</v>
      </c>
      <c r="AK53">
        <v>-0.40326734489946781</v>
      </c>
      <c r="AL53">
        <v>-9.8349831485554359E-2</v>
      </c>
      <c r="AM53">
        <v>-9.0491810932413666E-2</v>
      </c>
      <c r="AN53">
        <v>-8.6173831428661019E-3</v>
      </c>
      <c r="AP53" s="3">
        <f t="shared" si="2"/>
        <v>1.0000000042863189</v>
      </c>
      <c r="AQ53" s="3">
        <f t="shared" si="3"/>
        <v>1.0000000021431594</v>
      </c>
      <c r="AR53" s="3"/>
      <c r="AS53" s="3">
        <f t="shared" ref="AS53:BD65" si="18">B53/$AQ53</f>
        <v>6.3774340499637939E-4</v>
      </c>
      <c r="AT53" s="3">
        <f t="shared" si="18"/>
        <v>0.14029894866203096</v>
      </c>
      <c r="AU53" s="3">
        <f t="shared" si="18"/>
        <v>-4.745144835254346E-2</v>
      </c>
      <c r="AV53" s="3">
        <f t="shared" si="18"/>
        <v>-1.6018599646668158E-3</v>
      </c>
      <c r="AW53" s="3">
        <f t="shared" si="18"/>
        <v>-0.18937456486401286</v>
      </c>
      <c r="AX53" s="3">
        <f t="shared" si="18"/>
        <v>-8.5485134509115004E-2</v>
      </c>
      <c r="AY53" s="3">
        <f t="shared" si="18"/>
        <v>-7.4139307019095893E-2</v>
      </c>
      <c r="AZ53" s="3">
        <f t="shared" si="18"/>
        <v>-3.9094522201814266E-2</v>
      </c>
      <c r="BA53" s="3">
        <f t="shared" si="18"/>
        <v>-0.16343979384354931</v>
      </c>
      <c r="BB53" s="3">
        <f t="shared" si="18"/>
        <v>1.3951403796479155E-2</v>
      </c>
      <c r="BC53" s="3">
        <f t="shared" si="18"/>
        <v>-1.3104414359472603E-2</v>
      </c>
      <c r="BD53" s="3">
        <f t="shared" si="18"/>
        <v>-5.4607277859799914E-2</v>
      </c>
      <c r="BE53" s="3">
        <f t="shared" si="17"/>
        <v>-0.23149741030672832</v>
      </c>
      <c r="BF53" s="3">
        <f t="shared" si="17"/>
        <v>-0.23627701157205183</v>
      </c>
      <c r="BG53" s="3">
        <f t="shared" si="17"/>
        <v>0.10384847735163837</v>
      </c>
      <c r="BH53" s="3">
        <f t="shared" si="16"/>
        <v>-5.2301549353817825E-2</v>
      </c>
      <c r="BI53" s="3">
        <f t="shared" si="16"/>
        <v>-4.117172801954648E-2</v>
      </c>
      <c r="BJ53" s="3">
        <f t="shared" si="16"/>
        <v>1.8884995479779936E-2</v>
      </c>
      <c r="BK53" s="3">
        <f t="shared" si="16"/>
        <v>0.20668412378143353</v>
      </c>
      <c r="BL53" s="3">
        <f t="shared" si="14"/>
        <v>6.2919457114573264E-3</v>
      </c>
      <c r="BM53" s="3">
        <f t="shared" si="14"/>
        <v>8.9074088406173452E-2</v>
      </c>
      <c r="BN53" s="3">
        <f t="shared" si="14"/>
        <v>7.9318333285729459E-2</v>
      </c>
      <c r="BO53" s="3">
        <f t="shared" si="14"/>
        <v>-0.13708208868193089</v>
      </c>
      <c r="BP53" s="3">
        <f t="shared" si="14"/>
        <v>-8.938510026588008E-3</v>
      </c>
      <c r="BQ53" s="3">
        <f t="shared" si="14"/>
        <v>0.38626737017915375</v>
      </c>
      <c r="BR53" s="3">
        <f t="shared" ref="BR53:BY65" si="19">AA53/$AQ53</f>
        <v>0.31532959403424343</v>
      </c>
      <c r="BS53" s="3">
        <f t="shared" si="19"/>
        <v>3.4475746282421664E-2</v>
      </c>
      <c r="BT53" s="3">
        <f t="shared" si="19"/>
        <v>0.1678043563775912</v>
      </c>
      <c r="BU53" s="3">
        <f t="shared" si="19"/>
        <v>1.9318794783427563E-2</v>
      </c>
      <c r="BV53" s="3">
        <f t="shared" si="19"/>
        <v>-2.6405257591276973E-2</v>
      </c>
      <c r="BW53" s="3">
        <f t="shared" si="15"/>
        <v>-3.2578191369755739E-2</v>
      </c>
      <c r="BX53" s="3">
        <f t="shared" si="15"/>
        <v>4.817824924801082E-2</v>
      </c>
      <c r="BY53" s="3">
        <f t="shared" si="15"/>
        <v>0.17179070867511018</v>
      </c>
      <c r="BZ53" s="3">
        <f t="shared" si="15"/>
        <v>-0.26320162439211336</v>
      </c>
      <c r="CA53" s="3">
        <f t="shared" si="15"/>
        <v>-0.36766601708852292</v>
      </c>
      <c r="CB53" s="3">
        <f t="shared" si="15"/>
        <v>-0.40326734403520159</v>
      </c>
      <c r="CC53" s="3">
        <f t="shared" si="15"/>
        <v>-9.8349831274774993E-2</v>
      </c>
      <c r="CD53" s="3">
        <f t="shared" si="15"/>
        <v>-9.0491810738475287E-2</v>
      </c>
      <c r="CE53" s="3">
        <f t="shared" si="15"/>
        <v>-8.6173831243976755E-3</v>
      </c>
      <c r="CF53" s="3"/>
      <c r="CG53" s="3">
        <f t="shared" si="5"/>
        <v>1.0000000000000002</v>
      </c>
      <c r="CH53" s="3">
        <f t="shared" si="6"/>
        <v>1</v>
      </c>
      <c r="CI53" s="3"/>
      <c r="CJ53" s="3">
        <f t="shared" si="7"/>
        <v>-0.13834899567800585</v>
      </c>
      <c r="CL53">
        <f>SUMPRODUCT(AS53:CE53,Dimorfismo!AS53:CE53)</f>
        <v>-9.8350412717335231E-2</v>
      </c>
      <c r="CM53">
        <f t="shared" si="8"/>
        <v>9.8350412717335231E-2</v>
      </c>
      <c r="CN53">
        <f t="shared" si="9"/>
        <v>9.8669374001901136E-2</v>
      </c>
    </row>
    <row r="54" spans="1:92" x14ac:dyDescent="0.25">
      <c r="A54" t="s">
        <v>55</v>
      </c>
      <c r="B54">
        <v>6.377434063631652E-4</v>
      </c>
      <c r="C54">
        <v>0.14029894896271397</v>
      </c>
      <c r="D54">
        <v>-4.745144845423948E-2</v>
      </c>
      <c r="E54">
        <v>-1.601859968099857E-3</v>
      </c>
      <c r="F54">
        <v>-0.18937456526987273</v>
      </c>
      <c r="G54">
        <v>-8.5485134692323272E-2</v>
      </c>
      <c r="H54">
        <v>-7.4139307177988251E-2</v>
      </c>
      <c r="I54">
        <v>-3.9094522285600057E-2</v>
      </c>
      <c r="J54">
        <v>-0.16343979419382684</v>
      </c>
      <c r="K54">
        <v>1.3951403826379237E-2</v>
      </c>
      <c r="L54">
        <v>-1.3104414387557451E-2</v>
      </c>
      <c r="M54">
        <v>-5.4607277976832014E-2</v>
      </c>
      <c r="N54">
        <v>-0.23149741080286418</v>
      </c>
      <c r="O54">
        <v>-0.23627701207843113</v>
      </c>
      <c r="P54">
        <v>0.10384847757420221</v>
      </c>
      <c r="Q54">
        <v>-5.2301549465908384E-2</v>
      </c>
      <c r="R54">
        <v>-4.1171728107784057E-2</v>
      </c>
      <c r="S54">
        <v>1.8884995520253491E-2</v>
      </c>
      <c r="T54">
        <v>0.20668412422439056</v>
      </c>
      <c r="U54">
        <v>6.2919457249419695E-3</v>
      </c>
      <c r="V54">
        <v>8.9074088597073428E-2</v>
      </c>
      <c r="W54">
        <v>7.9318333455721299E-2</v>
      </c>
      <c r="X54">
        <v>-0.13708208897571966</v>
      </c>
      <c r="Y54">
        <v>-8.93851004574466E-3</v>
      </c>
      <c r="Z54">
        <v>0.38626737100698633</v>
      </c>
      <c r="AA54">
        <v>0.31532959471004501</v>
      </c>
      <c r="AB54">
        <v>3.4475746356308686E-2</v>
      </c>
      <c r="AC54">
        <v>0.16780435673722269</v>
      </c>
      <c r="AD54">
        <v>1.9318794824830818E-2</v>
      </c>
      <c r="AE54">
        <v>-2.640525764786765E-2</v>
      </c>
      <c r="AF54">
        <v>-3.2578191439576E-2</v>
      </c>
      <c r="AG54">
        <v>4.8178249351264489E-2</v>
      </c>
      <c r="AH54">
        <v>0.17179070904328506</v>
      </c>
      <c r="AI54">
        <v>-0.26320162495619642</v>
      </c>
      <c r="AJ54">
        <v>-0.36766601787648984</v>
      </c>
      <c r="AK54">
        <v>-0.40326734489946781</v>
      </c>
      <c r="AL54">
        <v>-9.8349831485554359E-2</v>
      </c>
      <c r="AM54">
        <v>-9.0491810932413666E-2</v>
      </c>
      <c r="AN54">
        <v>-8.6173831428661019E-3</v>
      </c>
      <c r="AP54">
        <f t="shared" si="2"/>
        <v>1.0000000042863189</v>
      </c>
      <c r="AQ54">
        <f t="shared" si="3"/>
        <v>1.0000000021431594</v>
      </c>
      <c r="AS54">
        <f t="shared" si="18"/>
        <v>6.3774340499637939E-4</v>
      </c>
      <c r="AT54">
        <f t="shared" si="18"/>
        <v>0.14029894866203096</v>
      </c>
      <c r="AU54">
        <f t="shared" si="18"/>
        <v>-4.745144835254346E-2</v>
      </c>
      <c r="AV54">
        <f t="shared" si="18"/>
        <v>-1.6018599646668158E-3</v>
      </c>
      <c r="AW54">
        <f t="shared" si="18"/>
        <v>-0.18937456486401286</v>
      </c>
      <c r="AX54">
        <f t="shared" si="18"/>
        <v>-8.5485134509115004E-2</v>
      </c>
      <c r="AY54">
        <f t="shared" si="18"/>
        <v>-7.4139307019095893E-2</v>
      </c>
      <c r="AZ54">
        <f t="shared" si="18"/>
        <v>-3.9094522201814266E-2</v>
      </c>
      <c r="BA54">
        <f t="shared" si="18"/>
        <v>-0.16343979384354931</v>
      </c>
      <c r="BB54">
        <f t="shared" si="18"/>
        <v>1.3951403796479155E-2</v>
      </c>
      <c r="BC54">
        <f t="shared" si="18"/>
        <v>-1.3104414359472603E-2</v>
      </c>
      <c r="BD54">
        <f t="shared" si="18"/>
        <v>-5.4607277859799914E-2</v>
      </c>
      <c r="BE54">
        <f t="shared" si="17"/>
        <v>-0.23149741030672832</v>
      </c>
      <c r="BF54">
        <f t="shared" si="17"/>
        <v>-0.23627701157205183</v>
      </c>
      <c r="BG54">
        <f t="shared" si="17"/>
        <v>0.10384847735163837</v>
      </c>
      <c r="BH54">
        <f t="shared" si="16"/>
        <v>-5.2301549353817825E-2</v>
      </c>
      <c r="BI54">
        <f t="shared" si="16"/>
        <v>-4.117172801954648E-2</v>
      </c>
      <c r="BJ54">
        <f t="shared" si="16"/>
        <v>1.8884995479779936E-2</v>
      </c>
      <c r="BK54">
        <f t="shared" si="16"/>
        <v>0.20668412378143353</v>
      </c>
      <c r="BL54">
        <f t="shared" si="16"/>
        <v>6.2919457114573264E-3</v>
      </c>
      <c r="BM54">
        <f t="shared" si="16"/>
        <v>8.9074088406173452E-2</v>
      </c>
      <c r="BN54">
        <f t="shared" si="16"/>
        <v>7.9318333285729459E-2</v>
      </c>
      <c r="BO54">
        <f t="shared" si="16"/>
        <v>-0.13708208868193089</v>
      </c>
      <c r="BP54">
        <f t="shared" si="16"/>
        <v>-8.938510026588008E-3</v>
      </c>
      <c r="BQ54">
        <f t="shared" si="16"/>
        <v>0.38626737017915375</v>
      </c>
      <c r="BR54">
        <f t="shared" si="19"/>
        <v>0.31532959403424343</v>
      </c>
      <c r="BS54">
        <f t="shared" si="19"/>
        <v>3.4475746282421664E-2</v>
      </c>
      <c r="BT54">
        <f t="shared" si="19"/>
        <v>0.1678043563775912</v>
      </c>
      <c r="BU54">
        <f t="shared" si="19"/>
        <v>1.9318794783427563E-2</v>
      </c>
      <c r="BV54">
        <f t="shared" si="19"/>
        <v>-2.6405257591276973E-2</v>
      </c>
      <c r="BW54">
        <f t="shared" si="15"/>
        <v>-3.2578191369755739E-2</v>
      </c>
      <c r="BX54">
        <f t="shared" si="15"/>
        <v>4.817824924801082E-2</v>
      </c>
      <c r="BY54">
        <f t="shared" si="15"/>
        <v>0.17179070867511018</v>
      </c>
      <c r="BZ54">
        <f t="shared" si="15"/>
        <v>-0.26320162439211336</v>
      </c>
      <c r="CA54">
        <f t="shared" si="15"/>
        <v>-0.36766601708852292</v>
      </c>
      <c r="CB54">
        <f t="shared" si="15"/>
        <v>-0.40326734403520159</v>
      </c>
      <c r="CC54">
        <f t="shared" si="15"/>
        <v>-9.8349831274774993E-2</v>
      </c>
      <c r="CD54">
        <f t="shared" si="15"/>
        <v>-9.0491810738475287E-2</v>
      </c>
      <c r="CE54">
        <f t="shared" si="15"/>
        <v>-8.6173831243976755E-3</v>
      </c>
      <c r="CG54">
        <f t="shared" si="5"/>
        <v>1.0000000000000002</v>
      </c>
      <c r="CH54">
        <f t="shared" si="6"/>
        <v>1</v>
      </c>
      <c r="CJ54">
        <f t="shared" si="7"/>
        <v>-0.13834899567800585</v>
      </c>
      <c r="CL54">
        <f>SUMPRODUCT(AS54:CE54,Dimorfismo!AS54:CE54)</f>
        <v>3.8215886304919101E-2</v>
      </c>
      <c r="CM54">
        <f t="shared" si="8"/>
        <v>3.8215886304919101E-2</v>
      </c>
      <c r="CN54">
        <f t="shared" si="9"/>
        <v>3.8234506805181576E-2</v>
      </c>
    </row>
    <row r="55" spans="1:92" x14ac:dyDescent="0.25">
      <c r="A55" t="s">
        <v>56</v>
      </c>
      <c r="B55">
        <v>6.377434063631652E-4</v>
      </c>
      <c r="C55">
        <v>0.14029894896271397</v>
      </c>
      <c r="D55">
        <v>-4.745144845423948E-2</v>
      </c>
      <c r="E55">
        <v>-1.601859968099857E-3</v>
      </c>
      <c r="F55">
        <v>-0.18937456526987273</v>
      </c>
      <c r="G55">
        <v>-8.5485134692323272E-2</v>
      </c>
      <c r="H55">
        <v>-7.4139307177988251E-2</v>
      </c>
      <c r="I55">
        <v>-3.9094522285600057E-2</v>
      </c>
      <c r="J55">
        <v>-0.16343979419382684</v>
      </c>
      <c r="K55">
        <v>1.3951403826379237E-2</v>
      </c>
      <c r="L55">
        <v>-1.3104414387557451E-2</v>
      </c>
      <c r="M55">
        <v>-5.4607277976832014E-2</v>
      </c>
      <c r="N55">
        <v>-0.23149741080286418</v>
      </c>
      <c r="O55">
        <v>-0.23627701207843113</v>
      </c>
      <c r="P55">
        <v>0.10384847757420221</v>
      </c>
      <c r="Q55">
        <v>-5.2301549465908384E-2</v>
      </c>
      <c r="R55">
        <v>-4.1171728107784057E-2</v>
      </c>
      <c r="S55">
        <v>1.8884995520253491E-2</v>
      </c>
      <c r="T55">
        <v>0.20668412422439056</v>
      </c>
      <c r="U55">
        <v>6.2919457249419695E-3</v>
      </c>
      <c r="V55">
        <v>8.9074088597073428E-2</v>
      </c>
      <c r="W55">
        <v>7.9318333455721299E-2</v>
      </c>
      <c r="X55">
        <v>-0.13708208897571966</v>
      </c>
      <c r="Y55">
        <v>-8.93851004574466E-3</v>
      </c>
      <c r="Z55">
        <v>0.38626737100698633</v>
      </c>
      <c r="AA55">
        <v>0.31532959471004501</v>
      </c>
      <c r="AB55">
        <v>3.4475746356308686E-2</v>
      </c>
      <c r="AC55">
        <v>0.16780435673722269</v>
      </c>
      <c r="AD55">
        <v>1.9318794824830818E-2</v>
      </c>
      <c r="AE55">
        <v>-2.640525764786765E-2</v>
      </c>
      <c r="AF55">
        <v>-3.2578191439576E-2</v>
      </c>
      <c r="AG55">
        <v>4.8178249351264489E-2</v>
      </c>
      <c r="AH55">
        <v>0.17179070904328506</v>
      </c>
      <c r="AI55">
        <v>-0.26320162495619642</v>
      </c>
      <c r="AJ55">
        <v>-0.36766601787648984</v>
      </c>
      <c r="AK55">
        <v>-0.40326734489946781</v>
      </c>
      <c r="AL55">
        <v>-9.8349831485554359E-2</v>
      </c>
      <c r="AM55">
        <v>-9.0491810932413666E-2</v>
      </c>
      <c r="AN55">
        <v>-8.6173831428661019E-3</v>
      </c>
      <c r="AP55">
        <f t="shared" si="2"/>
        <v>1.0000000042863189</v>
      </c>
      <c r="AQ55">
        <f t="shared" si="3"/>
        <v>1.0000000021431594</v>
      </c>
      <c r="AS55">
        <f t="shared" si="18"/>
        <v>6.3774340499637939E-4</v>
      </c>
      <c r="AT55">
        <f t="shared" si="18"/>
        <v>0.14029894866203096</v>
      </c>
      <c r="AU55">
        <f t="shared" si="18"/>
        <v>-4.745144835254346E-2</v>
      </c>
      <c r="AV55">
        <f t="shared" si="18"/>
        <v>-1.6018599646668158E-3</v>
      </c>
      <c r="AW55">
        <f t="shared" si="18"/>
        <v>-0.18937456486401286</v>
      </c>
      <c r="AX55">
        <f t="shared" si="18"/>
        <v>-8.5485134509115004E-2</v>
      </c>
      <c r="AY55">
        <f t="shared" si="18"/>
        <v>-7.4139307019095893E-2</v>
      </c>
      <c r="AZ55">
        <f t="shared" si="18"/>
        <v>-3.9094522201814266E-2</v>
      </c>
      <c r="BA55">
        <f t="shared" si="18"/>
        <v>-0.16343979384354931</v>
      </c>
      <c r="BB55">
        <f t="shared" si="18"/>
        <v>1.3951403796479155E-2</v>
      </c>
      <c r="BC55">
        <f t="shared" si="18"/>
        <v>-1.3104414359472603E-2</v>
      </c>
      <c r="BD55">
        <f t="shared" si="18"/>
        <v>-5.4607277859799914E-2</v>
      </c>
      <c r="BE55">
        <f t="shared" si="17"/>
        <v>-0.23149741030672832</v>
      </c>
      <c r="BF55">
        <f t="shared" si="17"/>
        <v>-0.23627701157205183</v>
      </c>
      <c r="BG55">
        <f t="shared" si="17"/>
        <v>0.10384847735163837</v>
      </c>
      <c r="BH55">
        <f t="shared" si="16"/>
        <v>-5.2301549353817825E-2</v>
      </c>
      <c r="BI55">
        <f t="shared" si="16"/>
        <v>-4.117172801954648E-2</v>
      </c>
      <c r="BJ55">
        <f t="shared" si="16"/>
        <v>1.8884995479779936E-2</v>
      </c>
      <c r="BK55">
        <f t="shared" si="16"/>
        <v>0.20668412378143353</v>
      </c>
      <c r="BL55">
        <f t="shared" si="16"/>
        <v>6.2919457114573264E-3</v>
      </c>
      <c r="BM55">
        <f t="shared" si="16"/>
        <v>8.9074088406173452E-2</v>
      </c>
      <c r="BN55">
        <f t="shared" si="16"/>
        <v>7.9318333285729459E-2</v>
      </c>
      <c r="BO55">
        <f t="shared" si="16"/>
        <v>-0.13708208868193089</v>
      </c>
      <c r="BP55">
        <f t="shared" si="16"/>
        <v>-8.938510026588008E-3</v>
      </c>
      <c r="BQ55">
        <f t="shared" si="16"/>
        <v>0.38626737017915375</v>
      </c>
      <c r="BR55">
        <f t="shared" si="19"/>
        <v>0.31532959403424343</v>
      </c>
      <c r="BS55">
        <f t="shared" si="19"/>
        <v>3.4475746282421664E-2</v>
      </c>
      <c r="BT55">
        <f t="shared" si="19"/>
        <v>0.1678043563775912</v>
      </c>
      <c r="BU55">
        <f t="shared" si="19"/>
        <v>1.9318794783427563E-2</v>
      </c>
      <c r="BV55">
        <f t="shared" si="19"/>
        <v>-2.6405257591276973E-2</v>
      </c>
      <c r="BW55">
        <f t="shared" si="15"/>
        <v>-3.2578191369755739E-2</v>
      </c>
      <c r="BX55">
        <f t="shared" si="15"/>
        <v>4.817824924801082E-2</v>
      </c>
      <c r="BY55">
        <f t="shared" si="15"/>
        <v>0.17179070867511018</v>
      </c>
      <c r="BZ55">
        <f t="shared" si="15"/>
        <v>-0.26320162439211336</v>
      </c>
      <c r="CA55">
        <f t="shared" si="15"/>
        <v>-0.36766601708852292</v>
      </c>
      <c r="CB55">
        <f t="shared" si="15"/>
        <v>-0.40326734403520159</v>
      </c>
      <c r="CC55">
        <f t="shared" si="15"/>
        <v>-9.8349831274774993E-2</v>
      </c>
      <c r="CD55">
        <f t="shared" si="15"/>
        <v>-9.0491810738475287E-2</v>
      </c>
      <c r="CE55">
        <f t="shared" si="15"/>
        <v>-8.6173831243976755E-3</v>
      </c>
      <c r="CG55">
        <f t="shared" si="5"/>
        <v>1.0000000000000002</v>
      </c>
      <c r="CH55">
        <f t="shared" si="6"/>
        <v>1</v>
      </c>
      <c r="CJ55">
        <f t="shared" si="7"/>
        <v>-0.13834899567800585</v>
      </c>
      <c r="CL55">
        <f>SUMPRODUCT(AS55:CE55,Dimorfismo!AS55:CE55)</f>
        <v>0.18345262601779086</v>
      </c>
      <c r="CM55">
        <f t="shared" si="8"/>
        <v>0.18345262601779086</v>
      </c>
      <c r="CN55">
        <f t="shared" si="9"/>
        <v>0.1855532339566939</v>
      </c>
    </row>
    <row r="56" spans="1:92" x14ac:dyDescent="0.25">
      <c r="A56" t="s">
        <v>57</v>
      </c>
      <c r="B56">
        <v>6.377434063631652E-4</v>
      </c>
      <c r="C56">
        <v>0.14029894896271397</v>
      </c>
      <c r="D56">
        <v>-4.745144845423948E-2</v>
      </c>
      <c r="E56">
        <v>-1.601859968099857E-3</v>
      </c>
      <c r="F56">
        <v>-0.18937456526987273</v>
      </c>
      <c r="G56">
        <v>-8.5485134692323272E-2</v>
      </c>
      <c r="H56">
        <v>-7.4139307177988251E-2</v>
      </c>
      <c r="I56">
        <v>-3.9094522285600057E-2</v>
      </c>
      <c r="J56">
        <v>-0.16343979419382684</v>
      </c>
      <c r="K56">
        <v>1.3951403826379237E-2</v>
      </c>
      <c r="L56">
        <v>-1.3104414387557451E-2</v>
      </c>
      <c r="M56">
        <v>-5.4607277976832014E-2</v>
      </c>
      <c r="N56">
        <v>-0.23149741080286418</v>
      </c>
      <c r="O56">
        <v>-0.23627701207843113</v>
      </c>
      <c r="P56">
        <v>0.10384847757420221</v>
      </c>
      <c r="Q56">
        <v>-5.2301549465908384E-2</v>
      </c>
      <c r="R56">
        <v>-4.1171728107784057E-2</v>
      </c>
      <c r="S56">
        <v>1.8884995520253491E-2</v>
      </c>
      <c r="T56">
        <v>0.20668412422439056</v>
      </c>
      <c r="U56">
        <v>6.2919457249419695E-3</v>
      </c>
      <c r="V56">
        <v>8.9074088597073428E-2</v>
      </c>
      <c r="W56">
        <v>7.9318333455721299E-2</v>
      </c>
      <c r="X56">
        <v>-0.13708208897571966</v>
      </c>
      <c r="Y56">
        <v>-8.93851004574466E-3</v>
      </c>
      <c r="Z56">
        <v>0.38626737100698633</v>
      </c>
      <c r="AA56">
        <v>0.31532959471004501</v>
      </c>
      <c r="AB56">
        <v>3.4475746356308686E-2</v>
      </c>
      <c r="AC56">
        <v>0.16780435673722269</v>
      </c>
      <c r="AD56">
        <v>1.9318794824830818E-2</v>
      </c>
      <c r="AE56">
        <v>-2.640525764786765E-2</v>
      </c>
      <c r="AF56">
        <v>-3.2578191439576E-2</v>
      </c>
      <c r="AG56">
        <v>4.8178249351264489E-2</v>
      </c>
      <c r="AH56">
        <v>0.17179070904328506</v>
      </c>
      <c r="AI56">
        <v>-0.26320162495619642</v>
      </c>
      <c r="AJ56">
        <v>-0.36766601787648984</v>
      </c>
      <c r="AK56">
        <v>-0.40326734489946781</v>
      </c>
      <c r="AL56">
        <v>-9.8349831485554359E-2</v>
      </c>
      <c r="AM56">
        <v>-9.0491810932413666E-2</v>
      </c>
      <c r="AN56">
        <v>-8.6173831428661019E-3</v>
      </c>
      <c r="AP56">
        <f t="shared" si="2"/>
        <v>1.0000000042863189</v>
      </c>
      <c r="AQ56">
        <f t="shared" si="3"/>
        <v>1.0000000021431594</v>
      </c>
      <c r="AS56">
        <f t="shared" si="18"/>
        <v>6.3774340499637939E-4</v>
      </c>
      <c r="AT56">
        <f t="shared" si="18"/>
        <v>0.14029894866203096</v>
      </c>
      <c r="AU56">
        <f t="shared" si="18"/>
        <v>-4.745144835254346E-2</v>
      </c>
      <c r="AV56">
        <f t="shared" si="18"/>
        <v>-1.6018599646668158E-3</v>
      </c>
      <c r="AW56">
        <f t="shared" si="18"/>
        <v>-0.18937456486401286</v>
      </c>
      <c r="AX56">
        <f t="shared" si="18"/>
        <v>-8.5485134509115004E-2</v>
      </c>
      <c r="AY56">
        <f t="shared" si="18"/>
        <v>-7.4139307019095893E-2</v>
      </c>
      <c r="AZ56">
        <f t="shared" si="18"/>
        <v>-3.9094522201814266E-2</v>
      </c>
      <c r="BA56">
        <f t="shared" si="18"/>
        <v>-0.16343979384354931</v>
      </c>
      <c r="BB56">
        <f t="shared" si="18"/>
        <v>1.3951403796479155E-2</v>
      </c>
      <c r="BC56">
        <f t="shared" si="18"/>
        <v>-1.3104414359472603E-2</v>
      </c>
      <c r="BD56">
        <f t="shared" si="18"/>
        <v>-5.4607277859799914E-2</v>
      </c>
      <c r="BE56">
        <f t="shared" si="17"/>
        <v>-0.23149741030672832</v>
      </c>
      <c r="BF56">
        <f t="shared" si="17"/>
        <v>-0.23627701157205183</v>
      </c>
      <c r="BG56">
        <f t="shared" si="17"/>
        <v>0.10384847735163837</v>
      </c>
      <c r="BH56">
        <f t="shared" si="16"/>
        <v>-5.2301549353817825E-2</v>
      </c>
      <c r="BI56">
        <f t="shared" si="16"/>
        <v>-4.117172801954648E-2</v>
      </c>
      <c r="BJ56">
        <f t="shared" si="16"/>
        <v>1.8884995479779936E-2</v>
      </c>
      <c r="BK56">
        <f t="shared" si="16"/>
        <v>0.20668412378143353</v>
      </c>
      <c r="BL56">
        <f t="shared" si="16"/>
        <v>6.2919457114573264E-3</v>
      </c>
      <c r="BM56">
        <f t="shared" si="16"/>
        <v>8.9074088406173452E-2</v>
      </c>
      <c r="BN56">
        <f t="shared" si="16"/>
        <v>7.9318333285729459E-2</v>
      </c>
      <c r="BO56">
        <f t="shared" si="16"/>
        <v>-0.13708208868193089</v>
      </c>
      <c r="BP56">
        <f t="shared" si="16"/>
        <v>-8.938510026588008E-3</v>
      </c>
      <c r="BQ56">
        <f t="shared" si="16"/>
        <v>0.38626737017915375</v>
      </c>
      <c r="BR56">
        <f t="shared" si="19"/>
        <v>0.31532959403424343</v>
      </c>
      <c r="BS56">
        <f t="shared" si="19"/>
        <v>3.4475746282421664E-2</v>
      </c>
      <c r="BT56">
        <f t="shared" si="19"/>
        <v>0.1678043563775912</v>
      </c>
      <c r="BU56">
        <f t="shared" si="19"/>
        <v>1.9318794783427563E-2</v>
      </c>
      <c r="BV56">
        <f t="shared" si="19"/>
        <v>-2.6405257591276973E-2</v>
      </c>
      <c r="BW56">
        <f t="shared" si="15"/>
        <v>-3.2578191369755739E-2</v>
      </c>
      <c r="BX56">
        <f t="shared" si="15"/>
        <v>4.817824924801082E-2</v>
      </c>
      <c r="BY56">
        <f t="shared" si="15"/>
        <v>0.17179070867511018</v>
      </c>
      <c r="BZ56">
        <f t="shared" si="15"/>
        <v>-0.26320162439211336</v>
      </c>
      <c r="CA56">
        <f t="shared" si="15"/>
        <v>-0.36766601708852292</v>
      </c>
      <c r="CB56">
        <f t="shared" si="15"/>
        <v>-0.40326734403520159</v>
      </c>
      <c r="CC56">
        <f t="shared" si="15"/>
        <v>-9.8349831274774993E-2</v>
      </c>
      <c r="CD56">
        <f t="shared" si="15"/>
        <v>-9.0491810738475287E-2</v>
      </c>
      <c r="CE56">
        <f t="shared" si="15"/>
        <v>-8.6173831243976755E-3</v>
      </c>
      <c r="CG56">
        <f t="shared" si="5"/>
        <v>1.0000000000000002</v>
      </c>
      <c r="CH56">
        <f t="shared" si="6"/>
        <v>1</v>
      </c>
      <c r="CJ56">
        <f t="shared" si="7"/>
        <v>-0.13834899567800585</v>
      </c>
      <c r="CL56">
        <f>SUMPRODUCT(AS56:CE56,Dimorfismo!AS56:CE56)</f>
        <v>-6.9450587131326999E-2</v>
      </c>
      <c r="CM56">
        <f t="shared" si="8"/>
        <v>6.9450587131326999E-2</v>
      </c>
      <c r="CN56">
        <f t="shared" si="9"/>
        <v>6.9562573687735899E-2</v>
      </c>
    </row>
    <row r="57" spans="1:92" x14ac:dyDescent="0.25">
      <c r="A57" t="s">
        <v>58</v>
      </c>
      <c r="B57">
        <v>6.377434063631652E-4</v>
      </c>
      <c r="C57">
        <v>0.14029894896271397</v>
      </c>
      <c r="D57">
        <v>-4.745144845423948E-2</v>
      </c>
      <c r="E57">
        <v>-1.601859968099857E-3</v>
      </c>
      <c r="F57">
        <v>-0.18937456526987273</v>
      </c>
      <c r="G57">
        <v>-8.5485134692323272E-2</v>
      </c>
      <c r="H57">
        <v>-7.4139307177988251E-2</v>
      </c>
      <c r="I57">
        <v>-3.9094522285600057E-2</v>
      </c>
      <c r="J57">
        <v>-0.16343979419382684</v>
      </c>
      <c r="K57">
        <v>1.3951403826379237E-2</v>
      </c>
      <c r="L57">
        <v>-1.3104414387557451E-2</v>
      </c>
      <c r="M57">
        <v>-5.4607277976832014E-2</v>
      </c>
      <c r="N57">
        <v>-0.23149741080286418</v>
      </c>
      <c r="O57">
        <v>-0.23627701207843113</v>
      </c>
      <c r="P57">
        <v>0.10384847757420221</v>
      </c>
      <c r="Q57">
        <v>-5.2301549465908384E-2</v>
      </c>
      <c r="R57">
        <v>-4.1171728107784057E-2</v>
      </c>
      <c r="S57">
        <v>1.8884995520253491E-2</v>
      </c>
      <c r="T57">
        <v>0.20668412422439056</v>
      </c>
      <c r="U57">
        <v>6.2919457249419695E-3</v>
      </c>
      <c r="V57">
        <v>8.9074088597073428E-2</v>
      </c>
      <c r="W57">
        <v>7.9318333455721299E-2</v>
      </c>
      <c r="X57">
        <v>-0.13708208897571966</v>
      </c>
      <c r="Y57">
        <v>-8.93851004574466E-3</v>
      </c>
      <c r="Z57">
        <v>0.38626737100698633</v>
      </c>
      <c r="AA57">
        <v>0.31532959471004501</v>
      </c>
      <c r="AB57">
        <v>3.4475746356308686E-2</v>
      </c>
      <c r="AC57">
        <v>0.16780435673722269</v>
      </c>
      <c r="AD57">
        <v>1.9318794824830818E-2</v>
      </c>
      <c r="AE57">
        <v>-2.640525764786765E-2</v>
      </c>
      <c r="AF57">
        <v>-3.2578191439576E-2</v>
      </c>
      <c r="AG57">
        <v>4.8178249351264489E-2</v>
      </c>
      <c r="AH57">
        <v>0.17179070904328506</v>
      </c>
      <c r="AI57">
        <v>-0.26320162495619642</v>
      </c>
      <c r="AJ57">
        <v>-0.36766601787648984</v>
      </c>
      <c r="AK57">
        <v>-0.40326734489946781</v>
      </c>
      <c r="AL57">
        <v>-9.8349831485554359E-2</v>
      </c>
      <c r="AM57">
        <v>-9.0491810932413666E-2</v>
      </c>
      <c r="AN57">
        <v>-8.6173831428661019E-3</v>
      </c>
      <c r="AP57">
        <f t="shared" si="2"/>
        <v>1.0000000042863189</v>
      </c>
      <c r="AQ57">
        <f t="shared" si="3"/>
        <v>1.0000000021431594</v>
      </c>
      <c r="AS57">
        <f t="shared" si="18"/>
        <v>6.3774340499637939E-4</v>
      </c>
      <c r="AT57">
        <f t="shared" si="18"/>
        <v>0.14029894866203096</v>
      </c>
      <c r="AU57">
        <f t="shared" si="18"/>
        <v>-4.745144835254346E-2</v>
      </c>
      <c r="AV57">
        <f t="shared" si="18"/>
        <v>-1.6018599646668158E-3</v>
      </c>
      <c r="AW57">
        <f t="shared" si="18"/>
        <v>-0.18937456486401286</v>
      </c>
      <c r="AX57">
        <f t="shared" si="18"/>
        <v>-8.5485134509115004E-2</v>
      </c>
      <c r="AY57">
        <f t="shared" si="18"/>
        <v>-7.4139307019095893E-2</v>
      </c>
      <c r="AZ57">
        <f t="shared" si="18"/>
        <v>-3.9094522201814266E-2</v>
      </c>
      <c r="BA57">
        <f t="shared" si="18"/>
        <v>-0.16343979384354931</v>
      </c>
      <c r="BB57">
        <f t="shared" si="18"/>
        <v>1.3951403796479155E-2</v>
      </c>
      <c r="BC57">
        <f t="shared" si="18"/>
        <v>-1.3104414359472603E-2</v>
      </c>
      <c r="BD57">
        <f t="shared" si="18"/>
        <v>-5.4607277859799914E-2</v>
      </c>
      <c r="BE57">
        <f t="shared" si="17"/>
        <v>-0.23149741030672832</v>
      </c>
      <c r="BF57">
        <f t="shared" si="17"/>
        <v>-0.23627701157205183</v>
      </c>
      <c r="BG57">
        <f t="shared" si="17"/>
        <v>0.10384847735163837</v>
      </c>
      <c r="BH57">
        <f t="shared" si="16"/>
        <v>-5.2301549353817825E-2</v>
      </c>
      <c r="BI57">
        <f t="shared" si="16"/>
        <v>-4.117172801954648E-2</v>
      </c>
      <c r="BJ57">
        <f t="shared" si="16"/>
        <v>1.8884995479779936E-2</v>
      </c>
      <c r="BK57">
        <f t="shared" si="16"/>
        <v>0.20668412378143353</v>
      </c>
      <c r="BL57">
        <f t="shared" si="16"/>
        <v>6.2919457114573264E-3</v>
      </c>
      <c r="BM57">
        <f t="shared" si="16"/>
        <v>8.9074088406173452E-2</v>
      </c>
      <c r="BN57">
        <f t="shared" si="16"/>
        <v>7.9318333285729459E-2</v>
      </c>
      <c r="BO57">
        <f t="shared" si="16"/>
        <v>-0.13708208868193089</v>
      </c>
      <c r="BP57">
        <f t="shared" si="16"/>
        <v>-8.938510026588008E-3</v>
      </c>
      <c r="BQ57">
        <f t="shared" si="16"/>
        <v>0.38626737017915375</v>
      </c>
      <c r="BR57">
        <f t="shared" si="19"/>
        <v>0.31532959403424343</v>
      </c>
      <c r="BS57">
        <f t="shared" si="19"/>
        <v>3.4475746282421664E-2</v>
      </c>
      <c r="BT57">
        <f t="shared" si="19"/>
        <v>0.1678043563775912</v>
      </c>
      <c r="BU57">
        <f t="shared" si="19"/>
        <v>1.9318794783427563E-2</v>
      </c>
      <c r="BV57">
        <f t="shared" si="19"/>
        <v>-2.6405257591276973E-2</v>
      </c>
      <c r="BW57">
        <f t="shared" si="15"/>
        <v>-3.2578191369755739E-2</v>
      </c>
      <c r="BX57">
        <f t="shared" si="15"/>
        <v>4.817824924801082E-2</v>
      </c>
      <c r="BY57">
        <f t="shared" si="15"/>
        <v>0.17179070867511018</v>
      </c>
      <c r="BZ57">
        <f t="shared" si="15"/>
        <v>-0.26320162439211336</v>
      </c>
      <c r="CA57">
        <f t="shared" si="15"/>
        <v>-0.36766601708852292</v>
      </c>
      <c r="CB57">
        <f t="shared" si="15"/>
        <v>-0.40326734403520159</v>
      </c>
      <c r="CC57">
        <f t="shared" si="15"/>
        <v>-9.8349831274774993E-2</v>
      </c>
      <c r="CD57">
        <f t="shared" si="15"/>
        <v>-9.0491810738475287E-2</v>
      </c>
      <c r="CE57">
        <f t="shared" si="15"/>
        <v>-8.6173831243976755E-3</v>
      </c>
      <c r="CG57">
        <f t="shared" si="5"/>
        <v>1.0000000000000002</v>
      </c>
      <c r="CH57">
        <f t="shared" si="6"/>
        <v>1</v>
      </c>
      <c r="CJ57">
        <f t="shared" si="7"/>
        <v>-0.13834899567800585</v>
      </c>
      <c r="CL57">
        <f>SUMPRODUCT(AS57:CE57,Dimorfismo!AS57:CE57)</f>
        <v>9.0162824550980181E-2</v>
      </c>
      <c r="CM57">
        <f t="shared" si="8"/>
        <v>9.0162824550980181E-2</v>
      </c>
      <c r="CN57">
        <f t="shared" si="9"/>
        <v>9.0408344482851524E-2</v>
      </c>
    </row>
    <row r="58" spans="1:92" x14ac:dyDescent="0.25">
      <c r="A58" t="s">
        <v>59</v>
      </c>
      <c r="B58">
        <v>6.377434063631652E-4</v>
      </c>
      <c r="C58">
        <v>0.14029894896271397</v>
      </c>
      <c r="D58">
        <v>-4.745144845423948E-2</v>
      </c>
      <c r="E58">
        <v>-1.601859968099857E-3</v>
      </c>
      <c r="F58">
        <v>-0.18937456526987273</v>
      </c>
      <c r="G58">
        <v>-8.5485134692323272E-2</v>
      </c>
      <c r="H58">
        <v>-7.4139307177988251E-2</v>
      </c>
      <c r="I58">
        <v>-3.9094522285600057E-2</v>
      </c>
      <c r="J58">
        <v>-0.16343979419382684</v>
      </c>
      <c r="K58">
        <v>1.3951403826379237E-2</v>
      </c>
      <c r="L58">
        <v>-1.3104414387557451E-2</v>
      </c>
      <c r="M58">
        <v>-5.4607277976832014E-2</v>
      </c>
      <c r="N58">
        <v>-0.23149741080286418</v>
      </c>
      <c r="O58">
        <v>-0.23627701207843113</v>
      </c>
      <c r="P58">
        <v>0.10384847757420221</v>
      </c>
      <c r="Q58">
        <v>-5.2301549465908384E-2</v>
      </c>
      <c r="R58">
        <v>-4.1171728107784057E-2</v>
      </c>
      <c r="S58">
        <v>1.8884995520253491E-2</v>
      </c>
      <c r="T58">
        <v>0.20668412422439056</v>
      </c>
      <c r="U58">
        <v>6.2919457249419695E-3</v>
      </c>
      <c r="V58">
        <v>8.9074088597073428E-2</v>
      </c>
      <c r="W58">
        <v>7.9318333455721299E-2</v>
      </c>
      <c r="X58">
        <v>-0.13708208897571966</v>
      </c>
      <c r="Y58">
        <v>-8.93851004574466E-3</v>
      </c>
      <c r="Z58">
        <v>0.38626737100698633</v>
      </c>
      <c r="AA58">
        <v>0.31532959471004501</v>
      </c>
      <c r="AB58">
        <v>3.4475746356308686E-2</v>
      </c>
      <c r="AC58">
        <v>0.16780435673722269</v>
      </c>
      <c r="AD58">
        <v>1.9318794824830818E-2</v>
      </c>
      <c r="AE58">
        <v>-2.640525764786765E-2</v>
      </c>
      <c r="AF58">
        <v>-3.2578191439576E-2</v>
      </c>
      <c r="AG58">
        <v>4.8178249351264489E-2</v>
      </c>
      <c r="AH58">
        <v>0.17179070904328506</v>
      </c>
      <c r="AI58">
        <v>-0.26320162495619642</v>
      </c>
      <c r="AJ58">
        <v>-0.36766601787648984</v>
      </c>
      <c r="AK58">
        <v>-0.40326734489946781</v>
      </c>
      <c r="AL58">
        <v>-9.8349831485554359E-2</v>
      </c>
      <c r="AM58">
        <v>-9.0491810932413666E-2</v>
      </c>
      <c r="AN58">
        <v>-8.6173831428661019E-3</v>
      </c>
      <c r="AP58">
        <f t="shared" si="2"/>
        <v>1.0000000042863189</v>
      </c>
      <c r="AQ58">
        <f t="shared" si="3"/>
        <v>1.0000000021431594</v>
      </c>
      <c r="AS58">
        <f t="shared" si="18"/>
        <v>6.3774340499637939E-4</v>
      </c>
      <c r="AT58">
        <f t="shared" si="18"/>
        <v>0.14029894866203096</v>
      </c>
      <c r="AU58">
        <f t="shared" si="18"/>
        <v>-4.745144835254346E-2</v>
      </c>
      <c r="AV58">
        <f t="shared" si="18"/>
        <v>-1.6018599646668158E-3</v>
      </c>
      <c r="AW58">
        <f t="shared" si="18"/>
        <v>-0.18937456486401286</v>
      </c>
      <c r="AX58">
        <f t="shared" si="18"/>
        <v>-8.5485134509115004E-2</v>
      </c>
      <c r="AY58">
        <f t="shared" si="18"/>
        <v>-7.4139307019095893E-2</v>
      </c>
      <c r="AZ58">
        <f t="shared" si="18"/>
        <v>-3.9094522201814266E-2</v>
      </c>
      <c r="BA58">
        <f t="shared" si="18"/>
        <v>-0.16343979384354931</v>
      </c>
      <c r="BB58">
        <f t="shared" si="18"/>
        <v>1.3951403796479155E-2</v>
      </c>
      <c r="BC58">
        <f t="shared" si="18"/>
        <v>-1.3104414359472603E-2</v>
      </c>
      <c r="BD58">
        <f t="shared" si="18"/>
        <v>-5.4607277859799914E-2</v>
      </c>
      <c r="BE58">
        <f t="shared" si="17"/>
        <v>-0.23149741030672832</v>
      </c>
      <c r="BF58">
        <f t="shared" si="17"/>
        <v>-0.23627701157205183</v>
      </c>
      <c r="BG58">
        <f t="shared" si="17"/>
        <v>0.10384847735163837</v>
      </c>
      <c r="BH58">
        <f t="shared" si="16"/>
        <v>-5.2301549353817825E-2</v>
      </c>
      <c r="BI58">
        <f t="shared" si="16"/>
        <v>-4.117172801954648E-2</v>
      </c>
      <c r="BJ58">
        <f t="shared" si="16"/>
        <v>1.8884995479779936E-2</v>
      </c>
      <c r="BK58">
        <f t="shared" si="16"/>
        <v>0.20668412378143353</v>
      </c>
      <c r="BL58">
        <f t="shared" si="16"/>
        <v>6.2919457114573264E-3</v>
      </c>
      <c r="BM58">
        <f t="shared" si="16"/>
        <v>8.9074088406173452E-2</v>
      </c>
      <c r="BN58">
        <f t="shared" si="16"/>
        <v>7.9318333285729459E-2</v>
      </c>
      <c r="BO58">
        <f t="shared" si="16"/>
        <v>-0.13708208868193089</v>
      </c>
      <c r="BP58">
        <f t="shared" si="16"/>
        <v>-8.938510026588008E-3</v>
      </c>
      <c r="BQ58">
        <f t="shared" si="16"/>
        <v>0.38626737017915375</v>
      </c>
      <c r="BR58">
        <f t="shared" si="19"/>
        <v>0.31532959403424343</v>
      </c>
      <c r="BS58">
        <f t="shared" si="19"/>
        <v>3.4475746282421664E-2</v>
      </c>
      <c r="BT58">
        <f t="shared" si="19"/>
        <v>0.1678043563775912</v>
      </c>
      <c r="BU58">
        <f t="shared" si="19"/>
        <v>1.9318794783427563E-2</v>
      </c>
      <c r="BV58">
        <f t="shared" si="19"/>
        <v>-2.6405257591276973E-2</v>
      </c>
      <c r="BW58">
        <f t="shared" si="15"/>
        <v>-3.2578191369755739E-2</v>
      </c>
      <c r="BX58">
        <f t="shared" si="15"/>
        <v>4.817824924801082E-2</v>
      </c>
      <c r="BY58">
        <f t="shared" si="15"/>
        <v>0.17179070867511018</v>
      </c>
      <c r="BZ58">
        <f t="shared" si="15"/>
        <v>-0.26320162439211336</v>
      </c>
      <c r="CA58">
        <f t="shared" si="15"/>
        <v>-0.36766601708852292</v>
      </c>
      <c r="CB58">
        <f t="shared" si="15"/>
        <v>-0.40326734403520159</v>
      </c>
      <c r="CC58">
        <f t="shared" si="15"/>
        <v>-9.8349831274774993E-2</v>
      </c>
      <c r="CD58">
        <f t="shared" si="15"/>
        <v>-9.0491810738475287E-2</v>
      </c>
      <c r="CE58">
        <f t="shared" si="15"/>
        <v>-8.6173831243976755E-3</v>
      </c>
      <c r="CG58">
        <f t="shared" si="5"/>
        <v>1.0000000000000002</v>
      </c>
      <c r="CH58">
        <f t="shared" si="6"/>
        <v>1</v>
      </c>
      <c r="CJ58">
        <f t="shared" si="7"/>
        <v>-0.13834899567800585</v>
      </c>
      <c r="CL58">
        <f>SUMPRODUCT(AS58:CE58,Dimorfismo!AS58:CE58)</f>
        <v>0.18656611709485163</v>
      </c>
      <c r="CM58">
        <f t="shared" si="8"/>
        <v>0.18656611709485163</v>
      </c>
      <c r="CN58">
        <f t="shared" si="9"/>
        <v>0.18877707515098568</v>
      </c>
    </row>
    <row r="59" spans="1:92" x14ac:dyDescent="0.25">
      <c r="A59" t="s">
        <v>60</v>
      </c>
      <c r="B59">
        <v>6.377434063631652E-4</v>
      </c>
      <c r="C59">
        <v>0.14029894896271397</v>
      </c>
      <c r="D59">
        <v>-4.745144845423948E-2</v>
      </c>
      <c r="E59">
        <v>-1.601859968099857E-3</v>
      </c>
      <c r="F59">
        <v>-0.18937456526987273</v>
      </c>
      <c r="G59">
        <v>-8.5485134692323272E-2</v>
      </c>
      <c r="H59">
        <v>-7.4139307177988251E-2</v>
      </c>
      <c r="I59">
        <v>-3.9094522285600057E-2</v>
      </c>
      <c r="J59">
        <v>-0.16343979419382684</v>
      </c>
      <c r="K59">
        <v>1.3951403826379237E-2</v>
      </c>
      <c r="L59">
        <v>-1.3104414387557451E-2</v>
      </c>
      <c r="M59">
        <v>-5.4607277976832014E-2</v>
      </c>
      <c r="N59">
        <v>-0.23149741080286418</v>
      </c>
      <c r="O59">
        <v>-0.23627701207843113</v>
      </c>
      <c r="P59">
        <v>0.10384847757420221</v>
      </c>
      <c r="Q59">
        <v>-5.2301549465908384E-2</v>
      </c>
      <c r="R59">
        <v>-4.1171728107784057E-2</v>
      </c>
      <c r="S59">
        <v>1.8884995520253491E-2</v>
      </c>
      <c r="T59">
        <v>0.20668412422439056</v>
      </c>
      <c r="U59">
        <v>6.2919457249419695E-3</v>
      </c>
      <c r="V59">
        <v>8.9074088597073428E-2</v>
      </c>
      <c r="W59">
        <v>7.9318333455721299E-2</v>
      </c>
      <c r="X59">
        <v>-0.13708208897571966</v>
      </c>
      <c r="Y59">
        <v>-8.93851004574466E-3</v>
      </c>
      <c r="Z59">
        <v>0.38626737100698633</v>
      </c>
      <c r="AA59">
        <v>0.31532959471004501</v>
      </c>
      <c r="AB59">
        <v>3.4475746356308686E-2</v>
      </c>
      <c r="AC59">
        <v>0.16780435673722269</v>
      </c>
      <c r="AD59">
        <v>1.9318794824830818E-2</v>
      </c>
      <c r="AE59">
        <v>-2.640525764786765E-2</v>
      </c>
      <c r="AF59">
        <v>-3.2578191439576E-2</v>
      </c>
      <c r="AG59">
        <v>4.8178249351264489E-2</v>
      </c>
      <c r="AH59">
        <v>0.17179070904328506</v>
      </c>
      <c r="AI59">
        <v>-0.26320162495619642</v>
      </c>
      <c r="AJ59">
        <v>-0.36766601787648984</v>
      </c>
      <c r="AK59">
        <v>-0.40326734489946781</v>
      </c>
      <c r="AL59">
        <v>-9.8349831485554359E-2</v>
      </c>
      <c r="AM59">
        <v>-9.0491810932413666E-2</v>
      </c>
      <c r="AN59">
        <v>-8.6173831428661019E-3</v>
      </c>
      <c r="AP59">
        <f t="shared" si="2"/>
        <v>1.0000000042863189</v>
      </c>
      <c r="AQ59">
        <f t="shared" si="3"/>
        <v>1.0000000021431594</v>
      </c>
      <c r="AS59">
        <f t="shared" si="18"/>
        <v>6.3774340499637939E-4</v>
      </c>
      <c r="AT59">
        <f t="shared" si="18"/>
        <v>0.14029894866203096</v>
      </c>
      <c r="AU59">
        <f t="shared" si="18"/>
        <v>-4.745144835254346E-2</v>
      </c>
      <c r="AV59">
        <f t="shared" si="18"/>
        <v>-1.6018599646668158E-3</v>
      </c>
      <c r="AW59">
        <f t="shared" si="18"/>
        <v>-0.18937456486401286</v>
      </c>
      <c r="AX59">
        <f t="shared" si="18"/>
        <v>-8.5485134509115004E-2</v>
      </c>
      <c r="AY59">
        <f t="shared" si="18"/>
        <v>-7.4139307019095893E-2</v>
      </c>
      <c r="AZ59">
        <f t="shared" si="18"/>
        <v>-3.9094522201814266E-2</v>
      </c>
      <c r="BA59">
        <f t="shared" si="18"/>
        <v>-0.16343979384354931</v>
      </c>
      <c r="BB59">
        <f t="shared" si="18"/>
        <v>1.3951403796479155E-2</v>
      </c>
      <c r="BC59">
        <f t="shared" si="18"/>
        <v>-1.3104414359472603E-2</v>
      </c>
      <c r="BD59">
        <f t="shared" si="18"/>
        <v>-5.4607277859799914E-2</v>
      </c>
      <c r="BE59">
        <f t="shared" si="17"/>
        <v>-0.23149741030672832</v>
      </c>
      <c r="BF59">
        <f t="shared" si="17"/>
        <v>-0.23627701157205183</v>
      </c>
      <c r="BG59">
        <f t="shared" si="17"/>
        <v>0.10384847735163837</v>
      </c>
      <c r="BH59">
        <f t="shared" si="16"/>
        <v>-5.2301549353817825E-2</v>
      </c>
      <c r="BI59">
        <f t="shared" si="16"/>
        <v>-4.117172801954648E-2</v>
      </c>
      <c r="BJ59">
        <f t="shared" si="16"/>
        <v>1.8884995479779936E-2</v>
      </c>
      <c r="BK59">
        <f t="shared" si="16"/>
        <v>0.20668412378143353</v>
      </c>
      <c r="BL59">
        <f t="shared" si="16"/>
        <v>6.2919457114573264E-3</v>
      </c>
      <c r="BM59">
        <f t="shared" si="16"/>
        <v>8.9074088406173452E-2</v>
      </c>
      <c r="BN59">
        <f t="shared" si="16"/>
        <v>7.9318333285729459E-2</v>
      </c>
      <c r="BO59">
        <f t="shared" si="16"/>
        <v>-0.13708208868193089</v>
      </c>
      <c r="BP59">
        <f t="shared" si="16"/>
        <v>-8.938510026588008E-3</v>
      </c>
      <c r="BQ59">
        <f t="shared" si="16"/>
        <v>0.38626737017915375</v>
      </c>
      <c r="BR59">
        <f t="shared" si="19"/>
        <v>0.31532959403424343</v>
      </c>
      <c r="BS59">
        <f t="shared" si="19"/>
        <v>3.4475746282421664E-2</v>
      </c>
      <c r="BT59">
        <f t="shared" si="19"/>
        <v>0.1678043563775912</v>
      </c>
      <c r="BU59">
        <f t="shared" si="19"/>
        <v>1.9318794783427563E-2</v>
      </c>
      <c r="BV59">
        <f t="shared" si="19"/>
        <v>-2.6405257591276973E-2</v>
      </c>
      <c r="BW59">
        <f t="shared" si="15"/>
        <v>-3.2578191369755739E-2</v>
      </c>
      <c r="BX59">
        <f t="shared" si="15"/>
        <v>4.817824924801082E-2</v>
      </c>
      <c r="BY59">
        <f t="shared" si="15"/>
        <v>0.17179070867511018</v>
      </c>
      <c r="BZ59">
        <f t="shared" ref="BZ59:CE65" si="20">AI59/$AQ59</f>
        <v>-0.26320162439211336</v>
      </c>
      <c r="CA59">
        <f t="shared" si="20"/>
        <v>-0.36766601708852292</v>
      </c>
      <c r="CB59">
        <f t="shared" si="20"/>
        <v>-0.40326734403520159</v>
      </c>
      <c r="CC59">
        <f t="shared" si="20"/>
        <v>-9.8349831274774993E-2</v>
      </c>
      <c r="CD59">
        <f t="shared" si="20"/>
        <v>-9.0491810738475287E-2</v>
      </c>
      <c r="CE59">
        <f t="shared" si="20"/>
        <v>-8.6173831243976755E-3</v>
      </c>
      <c r="CG59">
        <f t="shared" si="5"/>
        <v>1.0000000000000002</v>
      </c>
      <c r="CH59">
        <f t="shared" si="6"/>
        <v>1</v>
      </c>
      <c r="CJ59">
        <f t="shared" si="7"/>
        <v>-0.13834899567800585</v>
      </c>
      <c r="CL59">
        <f>SUMPRODUCT(AS59:CE59,Dimorfismo!AS59:CE59)</f>
        <v>3.9777364925967541E-2</v>
      </c>
      <c r="CM59">
        <f t="shared" si="8"/>
        <v>3.9777364925967541E-2</v>
      </c>
      <c r="CN59">
        <f t="shared" si="9"/>
        <v>3.9798363961059173E-2</v>
      </c>
    </row>
    <row r="60" spans="1:92" x14ac:dyDescent="0.25">
      <c r="A60" t="s">
        <v>61</v>
      </c>
      <c r="B60">
        <v>6.377434063631652E-4</v>
      </c>
      <c r="C60">
        <v>0.14029894896271397</v>
      </c>
      <c r="D60">
        <v>-4.745144845423948E-2</v>
      </c>
      <c r="E60">
        <v>-1.601859968099857E-3</v>
      </c>
      <c r="F60">
        <v>-0.18937456526987273</v>
      </c>
      <c r="G60">
        <v>-8.5485134692323272E-2</v>
      </c>
      <c r="H60">
        <v>-7.4139307177988251E-2</v>
      </c>
      <c r="I60">
        <v>-3.9094522285600057E-2</v>
      </c>
      <c r="J60">
        <v>-0.16343979419382684</v>
      </c>
      <c r="K60">
        <v>1.3951403826379237E-2</v>
      </c>
      <c r="L60">
        <v>-1.3104414387557451E-2</v>
      </c>
      <c r="M60">
        <v>-5.4607277976832014E-2</v>
      </c>
      <c r="N60">
        <v>-0.23149741080286418</v>
      </c>
      <c r="O60">
        <v>-0.23627701207843113</v>
      </c>
      <c r="P60">
        <v>0.10384847757420221</v>
      </c>
      <c r="Q60">
        <v>-5.2301549465908384E-2</v>
      </c>
      <c r="R60">
        <v>-4.1171728107784057E-2</v>
      </c>
      <c r="S60">
        <v>1.8884995520253491E-2</v>
      </c>
      <c r="T60">
        <v>0.20668412422439056</v>
      </c>
      <c r="U60">
        <v>6.2919457249419695E-3</v>
      </c>
      <c r="V60">
        <v>8.9074088597073428E-2</v>
      </c>
      <c r="W60">
        <v>7.9318333455721299E-2</v>
      </c>
      <c r="X60">
        <v>-0.13708208897571966</v>
      </c>
      <c r="Y60">
        <v>-8.93851004574466E-3</v>
      </c>
      <c r="Z60">
        <v>0.38626737100698633</v>
      </c>
      <c r="AA60">
        <v>0.31532959471004501</v>
      </c>
      <c r="AB60">
        <v>3.4475746356308686E-2</v>
      </c>
      <c r="AC60">
        <v>0.16780435673722269</v>
      </c>
      <c r="AD60">
        <v>1.9318794824830818E-2</v>
      </c>
      <c r="AE60">
        <v>-2.640525764786765E-2</v>
      </c>
      <c r="AF60">
        <v>-3.2578191439576E-2</v>
      </c>
      <c r="AG60">
        <v>4.8178249351264489E-2</v>
      </c>
      <c r="AH60">
        <v>0.17179070904328506</v>
      </c>
      <c r="AI60">
        <v>-0.26320162495619642</v>
      </c>
      <c r="AJ60">
        <v>-0.36766601787648984</v>
      </c>
      <c r="AK60">
        <v>-0.40326734489946781</v>
      </c>
      <c r="AL60">
        <v>-9.8349831485554359E-2</v>
      </c>
      <c r="AM60">
        <v>-9.0491810932413666E-2</v>
      </c>
      <c r="AN60">
        <v>-8.6173831428661019E-3</v>
      </c>
      <c r="AP60">
        <f t="shared" si="2"/>
        <v>1.0000000042863189</v>
      </c>
      <c r="AQ60">
        <f t="shared" si="3"/>
        <v>1.0000000021431594</v>
      </c>
      <c r="AS60">
        <f t="shared" si="18"/>
        <v>6.3774340499637939E-4</v>
      </c>
      <c r="AT60">
        <f t="shared" si="18"/>
        <v>0.14029894866203096</v>
      </c>
      <c r="AU60">
        <f t="shared" si="18"/>
        <v>-4.745144835254346E-2</v>
      </c>
      <c r="AV60">
        <f t="shared" si="18"/>
        <v>-1.6018599646668158E-3</v>
      </c>
      <c r="AW60">
        <f t="shared" si="18"/>
        <v>-0.18937456486401286</v>
      </c>
      <c r="AX60">
        <f t="shared" si="18"/>
        <v>-8.5485134509115004E-2</v>
      </c>
      <c r="AY60">
        <f t="shared" si="18"/>
        <v>-7.4139307019095893E-2</v>
      </c>
      <c r="AZ60">
        <f t="shared" si="18"/>
        <v>-3.9094522201814266E-2</v>
      </c>
      <c r="BA60">
        <f t="shared" si="18"/>
        <v>-0.16343979384354931</v>
      </c>
      <c r="BB60">
        <f t="shared" si="18"/>
        <v>1.3951403796479155E-2</v>
      </c>
      <c r="BC60">
        <f t="shared" si="18"/>
        <v>-1.3104414359472603E-2</v>
      </c>
      <c r="BD60">
        <f t="shared" si="18"/>
        <v>-5.4607277859799914E-2</v>
      </c>
      <c r="BE60">
        <f t="shared" si="17"/>
        <v>-0.23149741030672832</v>
      </c>
      <c r="BF60">
        <f t="shared" si="17"/>
        <v>-0.23627701157205183</v>
      </c>
      <c r="BG60">
        <f t="shared" si="17"/>
        <v>0.10384847735163837</v>
      </c>
      <c r="BH60">
        <f t="shared" si="16"/>
        <v>-5.2301549353817825E-2</v>
      </c>
      <c r="BI60">
        <f t="shared" si="16"/>
        <v>-4.117172801954648E-2</v>
      </c>
      <c r="BJ60">
        <f t="shared" si="16"/>
        <v>1.8884995479779936E-2</v>
      </c>
      <c r="BK60">
        <f t="shared" si="16"/>
        <v>0.20668412378143353</v>
      </c>
      <c r="BL60">
        <f t="shared" si="16"/>
        <v>6.2919457114573264E-3</v>
      </c>
      <c r="BM60">
        <f t="shared" si="16"/>
        <v>8.9074088406173452E-2</v>
      </c>
      <c r="BN60">
        <f t="shared" si="16"/>
        <v>7.9318333285729459E-2</v>
      </c>
      <c r="BO60">
        <f t="shared" si="16"/>
        <v>-0.13708208868193089</v>
      </c>
      <c r="BP60">
        <f t="shared" si="16"/>
        <v>-8.938510026588008E-3</v>
      </c>
      <c r="BQ60">
        <f t="shared" si="16"/>
        <v>0.38626737017915375</v>
      </c>
      <c r="BR60">
        <f t="shared" si="19"/>
        <v>0.31532959403424343</v>
      </c>
      <c r="BS60">
        <f t="shared" si="19"/>
        <v>3.4475746282421664E-2</v>
      </c>
      <c r="BT60">
        <f t="shared" si="19"/>
        <v>0.1678043563775912</v>
      </c>
      <c r="BU60">
        <f t="shared" si="19"/>
        <v>1.9318794783427563E-2</v>
      </c>
      <c r="BV60">
        <f t="shared" si="19"/>
        <v>-2.6405257591276973E-2</v>
      </c>
      <c r="BW60">
        <f t="shared" si="19"/>
        <v>-3.2578191369755739E-2</v>
      </c>
      <c r="BX60">
        <f t="shared" si="19"/>
        <v>4.817824924801082E-2</v>
      </c>
      <c r="BY60">
        <f t="shared" si="19"/>
        <v>0.17179070867511018</v>
      </c>
      <c r="BZ60">
        <f t="shared" si="20"/>
        <v>-0.26320162439211336</v>
      </c>
      <c r="CA60">
        <f t="shared" si="20"/>
        <v>-0.36766601708852292</v>
      </c>
      <c r="CB60">
        <f t="shared" si="20"/>
        <v>-0.40326734403520159</v>
      </c>
      <c r="CC60">
        <f t="shared" si="20"/>
        <v>-9.8349831274774993E-2</v>
      </c>
      <c r="CD60">
        <f t="shared" si="20"/>
        <v>-9.0491810738475287E-2</v>
      </c>
      <c r="CE60">
        <f t="shared" si="20"/>
        <v>-8.6173831243976755E-3</v>
      </c>
      <c r="CG60">
        <f t="shared" si="5"/>
        <v>1.0000000000000002</v>
      </c>
      <c r="CH60">
        <f t="shared" si="6"/>
        <v>1</v>
      </c>
      <c r="CJ60">
        <f t="shared" si="7"/>
        <v>-0.13834899567800585</v>
      </c>
      <c r="CL60">
        <f>SUMPRODUCT(AS60:CE60,Dimorfismo!AS60:CE60)</f>
        <v>0.25723338489670511</v>
      </c>
      <c r="CM60">
        <f t="shared" si="8"/>
        <v>0.25723338489670511</v>
      </c>
      <c r="CN60">
        <f t="shared" si="9"/>
        <v>0.26314348786375075</v>
      </c>
    </row>
    <row r="61" spans="1:92" x14ac:dyDescent="0.25">
      <c r="A61" t="s">
        <v>62</v>
      </c>
      <c r="B61">
        <v>6.377434063631652E-4</v>
      </c>
      <c r="C61">
        <v>0.14029894896271397</v>
      </c>
      <c r="D61">
        <v>-4.745144845423948E-2</v>
      </c>
      <c r="E61">
        <v>-1.601859968099857E-3</v>
      </c>
      <c r="F61">
        <v>-0.18937456526987273</v>
      </c>
      <c r="G61">
        <v>-8.5485134692323272E-2</v>
      </c>
      <c r="H61">
        <v>-7.4139307177988251E-2</v>
      </c>
      <c r="I61">
        <v>-3.9094522285600057E-2</v>
      </c>
      <c r="J61">
        <v>-0.16343979419382684</v>
      </c>
      <c r="K61">
        <v>1.3951403826379237E-2</v>
      </c>
      <c r="L61">
        <v>-1.3104414387557451E-2</v>
      </c>
      <c r="M61">
        <v>-5.4607277976832014E-2</v>
      </c>
      <c r="N61">
        <v>-0.23149741080286418</v>
      </c>
      <c r="O61">
        <v>-0.23627701207843113</v>
      </c>
      <c r="P61">
        <v>0.10384847757420221</v>
      </c>
      <c r="Q61">
        <v>-5.2301549465908384E-2</v>
      </c>
      <c r="R61">
        <v>-4.1171728107784057E-2</v>
      </c>
      <c r="S61">
        <v>1.8884995520253491E-2</v>
      </c>
      <c r="T61">
        <v>0.20668412422439056</v>
      </c>
      <c r="U61">
        <v>6.2919457249419695E-3</v>
      </c>
      <c r="V61">
        <v>8.9074088597073428E-2</v>
      </c>
      <c r="W61">
        <v>7.9318333455721299E-2</v>
      </c>
      <c r="X61">
        <v>-0.13708208897571966</v>
      </c>
      <c r="Y61">
        <v>-8.93851004574466E-3</v>
      </c>
      <c r="Z61">
        <v>0.38626737100698633</v>
      </c>
      <c r="AA61">
        <v>0.31532959471004501</v>
      </c>
      <c r="AB61">
        <v>3.4475746356308686E-2</v>
      </c>
      <c r="AC61">
        <v>0.16780435673722269</v>
      </c>
      <c r="AD61">
        <v>1.9318794824830818E-2</v>
      </c>
      <c r="AE61">
        <v>-2.640525764786765E-2</v>
      </c>
      <c r="AF61">
        <v>-3.2578191439576E-2</v>
      </c>
      <c r="AG61">
        <v>4.8178249351264489E-2</v>
      </c>
      <c r="AH61">
        <v>0.17179070904328506</v>
      </c>
      <c r="AI61">
        <v>-0.26320162495619642</v>
      </c>
      <c r="AJ61">
        <v>-0.36766601787648984</v>
      </c>
      <c r="AK61">
        <v>-0.40326734489946781</v>
      </c>
      <c r="AL61">
        <v>-9.8349831485554359E-2</v>
      </c>
      <c r="AM61">
        <v>-9.0491810932413666E-2</v>
      </c>
      <c r="AN61">
        <v>-8.6173831428661019E-3</v>
      </c>
      <c r="AP61">
        <f t="shared" si="2"/>
        <v>1.0000000042863189</v>
      </c>
      <c r="AQ61">
        <f t="shared" si="3"/>
        <v>1.0000000021431594</v>
      </c>
      <c r="AS61">
        <f t="shared" si="18"/>
        <v>6.3774340499637939E-4</v>
      </c>
      <c r="AT61">
        <f t="shared" si="18"/>
        <v>0.14029894866203096</v>
      </c>
      <c r="AU61">
        <f t="shared" si="18"/>
        <v>-4.745144835254346E-2</v>
      </c>
      <c r="AV61">
        <f t="shared" si="18"/>
        <v>-1.6018599646668158E-3</v>
      </c>
      <c r="AW61">
        <f t="shared" si="18"/>
        <v>-0.18937456486401286</v>
      </c>
      <c r="AX61">
        <f t="shared" si="18"/>
        <v>-8.5485134509115004E-2</v>
      </c>
      <c r="AY61">
        <f t="shared" si="18"/>
        <v>-7.4139307019095893E-2</v>
      </c>
      <c r="AZ61">
        <f t="shared" si="18"/>
        <v>-3.9094522201814266E-2</v>
      </c>
      <c r="BA61">
        <f t="shared" si="18"/>
        <v>-0.16343979384354931</v>
      </c>
      <c r="BB61">
        <f t="shared" si="18"/>
        <v>1.3951403796479155E-2</v>
      </c>
      <c r="BC61">
        <f t="shared" si="18"/>
        <v>-1.3104414359472603E-2</v>
      </c>
      <c r="BD61">
        <f t="shared" si="18"/>
        <v>-5.4607277859799914E-2</v>
      </c>
      <c r="BE61">
        <f t="shared" si="17"/>
        <v>-0.23149741030672832</v>
      </c>
      <c r="BF61">
        <f t="shared" si="17"/>
        <v>-0.23627701157205183</v>
      </c>
      <c r="BG61">
        <f t="shared" si="17"/>
        <v>0.10384847735163837</v>
      </c>
      <c r="BH61">
        <f t="shared" si="16"/>
        <v>-5.2301549353817825E-2</v>
      </c>
      <c r="BI61">
        <f t="shared" si="16"/>
        <v>-4.117172801954648E-2</v>
      </c>
      <c r="BJ61">
        <f t="shared" si="16"/>
        <v>1.8884995479779936E-2</v>
      </c>
      <c r="BK61">
        <f t="shared" si="16"/>
        <v>0.20668412378143353</v>
      </c>
      <c r="BL61">
        <f t="shared" si="16"/>
        <v>6.2919457114573264E-3</v>
      </c>
      <c r="BM61">
        <f t="shared" si="16"/>
        <v>8.9074088406173452E-2</v>
      </c>
      <c r="BN61">
        <f t="shared" si="16"/>
        <v>7.9318333285729459E-2</v>
      </c>
      <c r="BO61">
        <f t="shared" si="16"/>
        <v>-0.13708208868193089</v>
      </c>
      <c r="BP61">
        <f t="shared" si="16"/>
        <v>-8.938510026588008E-3</v>
      </c>
      <c r="BQ61">
        <f t="shared" si="16"/>
        <v>0.38626737017915375</v>
      </c>
      <c r="BR61">
        <f t="shared" si="19"/>
        <v>0.31532959403424343</v>
      </c>
      <c r="BS61">
        <f t="shared" si="19"/>
        <v>3.4475746282421664E-2</v>
      </c>
      <c r="BT61">
        <f t="shared" si="19"/>
        <v>0.1678043563775912</v>
      </c>
      <c r="BU61">
        <f t="shared" si="19"/>
        <v>1.9318794783427563E-2</v>
      </c>
      <c r="BV61">
        <f t="shared" si="19"/>
        <v>-2.6405257591276973E-2</v>
      </c>
      <c r="BW61">
        <f t="shared" si="19"/>
        <v>-3.2578191369755739E-2</v>
      </c>
      <c r="BX61">
        <f t="shared" si="19"/>
        <v>4.817824924801082E-2</v>
      </c>
      <c r="BY61">
        <f t="shared" si="19"/>
        <v>0.17179070867511018</v>
      </c>
      <c r="BZ61">
        <f t="shared" si="20"/>
        <v>-0.26320162439211336</v>
      </c>
      <c r="CA61">
        <f t="shared" si="20"/>
        <v>-0.36766601708852292</v>
      </c>
      <c r="CB61">
        <f t="shared" si="20"/>
        <v>-0.40326734403520159</v>
      </c>
      <c r="CC61">
        <f t="shared" si="20"/>
        <v>-9.8349831274774993E-2</v>
      </c>
      <c r="CD61">
        <f t="shared" si="20"/>
        <v>-9.0491810738475287E-2</v>
      </c>
      <c r="CE61">
        <f t="shared" si="20"/>
        <v>-8.6173831243976755E-3</v>
      </c>
      <c r="CG61">
        <f t="shared" si="5"/>
        <v>1.0000000000000002</v>
      </c>
      <c r="CH61">
        <f t="shared" si="6"/>
        <v>1</v>
      </c>
      <c r="CJ61">
        <f t="shared" si="7"/>
        <v>-0.13834899567800585</v>
      </c>
      <c r="CL61">
        <f>SUMPRODUCT(AS61:CE61,Dimorfismo!AS61:CE61)</f>
        <v>0.42511599493499175</v>
      </c>
      <c r="CM61">
        <f t="shared" si="8"/>
        <v>0.42511599493499175</v>
      </c>
      <c r="CN61">
        <f t="shared" si="9"/>
        <v>0.45392009960950358</v>
      </c>
    </row>
    <row r="62" spans="1:92" x14ac:dyDescent="0.25">
      <c r="A62" t="s">
        <v>63</v>
      </c>
      <c r="B62">
        <v>6.377434063631652E-4</v>
      </c>
      <c r="C62">
        <v>0.14029894896271397</v>
      </c>
      <c r="D62">
        <v>-4.745144845423948E-2</v>
      </c>
      <c r="E62">
        <v>-1.601859968099857E-3</v>
      </c>
      <c r="F62">
        <v>-0.18937456526987273</v>
      </c>
      <c r="G62">
        <v>-8.5485134692323272E-2</v>
      </c>
      <c r="H62">
        <v>-7.4139307177988251E-2</v>
      </c>
      <c r="I62">
        <v>-3.9094522285600057E-2</v>
      </c>
      <c r="J62">
        <v>-0.16343979419382684</v>
      </c>
      <c r="K62">
        <v>1.3951403826379237E-2</v>
      </c>
      <c r="L62">
        <v>-1.3104414387557451E-2</v>
      </c>
      <c r="M62">
        <v>-5.4607277976832014E-2</v>
      </c>
      <c r="N62">
        <v>-0.23149741080286418</v>
      </c>
      <c r="O62">
        <v>-0.23627701207843113</v>
      </c>
      <c r="P62">
        <v>0.10384847757420221</v>
      </c>
      <c r="Q62">
        <v>-5.2301549465908384E-2</v>
      </c>
      <c r="R62">
        <v>-4.1171728107784057E-2</v>
      </c>
      <c r="S62">
        <v>1.8884995520253491E-2</v>
      </c>
      <c r="T62">
        <v>0.20668412422439056</v>
      </c>
      <c r="U62">
        <v>6.2919457249419695E-3</v>
      </c>
      <c r="V62">
        <v>8.9074088597073428E-2</v>
      </c>
      <c r="W62">
        <v>7.9318333455721299E-2</v>
      </c>
      <c r="X62">
        <v>-0.13708208897571966</v>
      </c>
      <c r="Y62">
        <v>-8.93851004574466E-3</v>
      </c>
      <c r="Z62">
        <v>0.38626737100698633</v>
      </c>
      <c r="AA62">
        <v>0.31532959471004501</v>
      </c>
      <c r="AB62">
        <v>3.4475746356308686E-2</v>
      </c>
      <c r="AC62">
        <v>0.16780435673722269</v>
      </c>
      <c r="AD62">
        <v>1.9318794824830818E-2</v>
      </c>
      <c r="AE62">
        <v>-2.640525764786765E-2</v>
      </c>
      <c r="AF62">
        <v>-3.2578191439576E-2</v>
      </c>
      <c r="AG62">
        <v>4.8178249351264489E-2</v>
      </c>
      <c r="AH62">
        <v>0.17179070904328506</v>
      </c>
      <c r="AI62">
        <v>-0.26320162495619642</v>
      </c>
      <c r="AJ62">
        <v>-0.36766601787648984</v>
      </c>
      <c r="AK62">
        <v>-0.40326734489946781</v>
      </c>
      <c r="AL62">
        <v>-9.8349831485554359E-2</v>
      </c>
      <c r="AM62">
        <v>-9.0491810932413666E-2</v>
      </c>
      <c r="AN62">
        <v>-8.6173831428661019E-3</v>
      </c>
      <c r="AP62">
        <f t="shared" si="2"/>
        <v>1.0000000042863189</v>
      </c>
      <c r="AQ62">
        <f t="shared" si="3"/>
        <v>1.0000000021431594</v>
      </c>
      <c r="AS62">
        <f t="shared" si="18"/>
        <v>6.3774340499637939E-4</v>
      </c>
      <c r="AT62">
        <f t="shared" si="18"/>
        <v>0.14029894866203096</v>
      </c>
      <c r="AU62">
        <f t="shared" si="18"/>
        <v>-4.745144835254346E-2</v>
      </c>
      <c r="AV62">
        <f t="shared" si="18"/>
        <v>-1.6018599646668158E-3</v>
      </c>
      <c r="AW62">
        <f t="shared" si="18"/>
        <v>-0.18937456486401286</v>
      </c>
      <c r="AX62">
        <f t="shared" si="18"/>
        <v>-8.5485134509115004E-2</v>
      </c>
      <c r="AY62">
        <f t="shared" si="18"/>
        <v>-7.4139307019095893E-2</v>
      </c>
      <c r="AZ62">
        <f t="shared" si="18"/>
        <v>-3.9094522201814266E-2</v>
      </c>
      <c r="BA62">
        <f t="shared" si="18"/>
        <v>-0.16343979384354931</v>
      </c>
      <c r="BB62">
        <f t="shared" si="18"/>
        <v>1.3951403796479155E-2</v>
      </c>
      <c r="BC62">
        <f t="shared" si="18"/>
        <v>-1.3104414359472603E-2</v>
      </c>
      <c r="BD62">
        <f t="shared" si="18"/>
        <v>-5.4607277859799914E-2</v>
      </c>
      <c r="BE62">
        <f t="shared" si="17"/>
        <v>-0.23149741030672832</v>
      </c>
      <c r="BF62">
        <f t="shared" si="17"/>
        <v>-0.23627701157205183</v>
      </c>
      <c r="BG62">
        <f t="shared" si="17"/>
        <v>0.10384847735163837</v>
      </c>
      <c r="BH62">
        <f t="shared" si="16"/>
        <v>-5.2301549353817825E-2</v>
      </c>
      <c r="BI62">
        <f t="shared" si="16"/>
        <v>-4.117172801954648E-2</v>
      </c>
      <c r="BJ62">
        <f t="shared" si="16"/>
        <v>1.8884995479779936E-2</v>
      </c>
      <c r="BK62">
        <f t="shared" si="16"/>
        <v>0.20668412378143353</v>
      </c>
      <c r="BL62">
        <f t="shared" si="16"/>
        <v>6.2919457114573264E-3</v>
      </c>
      <c r="BM62">
        <f t="shared" si="16"/>
        <v>8.9074088406173452E-2</v>
      </c>
      <c r="BN62">
        <f t="shared" si="16"/>
        <v>7.9318333285729459E-2</v>
      </c>
      <c r="BO62">
        <f t="shared" si="16"/>
        <v>-0.13708208868193089</v>
      </c>
      <c r="BP62">
        <f t="shared" si="16"/>
        <v>-8.938510026588008E-3</v>
      </c>
      <c r="BQ62">
        <f t="shared" si="16"/>
        <v>0.38626737017915375</v>
      </c>
      <c r="BR62">
        <f t="shared" si="19"/>
        <v>0.31532959403424343</v>
      </c>
      <c r="BS62">
        <f t="shared" si="19"/>
        <v>3.4475746282421664E-2</v>
      </c>
      <c r="BT62">
        <f t="shared" si="19"/>
        <v>0.1678043563775912</v>
      </c>
      <c r="BU62">
        <f t="shared" si="19"/>
        <v>1.9318794783427563E-2</v>
      </c>
      <c r="BV62">
        <f t="shared" si="19"/>
        <v>-2.6405257591276973E-2</v>
      </c>
      <c r="BW62">
        <f t="shared" si="19"/>
        <v>-3.2578191369755739E-2</v>
      </c>
      <c r="BX62">
        <f t="shared" si="19"/>
        <v>4.817824924801082E-2</v>
      </c>
      <c r="BY62">
        <f t="shared" si="19"/>
        <v>0.17179070867511018</v>
      </c>
      <c r="BZ62">
        <f t="shared" si="20"/>
        <v>-0.26320162439211336</v>
      </c>
      <c r="CA62">
        <f t="shared" si="20"/>
        <v>-0.36766601708852292</v>
      </c>
      <c r="CB62">
        <f t="shared" si="20"/>
        <v>-0.40326734403520159</v>
      </c>
      <c r="CC62">
        <f t="shared" si="20"/>
        <v>-9.8349831274774993E-2</v>
      </c>
      <c r="CD62">
        <f t="shared" si="20"/>
        <v>-9.0491810738475287E-2</v>
      </c>
      <c r="CE62">
        <f t="shared" si="20"/>
        <v>-8.6173831243976755E-3</v>
      </c>
      <c r="CG62">
        <f t="shared" si="5"/>
        <v>1.0000000000000002</v>
      </c>
      <c r="CH62">
        <f t="shared" si="6"/>
        <v>1</v>
      </c>
      <c r="CJ62">
        <f t="shared" si="7"/>
        <v>-0.13834899567800585</v>
      </c>
      <c r="CL62">
        <f>SUMPRODUCT(AS62:CE62,Dimorfismo!AS62:CE62)</f>
        <v>-0.13938341348934405</v>
      </c>
      <c r="CM62">
        <f t="shared" si="8"/>
        <v>0.13938341348934405</v>
      </c>
      <c r="CN62">
        <f t="shared" si="9"/>
        <v>0.14029671814761432</v>
      </c>
    </row>
    <row r="63" spans="1:92" x14ac:dyDescent="0.25">
      <c r="A63" t="s">
        <v>64</v>
      </c>
      <c r="B63">
        <v>6.377434063631652E-4</v>
      </c>
      <c r="C63">
        <v>0.14029894896271397</v>
      </c>
      <c r="D63">
        <v>-4.745144845423948E-2</v>
      </c>
      <c r="E63">
        <v>-1.601859968099857E-3</v>
      </c>
      <c r="F63">
        <v>-0.18937456526987273</v>
      </c>
      <c r="G63">
        <v>-8.5485134692323272E-2</v>
      </c>
      <c r="H63">
        <v>-7.4139307177988251E-2</v>
      </c>
      <c r="I63">
        <v>-3.9094522285600057E-2</v>
      </c>
      <c r="J63">
        <v>-0.16343979419382684</v>
      </c>
      <c r="K63">
        <v>1.3951403826379237E-2</v>
      </c>
      <c r="L63">
        <v>-1.3104414387557451E-2</v>
      </c>
      <c r="M63">
        <v>-5.4607277976832014E-2</v>
      </c>
      <c r="N63">
        <v>-0.23149741080286418</v>
      </c>
      <c r="O63">
        <v>-0.23627701207843113</v>
      </c>
      <c r="P63">
        <v>0.10384847757420221</v>
      </c>
      <c r="Q63">
        <v>-5.2301549465908384E-2</v>
      </c>
      <c r="R63">
        <v>-4.1171728107784057E-2</v>
      </c>
      <c r="S63">
        <v>1.8884995520253491E-2</v>
      </c>
      <c r="T63">
        <v>0.20668412422439056</v>
      </c>
      <c r="U63">
        <v>6.2919457249419695E-3</v>
      </c>
      <c r="V63">
        <v>8.9074088597073428E-2</v>
      </c>
      <c r="W63">
        <v>7.9318333455721299E-2</v>
      </c>
      <c r="X63">
        <v>-0.13708208897571966</v>
      </c>
      <c r="Y63">
        <v>-8.93851004574466E-3</v>
      </c>
      <c r="Z63">
        <v>0.38626737100698633</v>
      </c>
      <c r="AA63">
        <v>0.31532959471004501</v>
      </c>
      <c r="AB63">
        <v>3.4475746356308686E-2</v>
      </c>
      <c r="AC63">
        <v>0.16780435673722269</v>
      </c>
      <c r="AD63">
        <v>1.9318794824830818E-2</v>
      </c>
      <c r="AE63">
        <v>-2.640525764786765E-2</v>
      </c>
      <c r="AF63">
        <v>-3.2578191439576E-2</v>
      </c>
      <c r="AG63">
        <v>4.8178249351264489E-2</v>
      </c>
      <c r="AH63">
        <v>0.17179070904328506</v>
      </c>
      <c r="AI63">
        <v>-0.26320162495619642</v>
      </c>
      <c r="AJ63">
        <v>-0.36766601787648984</v>
      </c>
      <c r="AK63">
        <v>-0.40326734489946781</v>
      </c>
      <c r="AL63">
        <v>-9.8349831485554359E-2</v>
      </c>
      <c r="AM63">
        <v>-9.0491810932413666E-2</v>
      </c>
      <c r="AN63">
        <v>-8.6173831428661019E-3</v>
      </c>
      <c r="AP63">
        <f t="shared" si="2"/>
        <v>1.0000000042863189</v>
      </c>
      <c r="AQ63">
        <f t="shared" si="3"/>
        <v>1.0000000021431594</v>
      </c>
      <c r="AS63">
        <f t="shared" si="18"/>
        <v>6.3774340499637939E-4</v>
      </c>
      <c r="AT63">
        <f t="shared" si="18"/>
        <v>0.14029894866203096</v>
      </c>
      <c r="AU63">
        <f t="shared" si="18"/>
        <v>-4.745144835254346E-2</v>
      </c>
      <c r="AV63">
        <f t="shared" si="18"/>
        <v>-1.6018599646668158E-3</v>
      </c>
      <c r="AW63">
        <f t="shared" si="18"/>
        <v>-0.18937456486401286</v>
      </c>
      <c r="AX63">
        <f t="shared" si="18"/>
        <v>-8.5485134509115004E-2</v>
      </c>
      <c r="AY63">
        <f t="shared" si="18"/>
        <v>-7.4139307019095893E-2</v>
      </c>
      <c r="AZ63">
        <f t="shared" si="18"/>
        <v>-3.9094522201814266E-2</v>
      </c>
      <c r="BA63">
        <f t="shared" si="18"/>
        <v>-0.16343979384354931</v>
      </c>
      <c r="BB63">
        <f t="shared" si="18"/>
        <v>1.3951403796479155E-2</v>
      </c>
      <c r="BC63">
        <f t="shared" si="18"/>
        <v>-1.3104414359472603E-2</v>
      </c>
      <c r="BD63">
        <f t="shared" si="18"/>
        <v>-5.4607277859799914E-2</v>
      </c>
      <c r="BE63">
        <f t="shared" si="17"/>
        <v>-0.23149741030672832</v>
      </c>
      <c r="BF63">
        <f t="shared" si="17"/>
        <v>-0.23627701157205183</v>
      </c>
      <c r="BG63">
        <f t="shared" si="17"/>
        <v>0.10384847735163837</v>
      </c>
      <c r="BH63">
        <f t="shared" si="16"/>
        <v>-5.2301549353817825E-2</v>
      </c>
      <c r="BI63">
        <f t="shared" si="16"/>
        <v>-4.117172801954648E-2</v>
      </c>
      <c r="BJ63">
        <f t="shared" si="16"/>
        <v>1.8884995479779936E-2</v>
      </c>
      <c r="BK63">
        <f t="shared" si="16"/>
        <v>0.20668412378143353</v>
      </c>
      <c r="BL63">
        <f t="shared" si="16"/>
        <v>6.2919457114573264E-3</v>
      </c>
      <c r="BM63">
        <f t="shared" si="16"/>
        <v>8.9074088406173452E-2</v>
      </c>
      <c r="BN63">
        <f t="shared" si="16"/>
        <v>7.9318333285729459E-2</v>
      </c>
      <c r="BO63">
        <f t="shared" si="16"/>
        <v>-0.13708208868193089</v>
      </c>
      <c r="BP63">
        <f t="shared" si="16"/>
        <v>-8.938510026588008E-3</v>
      </c>
      <c r="BQ63">
        <f t="shared" si="16"/>
        <v>0.38626737017915375</v>
      </c>
      <c r="BR63">
        <f t="shared" si="19"/>
        <v>0.31532959403424343</v>
      </c>
      <c r="BS63">
        <f t="shared" si="19"/>
        <v>3.4475746282421664E-2</v>
      </c>
      <c r="BT63">
        <f t="shared" si="19"/>
        <v>0.1678043563775912</v>
      </c>
      <c r="BU63">
        <f t="shared" si="19"/>
        <v>1.9318794783427563E-2</v>
      </c>
      <c r="BV63">
        <f t="shared" si="19"/>
        <v>-2.6405257591276973E-2</v>
      </c>
      <c r="BW63">
        <f t="shared" si="19"/>
        <v>-3.2578191369755739E-2</v>
      </c>
      <c r="BX63">
        <f t="shared" si="19"/>
        <v>4.817824924801082E-2</v>
      </c>
      <c r="BY63">
        <f t="shared" si="19"/>
        <v>0.17179070867511018</v>
      </c>
      <c r="BZ63">
        <f t="shared" si="20"/>
        <v>-0.26320162439211336</v>
      </c>
      <c r="CA63">
        <f t="shared" si="20"/>
        <v>-0.36766601708852292</v>
      </c>
      <c r="CB63">
        <f t="shared" si="20"/>
        <v>-0.40326734403520159</v>
      </c>
      <c r="CC63">
        <f t="shared" si="20"/>
        <v>-9.8349831274774993E-2</v>
      </c>
      <c r="CD63">
        <f t="shared" si="20"/>
        <v>-9.0491810738475287E-2</v>
      </c>
      <c r="CE63">
        <f t="shared" si="20"/>
        <v>-8.6173831243976755E-3</v>
      </c>
      <c r="CG63">
        <f t="shared" si="5"/>
        <v>1.0000000000000002</v>
      </c>
      <c r="CH63">
        <f t="shared" si="6"/>
        <v>1</v>
      </c>
      <c r="CJ63" s="2">
        <f t="shared" si="7"/>
        <v>-0.13834899567800585</v>
      </c>
      <c r="CL63">
        <f>SUMPRODUCT(AS63:CE63,Dimorfismo!AS63:CE63)</f>
        <v>-0.19675926993587678</v>
      </c>
      <c r="CM63">
        <f t="shared" si="8"/>
        <v>0.19675926993587678</v>
      </c>
      <c r="CN63">
        <f t="shared" si="9"/>
        <v>0.19935905838738577</v>
      </c>
    </row>
    <row r="64" spans="1:92" x14ac:dyDescent="0.25">
      <c r="A64" t="s">
        <v>65</v>
      </c>
      <c r="B64">
        <v>6.377434063631652E-4</v>
      </c>
      <c r="C64">
        <v>0.14029894896271397</v>
      </c>
      <c r="D64">
        <v>-4.745144845423948E-2</v>
      </c>
      <c r="E64">
        <v>-1.601859968099857E-3</v>
      </c>
      <c r="F64">
        <v>-0.18937456526987273</v>
      </c>
      <c r="G64">
        <v>-8.5485134692323272E-2</v>
      </c>
      <c r="H64">
        <v>-7.4139307177988251E-2</v>
      </c>
      <c r="I64">
        <v>-3.9094522285600057E-2</v>
      </c>
      <c r="J64">
        <v>-0.16343979419382684</v>
      </c>
      <c r="K64">
        <v>1.3951403826379237E-2</v>
      </c>
      <c r="L64">
        <v>-1.3104414387557451E-2</v>
      </c>
      <c r="M64">
        <v>-5.4607277976832014E-2</v>
      </c>
      <c r="N64">
        <v>-0.23149741080286418</v>
      </c>
      <c r="O64">
        <v>-0.23627701207843113</v>
      </c>
      <c r="P64">
        <v>0.10384847757420221</v>
      </c>
      <c r="Q64">
        <v>-5.2301549465908384E-2</v>
      </c>
      <c r="R64">
        <v>-4.1171728107784057E-2</v>
      </c>
      <c r="S64">
        <v>1.8884995520253491E-2</v>
      </c>
      <c r="T64">
        <v>0.20668412422439056</v>
      </c>
      <c r="U64">
        <v>6.2919457249419695E-3</v>
      </c>
      <c r="V64">
        <v>8.9074088597073428E-2</v>
      </c>
      <c r="W64">
        <v>7.9318333455721299E-2</v>
      </c>
      <c r="X64">
        <v>-0.13708208897571966</v>
      </c>
      <c r="Y64">
        <v>-8.93851004574466E-3</v>
      </c>
      <c r="Z64">
        <v>0.38626737100698633</v>
      </c>
      <c r="AA64">
        <v>0.31532959471004501</v>
      </c>
      <c r="AB64">
        <v>3.4475746356308686E-2</v>
      </c>
      <c r="AC64">
        <v>0.16780435673722269</v>
      </c>
      <c r="AD64">
        <v>1.9318794824830818E-2</v>
      </c>
      <c r="AE64">
        <v>-2.640525764786765E-2</v>
      </c>
      <c r="AF64">
        <v>-3.2578191439576E-2</v>
      </c>
      <c r="AG64">
        <v>4.8178249351264489E-2</v>
      </c>
      <c r="AH64">
        <v>0.17179070904328506</v>
      </c>
      <c r="AI64">
        <v>-0.26320162495619642</v>
      </c>
      <c r="AJ64">
        <v>-0.36766601787648984</v>
      </c>
      <c r="AK64">
        <v>-0.40326734489946781</v>
      </c>
      <c r="AL64">
        <v>-9.8349831485554359E-2</v>
      </c>
      <c r="AM64">
        <v>-9.0491810932413666E-2</v>
      </c>
      <c r="AN64">
        <v>-8.6173831428661019E-3</v>
      </c>
      <c r="AP64">
        <f t="shared" si="2"/>
        <v>1.0000000042863189</v>
      </c>
      <c r="AQ64">
        <f t="shared" si="3"/>
        <v>1.0000000021431594</v>
      </c>
      <c r="AS64">
        <f t="shared" si="18"/>
        <v>6.3774340499637939E-4</v>
      </c>
      <c r="AT64">
        <f t="shared" si="18"/>
        <v>0.14029894866203096</v>
      </c>
      <c r="AU64">
        <f t="shared" si="18"/>
        <v>-4.745144835254346E-2</v>
      </c>
      <c r="AV64">
        <f t="shared" si="18"/>
        <v>-1.6018599646668158E-3</v>
      </c>
      <c r="AW64">
        <f t="shared" si="18"/>
        <v>-0.18937456486401286</v>
      </c>
      <c r="AX64">
        <f t="shared" si="18"/>
        <v>-8.5485134509115004E-2</v>
      </c>
      <c r="AY64">
        <f t="shared" si="18"/>
        <v>-7.4139307019095893E-2</v>
      </c>
      <c r="AZ64">
        <f t="shared" si="18"/>
        <v>-3.9094522201814266E-2</v>
      </c>
      <c r="BA64">
        <f t="shared" si="18"/>
        <v>-0.16343979384354931</v>
      </c>
      <c r="BB64">
        <f t="shared" si="18"/>
        <v>1.3951403796479155E-2</v>
      </c>
      <c r="BC64">
        <f t="shared" si="18"/>
        <v>-1.3104414359472603E-2</v>
      </c>
      <c r="BD64">
        <f t="shared" si="18"/>
        <v>-5.4607277859799914E-2</v>
      </c>
      <c r="BE64">
        <f t="shared" si="17"/>
        <v>-0.23149741030672832</v>
      </c>
      <c r="BF64">
        <f t="shared" si="17"/>
        <v>-0.23627701157205183</v>
      </c>
      <c r="BG64">
        <f t="shared" si="17"/>
        <v>0.10384847735163837</v>
      </c>
      <c r="BH64">
        <f t="shared" si="16"/>
        <v>-5.2301549353817825E-2</v>
      </c>
      <c r="BI64">
        <f t="shared" si="16"/>
        <v>-4.117172801954648E-2</v>
      </c>
      <c r="BJ64">
        <f t="shared" si="16"/>
        <v>1.8884995479779936E-2</v>
      </c>
      <c r="BK64">
        <f t="shared" si="16"/>
        <v>0.20668412378143353</v>
      </c>
      <c r="BL64">
        <f t="shared" si="16"/>
        <v>6.2919457114573264E-3</v>
      </c>
      <c r="BM64">
        <f t="shared" si="16"/>
        <v>8.9074088406173452E-2</v>
      </c>
      <c r="BN64">
        <f t="shared" si="16"/>
        <v>7.9318333285729459E-2</v>
      </c>
      <c r="BO64">
        <f t="shared" si="16"/>
        <v>-0.13708208868193089</v>
      </c>
      <c r="BP64">
        <f t="shared" si="16"/>
        <v>-8.938510026588008E-3</v>
      </c>
      <c r="BQ64">
        <f t="shared" si="16"/>
        <v>0.38626737017915375</v>
      </c>
      <c r="BR64">
        <f t="shared" si="19"/>
        <v>0.31532959403424343</v>
      </c>
      <c r="BS64">
        <f t="shared" si="19"/>
        <v>3.4475746282421664E-2</v>
      </c>
      <c r="BT64">
        <f t="shared" si="19"/>
        <v>0.1678043563775912</v>
      </c>
      <c r="BU64">
        <f t="shared" si="19"/>
        <v>1.9318794783427563E-2</v>
      </c>
      <c r="BV64">
        <f t="shared" si="19"/>
        <v>-2.6405257591276973E-2</v>
      </c>
      <c r="BW64">
        <f t="shared" si="19"/>
        <v>-3.2578191369755739E-2</v>
      </c>
      <c r="BX64">
        <f t="shared" si="19"/>
        <v>4.817824924801082E-2</v>
      </c>
      <c r="BY64">
        <f t="shared" si="19"/>
        <v>0.17179070867511018</v>
      </c>
      <c r="BZ64">
        <f t="shared" si="20"/>
        <v>-0.26320162439211336</v>
      </c>
      <c r="CA64">
        <f t="shared" si="20"/>
        <v>-0.36766601708852292</v>
      </c>
      <c r="CB64">
        <f t="shared" si="20"/>
        <v>-0.40326734403520159</v>
      </c>
      <c r="CC64">
        <f t="shared" si="20"/>
        <v>-9.8349831274774993E-2</v>
      </c>
      <c r="CD64">
        <f t="shared" si="20"/>
        <v>-9.0491810738475287E-2</v>
      </c>
      <c r="CE64">
        <f t="shared" si="20"/>
        <v>-8.6173831243976755E-3</v>
      </c>
      <c r="CG64">
        <f t="shared" si="5"/>
        <v>1.0000000000000002</v>
      </c>
      <c r="CH64">
        <f t="shared" si="6"/>
        <v>1</v>
      </c>
      <c r="CJ64">
        <f t="shared" si="7"/>
        <v>-0.13834899567800585</v>
      </c>
      <c r="CL64">
        <f>SUMPRODUCT(AS64:CE64,Dimorfismo!AS64:CE64)</f>
        <v>0.11472887018350304</v>
      </c>
      <c r="CM64">
        <f t="shared" si="8"/>
        <v>0.11472887018350304</v>
      </c>
      <c r="CN64">
        <f t="shared" si="9"/>
        <v>0.11523626455324425</v>
      </c>
    </row>
    <row r="65" spans="1:92" x14ac:dyDescent="0.25">
      <c r="A65" t="s">
        <v>66</v>
      </c>
      <c r="B65">
        <v>6.377434063631652E-4</v>
      </c>
      <c r="C65">
        <v>0.14029894896271397</v>
      </c>
      <c r="D65">
        <v>-4.745144845423948E-2</v>
      </c>
      <c r="E65">
        <v>-1.601859968099857E-3</v>
      </c>
      <c r="F65">
        <v>-0.18937456526987273</v>
      </c>
      <c r="G65">
        <v>-8.5485134692323272E-2</v>
      </c>
      <c r="H65">
        <v>-7.4139307177988251E-2</v>
      </c>
      <c r="I65">
        <v>-3.9094522285600057E-2</v>
      </c>
      <c r="J65">
        <v>-0.16343979419382684</v>
      </c>
      <c r="K65">
        <v>1.3951403826379237E-2</v>
      </c>
      <c r="L65">
        <v>-1.3104414387557451E-2</v>
      </c>
      <c r="M65">
        <v>-5.4607277976832014E-2</v>
      </c>
      <c r="N65">
        <v>-0.23149741080286418</v>
      </c>
      <c r="O65">
        <v>-0.23627701207843113</v>
      </c>
      <c r="P65">
        <v>0.10384847757420221</v>
      </c>
      <c r="Q65">
        <v>-5.2301549465908384E-2</v>
      </c>
      <c r="R65">
        <v>-4.1171728107784057E-2</v>
      </c>
      <c r="S65">
        <v>1.8884995520253491E-2</v>
      </c>
      <c r="T65">
        <v>0.20668412422439056</v>
      </c>
      <c r="U65">
        <v>6.2919457249419695E-3</v>
      </c>
      <c r="V65">
        <v>8.9074088597073428E-2</v>
      </c>
      <c r="W65">
        <v>7.9318333455721299E-2</v>
      </c>
      <c r="X65">
        <v>-0.13708208897571966</v>
      </c>
      <c r="Y65">
        <v>-8.93851004574466E-3</v>
      </c>
      <c r="Z65">
        <v>0.38626737100698633</v>
      </c>
      <c r="AA65">
        <v>0.31532959471004501</v>
      </c>
      <c r="AB65">
        <v>3.4475746356308686E-2</v>
      </c>
      <c r="AC65">
        <v>0.16780435673722269</v>
      </c>
      <c r="AD65">
        <v>1.9318794824830818E-2</v>
      </c>
      <c r="AE65">
        <v>-2.640525764786765E-2</v>
      </c>
      <c r="AF65">
        <v>-3.2578191439576E-2</v>
      </c>
      <c r="AG65">
        <v>4.8178249351264489E-2</v>
      </c>
      <c r="AH65">
        <v>0.17179070904328506</v>
      </c>
      <c r="AI65">
        <v>-0.26320162495619642</v>
      </c>
      <c r="AJ65">
        <v>-0.36766601787648984</v>
      </c>
      <c r="AK65">
        <v>-0.40326734489946781</v>
      </c>
      <c r="AL65">
        <v>-9.8349831485554359E-2</v>
      </c>
      <c r="AM65">
        <v>-9.0491810932413666E-2</v>
      </c>
      <c r="AN65">
        <v>-8.6173831428661019E-3</v>
      </c>
      <c r="AP65">
        <f t="shared" si="2"/>
        <v>1.0000000042863189</v>
      </c>
      <c r="AQ65">
        <f t="shared" si="3"/>
        <v>1.0000000021431594</v>
      </c>
      <c r="AS65">
        <f t="shared" si="18"/>
        <v>6.3774340499637939E-4</v>
      </c>
      <c r="AT65">
        <f t="shared" si="18"/>
        <v>0.14029894866203096</v>
      </c>
      <c r="AU65">
        <f t="shared" si="18"/>
        <v>-4.745144835254346E-2</v>
      </c>
      <c r="AV65">
        <f t="shared" si="18"/>
        <v>-1.6018599646668158E-3</v>
      </c>
      <c r="AW65">
        <f t="shared" si="18"/>
        <v>-0.18937456486401286</v>
      </c>
      <c r="AX65">
        <f t="shared" si="18"/>
        <v>-8.5485134509115004E-2</v>
      </c>
      <c r="AY65">
        <f t="shared" si="18"/>
        <v>-7.4139307019095893E-2</v>
      </c>
      <c r="AZ65">
        <f t="shared" si="18"/>
        <v>-3.9094522201814266E-2</v>
      </c>
      <c r="BA65">
        <f t="shared" si="18"/>
        <v>-0.16343979384354931</v>
      </c>
      <c r="BB65">
        <f t="shared" si="18"/>
        <v>1.3951403796479155E-2</v>
      </c>
      <c r="BC65">
        <f t="shared" si="18"/>
        <v>-1.3104414359472603E-2</v>
      </c>
      <c r="BD65">
        <f t="shared" si="18"/>
        <v>-5.4607277859799914E-2</v>
      </c>
      <c r="BE65">
        <f t="shared" si="17"/>
        <v>-0.23149741030672832</v>
      </c>
      <c r="BF65">
        <f t="shared" si="17"/>
        <v>-0.23627701157205183</v>
      </c>
      <c r="BG65">
        <f t="shared" si="17"/>
        <v>0.10384847735163837</v>
      </c>
      <c r="BH65">
        <f t="shared" si="16"/>
        <v>-5.2301549353817825E-2</v>
      </c>
      <c r="BI65">
        <f t="shared" si="16"/>
        <v>-4.117172801954648E-2</v>
      </c>
      <c r="BJ65">
        <f t="shared" si="16"/>
        <v>1.8884995479779936E-2</v>
      </c>
      <c r="BK65">
        <f t="shared" si="16"/>
        <v>0.20668412378143353</v>
      </c>
      <c r="BL65">
        <f t="shared" si="16"/>
        <v>6.2919457114573264E-3</v>
      </c>
      <c r="BM65">
        <f t="shared" si="16"/>
        <v>8.9074088406173452E-2</v>
      </c>
      <c r="BN65">
        <f t="shared" si="16"/>
        <v>7.9318333285729459E-2</v>
      </c>
      <c r="BO65">
        <f t="shared" si="16"/>
        <v>-0.13708208868193089</v>
      </c>
      <c r="BP65">
        <f t="shared" si="16"/>
        <v>-8.938510026588008E-3</v>
      </c>
      <c r="BQ65">
        <f t="shared" si="16"/>
        <v>0.38626737017915375</v>
      </c>
      <c r="BR65">
        <f t="shared" si="19"/>
        <v>0.31532959403424343</v>
      </c>
      <c r="BS65">
        <f t="shared" si="19"/>
        <v>3.4475746282421664E-2</v>
      </c>
      <c r="BT65">
        <f t="shared" si="19"/>
        <v>0.1678043563775912</v>
      </c>
      <c r="BU65">
        <f t="shared" si="19"/>
        <v>1.9318794783427563E-2</v>
      </c>
      <c r="BV65">
        <f t="shared" si="19"/>
        <v>-2.6405257591276973E-2</v>
      </c>
      <c r="BW65">
        <f t="shared" si="19"/>
        <v>-3.2578191369755739E-2</v>
      </c>
      <c r="BX65">
        <f t="shared" si="19"/>
        <v>4.817824924801082E-2</v>
      </c>
      <c r="BY65">
        <f t="shared" si="19"/>
        <v>0.17179070867511018</v>
      </c>
      <c r="BZ65">
        <f t="shared" si="20"/>
        <v>-0.26320162439211336</v>
      </c>
      <c r="CA65">
        <f t="shared" si="20"/>
        <v>-0.36766601708852292</v>
      </c>
      <c r="CB65">
        <f t="shared" si="20"/>
        <v>-0.40326734403520159</v>
      </c>
      <c r="CC65">
        <f t="shared" si="20"/>
        <v>-9.8349831274774993E-2</v>
      </c>
      <c r="CD65">
        <f t="shared" si="20"/>
        <v>-9.0491810738475287E-2</v>
      </c>
      <c r="CE65">
        <f t="shared" si="20"/>
        <v>-8.6173831243976755E-3</v>
      </c>
      <c r="CG65">
        <f t="shared" si="5"/>
        <v>1.0000000000000002</v>
      </c>
      <c r="CH65">
        <f t="shared" si="6"/>
        <v>1</v>
      </c>
      <c r="CJ65">
        <f t="shared" si="7"/>
        <v>-0.13834899567800585</v>
      </c>
      <c r="CL65">
        <f>SUMPRODUCT(AS65:CE65,Dimorfismo!AS65:CE65)</f>
        <v>-0.15905144075627464</v>
      </c>
      <c r="CM65">
        <f t="shared" si="8"/>
        <v>0.15905144075627464</v>
      </c>
      <c r="CN65">
        <f t="shared" si="9"/>
        <v>0.16041336708634016</v>
      </c>
    </row>
    <row r="68" spans="1:92" x14ac:dyDescent="0.25">
      <c r="AP68">
        <f t="shared" ref="AP68:AP69" si="21">SUMSQ(A68:AN68)</f>
        <v>0</v>
      </c>
      <c r="AQ68">
        <f t="shared" ref="AQ68:AQ69" si="22">SQRT(AP68)</f>
        <v>0</v>
      </c>
      <c r="AS68" t="e">
        <f t="shared" ref="AS68:CE69" si="23">B68/$AQ68</f>
        <v>#DIV/0!</v>
      </c>
      <c r="AT68" t="e">
        <f t="shared" si="23"/>
        <v>#DIV/0!</v>
      </c>
      <c r="AU68" t="e">
        <f t="shared" si="23"/>
        <v>#DIV/0!</v>
      </c>
      <c r="AV68" t="e">
        <f t="shared" si="23"/>
        <v>#DIV/0!</v>
      </c>
      <c r="AW68" t="e">
        <f t="shared" si="23"/>
        <v>#DIV/0!</v>
      </c>
      <c r="AX68" t="e">
        <f t="shared" si="23"/>
        <v>#DIV/0!</v>
      </c>
      <c r="AY68" t="e">
        <f t="shared" si="23"/>
        <v>#DIV/0!</v>
      </c>
      <c r="AZ68" t="e">
        <f t="shared" si="23"/>
        <v>#DIV/0!</v>
      </c>
      <c r="BA68" t="e">
        <f t="shared" si="23"/>
        <v>#DIV/0!</v>
      </c>
      <c r="BB68" t="e">
        <f t="shared" si="23"/>
        <v>#DIV/0!</v>
      </c>
      <c r="BC68" t="e">
        <f t="shared" si="23"/>
        <v>#DIV/0!</v>
      </c>
      <c r="BD68" t="e">
        <f t="shared" si="23"/>
        <v>#DIV/0!</v>
      </c>
      <c r="BE68" t="e">
        <f t="shared" si="23"/>
        <v>#DIV/0!</v>
      </c>
      <c r="BF68" t="e">
        <f t="shared" si="23"/>
        <v>#DIV/0!</v>
      </c>
      <c r="BG68" t="e">
        <f t="shared" si="23"/>
        <v>#DIV/0!</v>
      </c>
      <c r="BH68" t="e">
        <f t="shared" si="23"/>
        <v>#DIV/0!</v>
      </c>
      <c r="BI68" t="e">
        <f t="shared" si="23"/>
        <v>#DIV/0!</v>
      </c>
      <c r="BJ68" t="e">
        <f t="shared" si="23"/>
        <v>#DIV/0!</v>
      </c>
      <c r="BK68" t="e">
        <f t="shared" si="23"/>
        <v>#DIV/0!</v>
      </c>
      <c r="BL68" t="e">
        <f t="shared" si="23"/>
        <v>#DIV/0!</v>
      </c>
      <c r="BM68" t="e">
        <f t="shared" si="23"/>
        <v>#DIV/0!</v>
      </c>
      <c r="BN68" t="e">
        <f t="shared" si="23"/>
        <v>#DIV/0!</v>
      </c>
      <c r="BO68" t="e">
        <f t="shared" si="23"/>
        <v>#DIV/0!</v>
      </c>
      <c r="BP68" t="e">
        <f t="shared" si="23"/>
        <v>#DIV/0!</v>
      </c>
      <c r="BQ68" t="e">
        <f t="shared" si="23"/>
        <v>#DIV/0!</v>
      </c>
      <c r="BR68" t="e">
        <f t="shared" si="23"/>
        <v>#DIV/0!</v>
      </c>
      <c r="BS68" t="e">
        <f t="shared" si="23"/>
        <v>#DIV/0!</v>
      </c>
      <c r="BT68" t="e">
        <f t="shared" si="23"/>
        <v>#DIV/0!</v>
      </c>
      <c r="BU68" t="e">
        <f t="shared" si="23"/>
        <v>#DIV/0!</v>
      </c>
      <c r="BV68" t="e">
        <f t="shared" si="23"/>
        <v>#DIV/0!</v>
      </c>
      <c r="BW68" t="e">
        <f t="shared" si="23"/>
        <v>#DIV/0!</v>
      </c>
      <c r="BX68" t="e">
        <f t="shared" si="23"/>
        <v>#DIV/0!</v>
      </c>
      <c r="BY68" t="e">
        <f t="shared" si="23"/>
        <v>#DIV/0!</v>
      </c>
      <c r="BZ68" t="e">
        <f t="shared" si="23"/>
        <v>#DIV/0!</v>
      </c>
      <c r="CA68" t="e">
        <f t="shared" si="23"/>
        <v>#DIV/0!</v>
      </c>
      <c r="CB68" t="e">
        <f t="shared" si="23"/>
        <v>#DIV/0!</v>
      </c>
      <c r="CC68" t="e">
        <f t="shared" si="23"/>
        <v>#DIV/0!</v>
      </c>
      <c r="CD68" t="e">
        <f t="shared" si="23"/>
        <v>#DIV/0!</v>
      </c>
      <c r="CE68" t="e">
        <f t="shared" si="23"/>
        <v>#DIV/0!</v>
      </c>
      <c r="CG68" t="e">
        <f t="shared" ref="CG68:CG69" si="24">SUMSQ(AR68:CE68)</f>
        <v>#DIV/0!</v>
      </c>
      <c r="CH68" t="e">
        <f t="shared" ref="CH68:CH69" si="25">SQRT(CG68)</f>
        <v>#DIV/0!</v>
      </c>
      <c r="CJ68" t="e">
        <f t="shared" ref="CJ68" si="26">SUMPRODUCT($AS$1:$CE$1,AS68:CE68)</f>
        <v>#DIV/0!</v>
      </c>
    </row>
    <row r="69" spans="1:92" x14ac:dyDescent="0.25">
      <c r="AP69">
        <f t="shared" si="21"/>
        <v>0</v>
      </c>
      <c r="AQ69">
        <f t="shared" si="22"/>
        <v>0</v>
      </c>
      <c r="AS69" t="e">
        <f t="shared" si="23"/>
        <v>#DIV/0!</v>
      </c>
      <c r="AT69" t="e">
        <f t="shared" si="23"/>
        <v>#DIV/0!</v>
      </c>
      <c r="AU69" t="e">
        <f t="shared" si="23"/>
        <v>#DIV/0!</v>
      </c>
      <c r="AV69" t="e">
        <f t="shared" si="23"/>
        <v>#DIV/0!</v>
      </c>
      <c r="AW69" t="e">
        <f t="shared" si="23"/>
        <v>#DIV/0!</v>
      </c>
      <c r="AX69" t="e">
        <f t="shared" si="23"/>
        <v>#DIV/0!</v>
      </c>
      <c r="AY69" t="e">
        <f t="shared" si="23"/>
        <v>#DIV/0!</v>
      </c>
      <c r="AZ69" t="e">
        <f t="shared" si="23"/>
        <v>#DIV/0!</v>
      </c>
      <c r="BA69" t="e">
        <f t="shared" si="23"/>
        <v>#DIV/0!</v>
      </c>
      <c r="BB69" t="e">
        <f t="shared" si="23"/>
        <v>#DIV/0!</v>
      </c>
      <c r="BC69" t="e">
        <f t="shared" si="23"/>
        <v>#DIV/0!</v>
      </c>
      <c r="BD69" t="e">
        <f t="shared" si="23"/>
        <v>#DIV/0!</v>
      </c>
      <c r="BE69" t="e">
        <f t="shared" si="23"/>
        <v>#DIV/0!</v>
      </c>
      <c r="BF69" t="e">
        <f t="shared" si="23"/>
        <v>#DIV/0!</v>
      </c>
      <c r="BG69" t="e">
        <f t="shared" si="23"/>
        <v>#DIV/0!</v>
      </c>
      <c r="BH69" t="e">
        <f t="shared" si="23"/>
        <v>#DIV/0!</v>
      </c>
      <c r="BI69" t="e">
        <f t="shared" si="23"/>
        <v>#DIV/0!</v>
      </c>
      <c r="BJ69" t="e">
        <f t="shared" si="23"/>
        <v>#DIV/0!</v>
      </c>
      <c r="BK69" t="e">
        <f t="shared" si="23"/>
        <v>#DIV/0!</v>
      </c>
      <c r="BL69" t="e">
        <f t="shared" si="23"/>
        <v>#DIV/0!</v>
      </c>
      <c r="BM69" t="e">
        <f t="shared" si="23"/>
        <v>#DIV/0!</v>
      </c>
      <c r="BN69" t="e">
        <f t="shared" si="23"/>
        <v>#DIV/0!</v>
      </c>
      <c r="BO69" t="e">
        <f t="shared" si="23"/>
        <v>#DIV/0!</v>
      </c>
      <c r="BP69" t="e">
        <f t="shared" si="23"/>
        <v>#DIV/0!</v>
      </c>
      <c r="BQ69" t="e">
        <f t="shared" si="23"/>
        <v>#DIV/0!</v>
      </c>
      <c r="BR69" t="e">
        <f t="shared" si="23"/>
        <v>#DIV/0!</v>
      </c>
      <c r="BS69" t="e">
        <f t="shared" si="23"/>
        <v>#DIV/0!</v>
      </c>
      <c r="BT69" t="e">
        <f t="shared" si="23"/>
        <v>#DIV/0!</v>
      </c>
      <c r="BU69" t="e">
        <f t="shared" si="23"/>
        <v>#DIV/0!</v>
      </c>
      <c r="BV69" t="e">
        <f t="shared" si="23"/>
        <v>#DIV/0!</v>
      </c>
      <c r="BW69" t="e">
        <f t="shared" si="23"/>
        <v>#DIV/0!</v>
      </c>
      <c r="BX69" t="e">
        <f t="shared" si="23"/>
        <v>#DIV/0!</v>
      </c>
      <c r="BY69" t="e">
        <f t="shared" si="23"/>
        <v>#DIV/0!</v>
      </c>
      <c r="BZ69" t="e">
        <f t="shared" si="23"/>
        <v>#DIV/0!</v>
      </c>
      <c r="CA69" t="e">
        <f t="shared" si="23"/>
        <v>#DIV/0!</v>
      </c>
      <c r="CB69" t="e">
        <f t="shared" si="23"/>
        <v>#DIV/0!</v>
      </c>
      <c r="CC69" t="e">
        <f t="shared" si="23"/>
        <v>#DIV/0!</v>
      </c>
      <c r="CD69" t="e">
        <f t="shared" si="23"/>
        <v>#DIV/0!</v>
      </c>
      <c r="CE69" t="e">
        <f t="shared" si="23"/>
        <v>#DIV/0!</v>
      </c>
      <c r="CG69" t="e">
        <f t="shared" si="24"/>
        <v>#DIV/0!</v>
      </c>
      <c r="CH69" t="e">
        <f t="shared" si="25"/>
        <v>#DIV/0!</v>
      </c>
      <c r="CJ69" t="e">
        <f>SUMPRODUCT($AS$50:$CE$50,AS69:CE69)</f>
        <v>#DIV/0!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MDS</vt:lpstr>
      <vt:lpstr>W matrices</vt:lpstr>
      <vt:lpstr>Dimorfismo</vt:lpstr>
      <vt:lpstr>Sheet1</vt:lpstr>
      <vt:lpstr>PC1</vt:lpstr>
      <vt:lpstr>PC2</vt:lpstr>
      <vt:lpstr>PC3</vt:lpstr>
      <vt:lpstr>PC4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Camacho</dc:creator>
  <dc:description/>
  <cp:lastModifiedBy>Gabriel Marroig</cp:lastModifiedBy>
  <cp:revision>14</cp:revision>
  <dcterms:created xsi:type="dcterms:W3CDTF">2025-06-03T17:12:52Z</dcterms:created>
  <dcterms:modified xsi:type="dcterms:W3CDTF">2025-06-04T13:42:27Z</dcterms:modified>
  <dc:language>en-US</dc:language>
</cp:coreProperties>
</file>